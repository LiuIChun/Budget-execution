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8B949152-4A6D-41D0-920C-C17EC6780542}" xr6:coauthVersionLast="47" xr6:coauthVersionMax="47" xr10:uidLastSave="{00000000-0000-0000-0000-000000000000}"/>
  <bookViews>
    <workbookView xWindow="-108" yWindow="-108" windowWidth="23256" windowHeight="12456" xr2:uid="{4EC6783E-8B01-40B7-860E-F4AD7D070EAA}"/>
  </bookViews>
  <sheets>
    <sheet name="工作表1" sheetId="1" r:id="rId1"/>
    <sheet name="業務費" sheetId="2" r:id="rId2"/>
  </sheets>
  <definedNames>
    <definedName name="_xlnm._FilterDatabase" localSheetId="0" hidden="1">工作表1!$A$21:$M$21</definedName>
    <definedName name="_xlnm._FilterDatabase" localSheetId="1" hidden="1">業務費!$A$1:$J$826</definedName>
    <definedName name="_xlnm.Print_Titles" localSheetId="0">工作表1!$15:$15</definedName>
    <definedName name="Slicer_經費用途">#N/A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1" i="1" l="1"/>
  <c r="K11" i="1"/>
  <c r="I12" i="1"/>
  <c r="H12" i="1"/>
  <c r="I11" i="1"/>
  <c r="H11" i="1"/>
</calcChain>
</file>

<file path=xl/sharedStrings.xml><?xml version="1.0" encoding="utf-8"?>
<sst xmlns="http://schemas.openxmlformats.org/spreadsheetml/2006/main" count="12484" uniqueCount="2225">
  <si>
    <t>ACC251</t>
  </si>
  <si>
    <t>國立高雄科技大學</t>
  </si>
  <si>
    <t>計畫收支明細表</t>
  </si>
  <si>
    <t>列印時間:115.05.29-11:16:57</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</si>
  <si>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</si>
  <si>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</si>
  <si>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</si>
  <si>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</si>
  <si>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</si>
  <si>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</si>
  <si>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</si>
  <si>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</si>
  <si>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</si>
  <si>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</si>
  <si>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</si>
  <si>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</si>
  <si>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</si>
  <si>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</si>
  <si>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</si>
  <si>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</si>
  <si>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</si>
  <si>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</si>
  <si>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</si>
  <si>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</si>
  <si>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</si>
  <si>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</si>
  <si>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</si>
  <si>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</si>
  <si>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</si>
  <si>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</si>
  <si>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</si>
  <si>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</si>
  <si>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</si>
  <si>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</si>
  <si>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</si>
  <si>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</si>
  <si>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</si>
  <si>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</si>
  <si>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</si>
  <si>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</si>
  <si>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</si>
  <si>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</si>
  <si>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</si>
  <si>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</si>
  <si>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實支核銷</t>
  </si>
  <si>
    <t>1150126</t>
  </si>
  <si>
    <t>未審</t>
  </si>
  <si>
    <t xml:space="preserve">T115UC450009   </t>
  </si>
  <si>
    <t>協助計畫執行臨時工作人員郭瑞傑115年5月工讀金</t>
  </si>
  <si>
    <t>金融資訊系</t>
  </si>
  <si>
    <t xml:space="preserve">T115UC450010   </t>
  </si>
  <si>
    <t>協助計畫執行臨時工作人員郭瑞傑115年6月工讀金</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</si>
  <si>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</si>
  <si>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</si>
  <si>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</si>
  <si>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</si>
  <si>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</si>
  <si>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</si>
  <si>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</si>
  <si>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</si>
  <si>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</si>
  <si>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</si>
  <si>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</si>
  <si>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</si>
  <si>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</si>
  <si>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</si>
  <si>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</si>
  <si>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</si>
  <si>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</si>
  <si>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</si>
  <si>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</si>
  <si>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</si>
  <si>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</si>
  <si>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</si>
  <si>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</si>
  <si>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</si>
  <si>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</si>
  <si>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</si>
  <si>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</si>
  <si>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</si>
  <si>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</si>
  <si>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</si>
  <si>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</si>
  <si>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</si>
  <si>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</si>
  <si>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</si>
  <si>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</si>
  <si>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</si>
  <si>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</si>
  <si>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</si>
  <si>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</si>
  <si>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</si>
  <si>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</si>
  <si>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</si>
  <si>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</si>
  <si>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</si>
  <si>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</si>
  <si>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</si>
  <si>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</si>
  <si>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</si>
  <si>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</si>
  <si>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</si>
  <si>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</si>
  <si>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</si>
  <si>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</si>
  <si>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</si>
  <si>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</si>
  <si>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</si>
  <si>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</si>
  <si>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</si>
  <si>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</si>
  <si>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</si>
  <si>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</si>
  <si>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1150202</t>
  </si>
  <si>
    <t>T200148</t>
  </si>
  <si>
    <t>510301-3102物料</t>
  </si>
  <si>
    <t xml:space="preserve">T115UE230006   </t>
  </si>
  <si>
    <t>課程使用※品名:標準級配砂等</t>
  </si>
  <si>
    <t>土木系</t>
  </si>
  <si>
    <t>1150203</t>
  </si>
  <si>
    <t>T200172</t>
  </si>
  <si>
    <t>510301-2401印刷及裝訂費</t>
  </si>
  <si>
    <t xml:space="preserve">T115UJ010013   </t>
  </si>
  <si>
    <t>114躍升計畫支應許正義老師教學研究資料影印費用※品名:影印</t>
  </si>
  <si>
    <t>510301-2201郵費</t>
  </si>
  <si>
    <t xml:space="preserve">T115UJ020005   </t>
  </si>
  <si>
    <t>推動系所躍升計畫之郵寄申請海外實習簽證資料之郵資。（花卷飯店）※品名:郵資</t>
  </si>
  <si>
    <t>陳佩君</t>
  </si>
  <si>
    <t xml:space="preserve">T115UF080002   </t>
  </si>
  <si>
    <t>學生參與曼谷設計週所需材料費(聯軸器、限位開關、橡膠)※品名:材料費</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</si>
  <si>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</si>
  <si>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</si>
  <si>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</si>
  <si>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</si>
  <si>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</si>
  <si>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</si>
  <si>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 xml:space="preserve">T115UH530003   </t>
  </si>
  <si>
    <t>報支躍升計畫用就服乙級證照輔導影印費※品名:影印費、海報影印、海報</t>
  </si>
  <si>
    <t xml:space="preserve">T115UO040006   </t>
  </si>
  <si>
    <t>教師社群用海報印刷費(本案採用經費預算表中雜費經費項目-螢光筆畫線標註處)※品名:海報印刷</t>
  </si>
  <si>
    <t>海洋休閒管理系[楠梓|</t>
  </si>
  <si>
    <t>510301-3201辦公（事務）用品</t>
  </si>
  <si>
    <t xml:space="preserve">T115UP010012   </t>
  </si>
  <si>
    <t>金融系辦碎紙機汰換※品名:碎紙機</t>
  </si>
  <si>
    <t>金融系</t>
  </si>
  <si>
    <t xml:space="preserve">T115UN010007   </t>
  </si>
  <si>
    <t>【躍升計畫】補助學生參加『114年度「為桃園做研究」桃園市政府大專校院學生創新點子及研究實作競賽頒獎典禮』住宿費(林威辰)※品名:住宿費</t>
  </si>
  <si>
    <t>510301-2698其他保險費</t>
  </si>
  <si>
    <t xml:space="preserve">T115UO010010   </t>
  </si>
  <si>
    <t>1150105海運承攬運送實務教學參訪保險費(許筑婷)※品名:保險費</t>
  </si>
  <si>
    <t>航運管理系[楠梓|旗津</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</si>
  <si>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</si>
  <si>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</si>
  <si>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T200176</t>
  </si>
  <si>
    <t xml:space="preserve">T115UJ010009   </t>
  </si>
  <si>
    <t>114躍升計畫支應陳其芬老師執行教育部計畫所需影印費用※品名:影印</t>
  </si>
  <si>
    <t>T200177</t>
  </si>
  <si>
    <t xml:space="preserve">T115UJ010023   </t>
  </si>
  <si>
    <t>114 躍升計畫支應馮蕙嫻老師購買教學研究所需用品※品名:轉接線</t>
  </si>
  <si>
    <t xml:space="preserve">T115UJ010021   </t>
  </si>
  <si>
    <t>114躍升計畫支應許正義老師購買教學研究所需文具用品※品名:文具用品</t>
  </si>
  <si>
    <t xml:space="preserve">T115UJ020008   </t>
  </si>
  <si>
    <t>【躍升】系所執行躍升計畫購買文具用品及電子周邊產品所使用之費用※品名:文具及滑鼠、鍵盤</t>
  </si>
  <si>
    <t>外語學院應用日語系</t>
  </si>
  <si>
    <t xml:space="preserve">T115UH530004   </t>
  </si>
  <si>
    <t>報支躍升計畫115年度就服乙級證照輔導課程便當費，115/1/9(時間:08:30~17:30，參加人數29人)、1/10(時間:08:30~17:30，參加人數19人)、1/11(時間:08:30~17:30，參加人數15人)※品名:便當</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</si>
  <si>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</si>
  <si>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</si>
  <si>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</si>
  <si>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</si>
  <si>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</si>
  <si>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</si>
  <si>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</si>
  <si>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</si>
  <si>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</si>
  <si>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</si>
  <si>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</si>
  <si>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</si>
  <si>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</si>
  <si>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</si>
  <si>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</si>
  <si>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</si>
  <si>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</si>
  <si>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</si>
  <si>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</si>
  <si>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</si>
  <si>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</si>
  <si>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</si>
  <si>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</si>
  <si>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</si>
  <si>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</si>
  <si>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</si>
  <si>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</si>
  <si>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</si>
  <si>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</si>
  <si>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</si>
  <si>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</si>
  <si>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</si>
  <si>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T115UR030006   </t>
  </si>
  <si>
    <t>旗津校區/海資系/執行計畫用螢幕※品名:ASUS VG279QE5A螢幕</t>
  </si>
  <si>
    <t xml:space="preserve">T115UP040008   </t>
  </si>
  <si>
    <t>114.1(燕巢會資系)-專題競賽用※品名:文具</t>
  </si>
  <si>
    <t>會計資訊系</t>
  </si>
  <si>
    <t xml:space="preserve">T115UH530010   </t>
  </si>
  <si>
    <t>報支躍升計畫用文具一批※品名:文具</t>
  </si>
  <si>
    <t xml:space="preserve">T115UJ020011   </t>
  </si>
  <si>
    <t>推動系所躍升計畫之郵寄申請海外實習簽證資料之郵資。
地點：1.藤田觀光株式會社2.株式會社(SHIFURUTSU株式會社)※品名:郵資</t>
  </si>
  <si>
    <t>T200236</t>
  </si>
  <si>
    <t>510301-239801其他旅運費</t>
  </si>
  <si>
    <t xml:space="preserve">T115UP030008   </t>
  </si>
  <si>
    <t>1/12 AI量化投資交易系統開發諮詢會議校外委員交通費-羅仙法</t>
  </si>
  <si>
    <t>財務管理系</t>
  </si>
  <si>
    <t>T200237</t>
  </si>
  <si>
    <t>510301-2706佣金、匯費、經理費及手續費</t>
  </si>
  <si>
    <t xml:space="preserve">T115UJ010020   </t>
  </si>
  <si>
    <t>114躍升計畫支應丘羽先老師購買CONSENSUS文獻查找工具，提供發表論文使用※品名:Consensus: AI for Research</t>
  </si>
  <si>
    <t>510301-2810電腦軟體服務費</t>
  </si>
  <si>
    <t xml:space="preserve">T115UF080004   </t>
  </si>
  <si>
    <t>工設系討論系所特色、課程及學生參與競賽規劃會議所需餐費(115/1/15，中午12：00-13：30，共計11位)※品名:便當</t>
  </si>
  <si>
    <t xml:space="preserve">T115UE230005   </t>
  </si>
  <si>
    <t>辦公室使用※品名:螢幕防窺片</t>
  </si>
  <si>
    <t xml:space="preserve">T115UV000003   </t>
  </si>
  <si>
    <t>(楠梓-商資系-躍升計畫)實務專題競賽發表桌巾及背心清洗※品名:背心清洗、桌巾清洗</t>
  </si>
  <si>
    <t>商務資訊應用系</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</si>
  <si>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</si>
  <si>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</si>
  <si>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</si>
  <si>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</si>
  <si>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T115UP030007   </t>
  </si>
  <si>
    <t>1/12 AI量化投資系統開發產學合作諮詢會議諮詢費-羅仙法、林崇德</t>
  </si>
  <si>
    <t xml:space="preserve">T115UV000004   </t>
  </si>
  <si>
    <t>(楠梓-商資系-躍升計畫)國際交流講座鐘點費-賴柏霖副教授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</si>
  <si>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</si>
  <si>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</si>
  <si>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</si>
  <si>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</si>
  <si>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</si>
  <si>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</si>
  <si>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</si>
  <si>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</si>
  <si>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</si>
  <si>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</si>
  <si>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</si>
  <si>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</si>
  <si>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</si>
  <si>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</si>
  <si>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</si>
  <si>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</si>
  <si>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</si>
  <si>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</si>
  <si>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</si>
  <si>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</si>
  <si>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</si>
  <si>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</si>
  <si>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</si>
  <si>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</si>
  <si>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</si>
  <si>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</si>
  <si>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</si>
  <si>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</si>
  <si>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</si>
  <si>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</si>
  <si>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</si>
  <si>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</si>
  <si>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</si>
  <si>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</si>
  <si>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</si>
  <si>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</si>
  <si>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</si>
  <si>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</si>
  <si>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</si>
  <si>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</si>
  <si>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</si>
  <si>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</si>
  <si>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</si>
  <si>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</si>
  <si>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</si>
  <si>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</si>
  <si>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</si>
  <si>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</si>
  <si>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</si>
  <si>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</si>
  <si>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</si>
  <si>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</si>
  <si>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</si>
  <si>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</si>
  <si>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</si>
  <si>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</si>
  <si>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</si>
  <si>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</si>
  <si>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</si>
  <si>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</si>
  <si>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</si>
  <si>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</si>
  <si>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</si>
  <si>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</si>
  <si>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</si>
  <si>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</si>
  <si>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</si>
  <si>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</si>
  <si>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</si>
  <si>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</si>
  <si>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</si>
  <si>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</si>
  <si>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</si>
  <si>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</si>
  <si>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T115UO030013   </t>
  </si>
  <si>
    <t>辦公用文具※品名:文具</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</si>
  <si>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</si>
  <si>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</si>
  <si>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</si>
  <si>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</si>
  <si>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 xml:space="preserve">T115UJ010031   </t>
  </si>
  <si>
    <t>114躍升計畫支應許正義老師影印教學所需資料※品名:影印</t>
  </si>
  <si>
    <t xml:space="preserve">T115UC450003   </t>
  </si>
  <si>
    <t>購置AI軟體以利學習與研究(115年2月)鄭智陽※品名:ChatGPT訂閱(0118-0218)</t>
  </si>
  <si>
    <t>1150302</t>
  </si>
  <si>
    <t>T200408</t>
  </si>
  <si>
    <t xml:space="preserve">T115UR030019   </t>
  </si>
  <si>
    <t>旗津校區/海資系/執行計畫用耗材※品名:PN532模組</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</si>
  <si>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</si>
  <si>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</si>
  <si>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</si>
  <si>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</si>
  <si>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</si>
  <si>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</si>
  <si>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 xml:space="preserve">T115UT030011   </t>
  </si>
  <si>
    <t>姚名鴻老師教學研究使用※品名:商品如明細所示</t>
  </si>
  <si>
    <t>財政稅務系</t>
  </si>
  <si>
    <t>1150303</t>
  </si>
  <si>
    <t>已審</t>
  </si>
  <si>
    <t xml:space="preserve">T115UV000021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</si>
  <si>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</si>
  <si>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</si>
  <si>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</si>
  <si>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</si>
  <si>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</si>
  <si>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</si>
  <si>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</si>
  <si>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</si>
  <si>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</si>
  <si>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</si>
  <si>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</si>
  <si>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</si>
  <si>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</si>
  <si>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</si>
  <si>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</si>
  <si>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</si>
  <si>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</si>
  <si>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T115UJ020014   </t>
  </si>
  <si>
    <t>推動系所躍升計畫:郵寄申請海外實習簽證之郵資。
(AEI沖繩機場、Kyoritsu Maintenance飯店)※品名:郵資</t>
  </si>
  <si>
    <t xml:space="preserve">T115UQ030010   </t>
  </si>
  <si>
    <t>計畫用印刷費※品名:噴圖</t>
  </si>
  <si>
    <t>電訊工程系</t>
  </si>
  <si>
    <t>T200474</t>
  </si>
  <si>
    <t xml:space="preserve">T115UH530012   </t>
  </si>
  <si>
    <t>報支執行躍升計畫資訊耗材費※品名:3.5mm轉6.5mm連接線</t>
  </si>
  <si>
    <t xml:space="preserve">T115UC450004   </t>
  </si>
  <si>
    <t>購置AI軟體以利學習與研究(115年2月)姜林杰祐※品名:ChatGPT訂閱(0118-0218)</t>
  </si>
  <si>
    <t>1150306</t>
  </si>
  <si>
    <t xml:space="preserve">T115US190025   </t>
  </si>
  <si>
    <t>漁管系水槽實驗室(A11118)研究生之用品※品名:2.5cm鋼製屏風、屏風採霧玻補差額、屏風桌板、鋼製中抽、討論桌、學生網椅、辦公椅、16埠Gigabit交換器、UTP網路配線配電施工費用、全區施工費用(含油漆粉刷等)</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</si>
  <si>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</si>
  <si>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</si>
  <si>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</si>
  <si>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</si>
  <si>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</si>
  <si>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</si>
  <si>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</si>
  <si>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</si>
  <si>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</si>
  <si>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</si>
  <si>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</si>
  <si>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</si>
  <si>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</si>
  <si>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</si>
  <si>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</si>
  <si>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</si>
  <si>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</si>
  <si>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</si>
  <si>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</si>
  <si>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</si>
  <si>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</si>
  <si>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</si>
  <si>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</si>
  <si>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</si>
  <si>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T115UQ010013   </t>
  </si>
  <si>
    <t>受款人：林煒庭，碩士班實習實驗材料費※品名:海報影印、影印 膠裝、26孔活頁紙、櫻花白板筆、油性奇異筆、豆豆貼替換帶、修正內帶</t>
  </si>
  <si>
    <t xml:space="preserve">T115UC450014   </t>
  </si>
  <si>
    <t>建立AI教學與研究之輔助耗材(程師)※品名:電池、3C週邊(詳發票明細)、文具(詳發票明細)</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</si>
  <si>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</si>
  <si>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</si>
  <si>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</si>
  <si>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</si>
  <si>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</si>
  <si>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</si>
  <si>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</si>
  <si>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</si>
  <si>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</si>
  <si>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</si>
  <si>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</si>
  <si>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</si>
  <si>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</si>
  <si>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</si>
  <si>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</si>
  <si>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</si>
  <si>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</si>
  <si>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</si>
  <si>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</si>
  <si>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T115UM740018   </t>
  </si>
  <si>
    <t>系上執行躍升計畫列印海報之繪圖機廢墨收集盒※品名:廢墨收集盒</t>
  </si>
  <si>
    <t xml:space="preserve">T115UN030015   </t>
  </si>
  <si>
    <t>115年2月科法所meta廣告行銷服務費用※品名:meta廣告費代付服務費</t>
  </si>
  <si>
    <t xml:space="preserve">T115UT030016   </t>
  </si>
  <si>
    <t>姚名鴻老師教學研究使用※品名:影印</t>
  </si>
  <si>
    <t>T200629</t>
  </si>
  <si>
    <t xml:space="preserve">T115UP030016   </t>
  </si>
  <si>
    <t>執行計畫用電腦周邊※品名:滑鼠、簡報器</t>
  </si>
  <si>
    <t xml:space="preserve">T115UH530016   </t>
  </si>
  <si>
    <t>報支躍升計畫用人資系所特色定位共識會便當費，會議日期:115.2.26中午11:00~13:00，參加人數:15人※品名:便當</t>
  </si>
  <si>
    <t xml:space="preserve">T115UF080011   </t>
  </si>
  <si>
    <t>工設系討論新一代設計展參展所需餐費(1150224中午1200-1345，共計12人次)※品名:餐費</t>
  </si>
  <si>
    <t>510301-3202報章什誌</t>
  </si>
  <si>
    <t xml:space="preserve">T115UC450012   </t>
  </si>
  <si>
    <t>本系擬透過躍升計畫建立AI教研實驗室，所購買書籍均與AI相關※品名:書(詳發票明細)</t>
  </si>
  <si>
    <t xml:space="preserve">T115UQ010028   </t>
  </si>
  <si>
    <t>造船系115年5月工讀(張子怡)</t>
  </si>
  <si>
    <t xml:space="preserve">T115UQ010029   </t>
  </si>
  <si>
    <t>造船系115年6月工讀(張子怡)</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</si>
  <si>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</si>
  <si>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</si>
  <si>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</si>
  <si>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</si>
  <si>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</si>
  <si>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</si>
  <si>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</si>
  <si>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</si>
  <si>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</si>
  <si>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</si>
  <si>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</si>
  <si>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</si>
  <si>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</si>
  <si>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</si>
  <si>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</si>
  <si>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</si>
  <si>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</si>
  <si>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</si>
  <si>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</si>
  <si>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</si>
  <si>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</si>
  <si>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</si>
  <si>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</si>
  <si>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</si>
  <si>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</si>
  <si>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</si>
  <si>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</si>
  <si>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</si>
  <si>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</si>
  <si>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</si>
  <si>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</si>
  <si>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</si>
  <si>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</si>
  <si>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</si>
  <si>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</si>
  <si>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</si>
  <si>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</si>
  <si>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</si>
  <si>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</si>
  <si>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</si>
  <si>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</si>
  <si>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</si>
  <si>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510301-280504顧問諮詢費</t>
  </si>
  <si>
    <t xml:space="preserve">T115UP030017   </t>
  </si>
  <si>
    <t>01/27、02/03量化交易系統開發諮詢會議諮詢費-林崇德</t>
  </si>
  <si>
    <t xml:space="preserve">T115UP030026   </t>
  </si>
  <si>
    <t>3/2專家諮詢費-高雄大學黃一祥教授</t>
  </si>
  <si>
    <t xml:space="preserve">T115UD030062   </t>
  </si>
  <si>
    <t>1150304邀請金屬工業研究發展中心專案經理蒞系專題演講費</t>
  </si>
  <si>
    <t>電腦與通訊工程系[第</t>
  </si>
  <si>
    <t>1150323</t>
  </si>
  <si>
    <t>T200775</t>
  </si>
  <si>
    <t xml:space="preserve">T115UF080020   </t>
  </si>
  <si>
    <t>工設系補助課程((互動人因設計)所需材料費(壓克力材料1批)※品名:材料費</t>
  </si>
  <si>
    <t>T200776</t>
  </si>
  <si>
    <t xml:space="preserve">T115UE290069   </t>
  </si>
  <si>
    <t>實驗室輔助工具:OpenAI ChatGPT
Subscription※品名:輔助工具</t>
  </si>
  <si>
    <t>朱紹儀</t>
  </si>
  <si>
    <t xml:space="preserve">T115UE290041   </t>
  </si>
  <si>
    <t>丁信文老師-論文發表所需IEICE會員費※品名:IEICE會員費(含手續費)</t>
  </si>
  <si>
    <t>丁信文</t>
  </si>
  <si>
    <t xml:space="preserve">T115UT000047   </t>
  </si>
  <si>
    <t>智慧商務系 購入辦公用品※品名:大公文封10入、4孔夾</t>
  </si>
  <si>
    <t>T200777</t>
  </si>
  <si>
    <t xml:space="preserve">T115US040014   </t>
  </si>
  <si>
    <t>海生系林家豪老師英文編修費※品名:英文編修</t>
  </si>
  <si>
    <t xml:space="preserve">T115UP030024   </t>
  </si>
  <si>
    <t>執行計畫用碳粉※品名:碳粉匣</t>
  </si>
  <si>
    <t xml:space="preserve">T115UP010022   </t>
  </si>
  <si>
    <t>115.3.4金融系躍升計畫討論會議便當中午12:00-13:30，共22人※品名:便當</t>
  </si>
  <si>
    <t>游雅萍</t>
  </si>
  <si>
    <t>T200779</t>
  </si>
  <si>
    <t xml:space="preserve">T115UN010011   </t>
  </si>
  <si>
    <t>【躍升計畫】廣告宣傳費—系所形象推廣使用※品名:facebook廣告費</t>
  </si>
  <si>
    <t xml:space="preserve">T115UN010014   </t>
  </si>
  <si>
    <t>【躍升計畫】廣告宣傳費—系所形象推廣使用※品名:google廣告費</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</si>
  <si>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</si>
  <si>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</si>
  <si>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</si>
  <si>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</si>
  <si>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 xml:space="preserve">T115UJ010041   </t>
  </si>
  <si>
    <t>114躍升計畫支應許正義老師發表研討會報名費※品名:報名費</t>
  </si>
  <si>
    <t xml:space="preserve">T115US040008   </t>
  </si>
  <si>
    <t>實驗室用品※品名:塑膠瓶、保鮮盒、不鏽鋼煎鏟、不鏽鋼漆刀、彈力水管、醋酸鈉、竹籤</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</si>
  <si>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</si>
  <si>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</si>
  <si>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</si>
  <si>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</si>
  <si>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</si>
  <si>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</si>
  <si>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</si>
  <si>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</si>
  <si>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</si>
  <si>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</si>
  <si>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</si>
  <si>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</si>
  <si>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</si>
  <si>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</si>
  <si>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</si>
  <si>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</si>
  <si>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</si>
  <si>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</si>
  <si>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</si>
  <si>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</si>
  <si>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</si>
  <si>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</si>
  <si>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</si>
  <si>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</si>
  <si>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</si>
  <si>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</si>
  <si>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</si>
  <si>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</si>
  <si>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</si>
  <si>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</si>
  <si>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</si>
  <si>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</si>
  <si>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</si>
  <si>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</si>
  <si>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</si>
  <si>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</si>
  <si>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</si>
  <si>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</si>
  <si>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</si>
  <si>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</si>
  <si>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T115UC450018   </t>
  </si>
  <si>
    <t>購置AI軟體以利學習與研究_何姍嬬※品名:ChatGPT訂閱(0215-0315)</t>
  </si>
  <si>
    <t xml:space="preserve">T115UH530017   </t>
  </si>
  <si>
    <t>報支翁慈君老師執行躍升計畫＿教學研究用1-2月ChatGpt使用費※品名:1月份ChatGpt、2月份ChatGpt</t>
  </si>
  <si>
    <t xml:space="preserve">T115US020040   </t>
  </si>
  <si>
    <t>實驗耗材※品名:LB-Broth Miller，1kg培養基、R.T.U.-1KB DNA Ladder，500ul 標定試劑、1.5ml Microtube，500tubes/pk 離心管、營業稅</t>
  </si>
  <si>
    <t>陳勝嘉</t>
  </si>
  <si>
    <t>T200894</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</si>
  <si>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</si>
  <si>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</si>
  <si>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</si>
  <si>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</si>
  <si>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</si>
  <si>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</si>
  <si>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</si>
  <si>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</si>
  <si>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</si>
  <si>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</si>
  <si>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</si>
  <si>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</si>
  <si>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</si>
  <si>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</si>
  <si>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 xml:space="preserve">T115UM760038   </t>
  </si>
  <si>
    <t xml:space="preserve">T115UP040021   </t>
  </si>
  <si>
    <t>114.2(燕巢會資系)-海報機-公告與教學用※品名:防水海報紙</t>
  </si>
  <si>
    <t>T300354</t>
  </si>
  <si>
    <t xml:space="preserve">T115UP010015   </t>
  </si>
  <si>
    <t>執行躍升計畫工讀_朱晏萱3月</t>
  </si>
  <si>
    <t>T300361</t>
  </si>
  <si>
    <t xml:space="preserve">T115UT010003   </t>
  </si>
  <si>
    <t>杜先蕙2月臨時工</t>
  </si>
  <si>
    <t>1150327</t>
  </si>
  <si>
    <t xml:space="preserve">T115UE720029   </t>
  </si>
  <si>
    <t>發表費※品名:發表費</t>
  </si>
  <si>
    <t>蘇明鴻</t>
  </si>
  <si>
    <t>1150330</t>
  </si>
  <si>
    <t xml:space="preserve">T115UE150052   </t>
  </si>
  <si>
    <t>雜支(電腦周邊)完善研究設備提升研究能量※品名:行動電源、鍵盤組藍芽接收器無線網卡、延長線</t>
  </si>
  <si>
    <t>林聯發</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</si>
  <si>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</si>
  <si>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</si>
  <si>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</si>
  <si>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</si>
  <si>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</si>
  <si>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</si>
  <si>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</si>
  <si>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</si>
  <si>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T115UQ030022   </t>
  </si>
  <si>
    <t>440-B教學實驗室安裝監控鏡頭-陳瓊興老師※品名:紅外線監控鏡頭含安裝</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</si>
  <si>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</si>
  <si>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</si>
  <si>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T115UP010027   </t>
  </si>
  <si>
    <t>執行躍升計畫交通費115.3.11丁秀儀</t>
  </si>
  <si>
    <t xml:space="preserve">T115UH530019   </t>
  </si>
  <si>
    <t>報支執行躍升計畫活動用文具費※品名:文具</t>
  </si>
  <si>
    <t xml:space="preserve">T115UJ010037   </t>
  </si>
  <si>
    <t>114躍升計畫支應唐西恩老師購買教學研究所需文具用品、3C產品及無線麥克風及音箱組※品名:文具用品、3C產品、印表機、無線麥克風及音箱</t>
  </si>
  <si>
    <t xml:space="preserve">T115UE150033   </t>
  </si>
  <si>
    <t>為研究計畫所需，用於組裝「智慧運動器材」，以利測試作業進行。※品名:五金零件耗材</t>
  </si>
  <si>
    <t>T200921</t>
  </si>
  <si>
    <t xml:space="preserve">T115UJ010050   </t>
  </si>
  <si>
    <t xml:space="preserve">T115UJ020027   </t>
  </si>
  <si>
    <t>推動系所躍升計畫所使用之郵資(ATS申請簽證資料)※品名:郵資</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</si>
  <si>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</si>
  <si>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</si>
  <si>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</si>
  <si>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</si>
  <si>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 xml:space="preserve">T115UV000027   </t>
  </si>
  <si>
    <t>(楠梓-商資系-躍升計畫)114學年度第2學期系週會海報印刷※品名:海報印刷費</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</si>
  <si>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</si>
  <si>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</si>
  <si>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</si>
  <si>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</si>
  <si>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</si>
  <si>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</si>
  <si>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</si>
  <si>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</si>
  <si>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</si>
  <si>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</si>
  <si>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</si>
  <si>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</si>
  <si>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</si>
  <si>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</si>
  <si>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</si>
  <si>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</si>
  <si>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</si>
  <si>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</si>
  <si>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</si>
  <si>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</si>
  <si>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</si>
  <si>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</si>
  <si>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</si>
  <si>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</si>
  <si>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</si>
  <si>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</si>
  <si>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</si>
  <si>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</si>
  <si>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</si>
  <si>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</si>
  <si>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</si>
  <si>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</si>
  <si>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</si>
  <si>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</si>
  <si>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</si>
  <si>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</si>
  <si>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</si>
  <si>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</si>
  <si>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</si>
  <si>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</si>
  <si>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</si>
  <si>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</si>
  <si>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</si>
  <si>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</si>
  <si>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</si>
  <si>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</si>
  <si>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</si>
  <si>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</si>
  <si>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</si>
  <si>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</si>
  <si>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</si>
  <si>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</si>
  <si>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</si>
  <si>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</si>
  <si>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T115UF080021   </t>
  </si>
  <si>
    <t>工設系114-2學期專題演講講師鐘點費(115/3/11，13：30-15：30劉獻文)</t>
  </si>
  <si>
    <t xml:space="preserve">T115UR030025   </t>
  </si>
  <si>
    <t>旗津校區/海資系/召開115學年系課程諮詢委員會/邀請楊新章、周金益、楊柏彥委員出席費(時間:115.3.9 12:00－13:00)</t>
  </si>
  <si>
    <t xml:space="preserve">T115UR030029   </t>
  </si>
  <si>
    <t>旗津校區/海資系/邀請周佳毅協理演講費(銓日儀企業有限公司)(時間:115.03.11 18:30－20:30)(講題:海底電纜調查與維護)</t>
  </si>
  <si>
    <t xml:space="preserve">T115UP010025   </t>
  </si>
  <si>
    <t>執行躍升計畫鐘點費115.3.11丁秀儀</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</si>
  <si>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</si>
  <si>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</si>
  <si>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</si>
  <si>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</si>
  <si>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</si>
  <si>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</si>
  <si>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</si>
  <si>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</si>
  <si>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</si>
  <si>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</si>
  <si>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</si>
  <si>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</si>
  <si>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</si>
  <si>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</si>
  <si>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 xml:space="preserve">T115UE160073   </t>
  </si>
  <si>
    <t>實驗用耗材&amp;儀器使用費※品名:UPS電池、實驗用洗衣粉、實驗用洗滌劑、止洩帶、子母刷、撈網、共同儀器使用費-高醫、中山儀器使用費</t>
  </si>
  <si>
    <t>黃政偉</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</si>
  <si>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</si>
  <si>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</si>
  <si>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</si>
  <si>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</si>
  <si>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</si>
  <si>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</si>
  <si>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</si>
  <si>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</si>
  <si>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</si>
  <si>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</si>
  <si>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</si>
  <si>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</si>
  <si>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</si>
  <si>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</si>
  <si>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</si>
  <si>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</si>
  <si>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</si>
  <si>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</si>
  <si>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T115UR030035   </t>
  </si>
  <si>
    <t>旗津校區/海資系/115年3月13日，柯智煒、程仁杰、惟智同學，赴南臺科技大學，參加第二十一屆數位訊號處理創思設計競賽保險費※品名:保險費(38元*3人)</t>
  </si>
  <si>
    <t xml:space="preserve">T115UQ010025   </t>
  </si>
  <si>
    <t>115年3月10日專題演講林永富博士交通費</t>
  </si>
  <si>
    <t xml:space="preserve">T115UP010031   </t>
  </si>
  <si>
    <t>執行躍升計畫交通費115.3.18楊智明</t>
  </si>
  <si>
    <t xml:space="preserve">T115UN010022   </t>
  </si>
  <si>
    <t>【躍升計畫】補助學生參加「InnoConnect+2025 全國服務創新跨界共創大賽頒獎典禮」交通費(林琲庭、廖梓言、黃晨榛)-高鐵左營站-桃園站來回(當天來回)</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</si>
  <si>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</si>
  <si>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</si>
  <si>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</si>
  <si>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</si>
  <si>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</si>
  <si>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</si>
  <si>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 xml:space="preserve">T115UJ020035   </t>
  </si>
  <si>
    <t>推動系所躍升計畫所使用之郵資(似鳥國際獎學金)※品名:郵資</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</si>
  <si>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</si>
  <si>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</si>
  <si>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</si>
  <si>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</si>
  <si>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</si>
  <si>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</si>
  <si>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</si>
  <si>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</si>
  <si>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</si>
  <si>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</si>
  <si>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 xml:space="preserve">T115UE290138   </t>
  </si>
  <si>
    <t>受款人：黃冠渝, 教學研究用※品名:羅技 MX Master 3S LITE 無線藍芽滑鼠、Razer BlackShark V2X 有線耳機、3M空氣清淨機濾網、羅技 MK295 無線靜音鍵鼠組、群加 cat 5e 網路線 10m、PX 大通 DisplayPort 1.2 2m(折扣：190.47)(稅額：36)</t>
  </si>
  <si>
    <t>黃冠渝</t>
  </si>
  <si>
    <t xml:space="preserve">T115UE290139   </t>
  </si>
  <si>
    <t xml:space="preserve">T115UE310029   </t>
  </si>
  <si>
    <t>115/6月工讀金:趙俊傑</t>
  </si>
  <si>
    <t>潘天賜</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</si>
  <si>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</si>
  <si>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</si>
  <si>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</si>
  <si>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</si>
  <si>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</si>
  <si>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</si>
  <si>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</si>
  <si>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</si>
  <si>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</si>
  <si>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</si>
  <si>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</si>
  <si>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</si>
  <si>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</si>
  <si>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</si>
  <si>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</si>
  <si>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</si>
  <si>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</si>
  <si>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</si>
  <si>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</si>
  <si>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T115UN020018   </t>
  </si>
  <si>
    <t>執行計畫用電池/充電電池(林燦煌老師)※品名:電池.充電電池</t>
  </si>
  <si>
    <t xml:space="preserve">T115UO030025   </t>
  </si>
  <si>
    <t>添購辦公用文具一批(詳如明細)※品名:文具</t>
  </si>
  <si>
    <t xml:space="preserve">T115UM740023   </t>
  </si>
  <si>
    <t>執行躍升計 畫, 舉辦活動所需使用之文具※品名:充電器、80磅彩色A4紙、充電電池</t>
  </si>
  <si>
    <t xml:space="preserve">T115UJ020037   </t>
  </si>
  <si>
    <t>主要用於教學及學術研究※品名:影印</t>
  </si>
  <si>
    <t>小堀和彥</t>
  </si>
  <si>
    <t xml:space="preserve">T115UF080027   </t>
  </si>
  <si>
    <t>工設系討論114-2期末展辦理事宜所需餐費(1150324中午1200-1330，共計8人次)※品名:便當</t>
  </si>
  <si>
    <t>T201165</t>
  </si>
  <si>
    <t xml:space="preserve">T115UF080026   </t>
  </si>
  <si>
    <t>補助學生參展所需材料費(實驗用麵包版)※品名:材料費</t>
  </si>
  <si>
    <t xml:space="preserve">T115UJ020033   </t>
  </si>
  <si>
    <t>教學資料儲存用USB隨身碟跟學生作文批改用※品名:施奈德　One Business02、USB隨身碟JF790K 32GB黑、日本斑馬 2JJ15-V</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</si>
  <si>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</si>
  <si>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</si>
  <si>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</si>
  <si>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</si>
  <si>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</si>
  <si>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</si>
  <si>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T115UP010037   </t>
  </si>
  <si>
    <t>執行躍升計畫交通費115.3.25鄧學凱</t>
  </si>
  <si>
    <t xml:space="preserve">T115UP010044   </t>
  </si>
  <si>
    <t>金融系影印紙※品名:影印紙</t>
  </si>
  <si>
    <t xml:space="preserve">T115UE160047   </t>
  </si>
  <si>
    <t>實驗室藥品 品名:2,3'-bithiophene※品名:2,3'-bithiophene 2g</t>
  </si>
  <si>
    <t>郭仲文</t>
  </si>
  <si>
    <t xml:space="preserve">T115UE160048   </t>
  </si>
  <si>
    <t>實驗用品 品名:布式漏斗※品名:布式漏斗</t>
  </si>
  <si>
    <t xml:space="preserve">T115UE290095   </t>
  </si>
  <si>
    <t>教學/研究所需※品名:行動電源、傳輸線、Wi-Fi監視器</t>
  </si>
  <si>
    <t>連志原</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</si>
  <si>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</si>
  <si>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</si>
  <si>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</si>
  <si>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</si>
  <si>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</si>
  <si>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</si>
  <si>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</si>
  <si>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</si>
  <si>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T300467</t>
  </si>
  <si>
    <t xml:space="preserve">T115UP030039   </t>
  </si>
  <si>
    <t>115年3月工讀金-楊閔棻</t>
  </si>
  <si>
    <t>T300468</t>
  </si>
  <si>
    <t xml:space="preserve">T115UP030038   </t>
  </si>
  <si>
    <t>115年3月工讀金-陳珮珊</t>
  </si>
  <si>
    <t>T300478</t>
  </si>
  <si>
    <t xml:space="preserve">T115UQ010024   </t>
  </si>
  <si>
    <t>115年3月10日專題演講林永富博士鐘點費</t>
  </si>
  <si>
    <t xml:space="preserve">T115UR010063   </t>
  </si>
  <si>
    <t>航技系115年3月24日邀請許國慶先生蒞校講座(精進航安)</t>
  </si>
  <si>
    <t xml:space="preserve">T115UO010044   </t>
  </si>
  <si>
    <t>1150318專題講座-高齡化社會與K型經濟下的日本企業策略(王雍智)</t>
  </si>
  <si>
    <t xml:space="preserve">T115UD030079   </t>
  </si>
  <si>
    <t>1150318邀請eamT5 杜浦數位安全股份有限公司埕善工程師蒞系專題演講費</t>
  </si>
  <si>
    <t xml:space="preserve">T115UC450022   </t>
  </si>
  <si>
    <t>115.3.20黃宥輔專題講座鐘點費</t>
  </si>
  <si>
    <t xml:space="preserve">T115US190032   </t>
  </si>
  <si>
    <t>漁管系114－2系週會專題演講講座劉迎豐鐘點費(講題：長榮海運公司海勤與陸勤工作經驗分享，時間：13:30~15:30)</t>
  </si>
  <si>
    <t>1150410</t>
  </si>
  <si>
    <t>T201181</t>
  </si>
  <si>
    <t xml:space="preserve">T115UC450023   </t>
  </si>
  <si>
    <t>研習/講座等講義印刷費※品名:印刷費</t>
  </si>
  <si>
    <t xml:space="preserve">T115UE160058   </t>
  </si>
  <si>
    <t>實驗用※品名:儲水桶、硅膠管、殺蟑藥、紙碗、紙杯</t>
  </si>
  <si>
    <t>張健桂</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</si>
  <si>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</si>
  <si>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</si>
  <si>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</si>
  <si>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</si>
  <si>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</si>
  <si>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</si>
  <si>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</si>
  <si>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</si>
  <si>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T115UQ010037   </t>
  </si>
  <si>
    <t>受款人：王治平，工程基礎實驗(二)課程材料費 (實支1975)※品名:水電材料開關、3P過載1開2插3芯附接地軟線TC-35、開關(含稅金)</t>
  </si>
  <si>
    <t xml:space="preserve">T115UQ030029   </t>
  </si>
  <si>
    <t>114學年第2學期專題競賽評審委員邀請函※品名:影印</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</si>
  <si>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</si>
  <si>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</si>
  <si>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</si>
  <si>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</si>
  <si>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</si>
  <si>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</si>
  <si>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</si>
  <si>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</si>
  <si>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</si>
  <si>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</si>
  <si>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</si>
  <si>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</si>
  <si>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</si>
  <si>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</si>
  <si>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</si>
  <si>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</si>
  <si>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</si>
  <si>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T115UE250039   </t>
  </si>
  <si>
    <t>10m HDMI線 無線鍵盤組※品名:10m HDMI線、無線鍵盤組</t>
  </si>
  <si>
    <t>鄭振宗</t>
  </si>
  <si>
    <t xml:space="preserve">T115UE160053   </t>
  </si>
  <si>
    <t>實驗用※品名:注射玻璃導管</t>
  </si>
  <si>
    <t xml:space="preserve">T115UR010056   </t>
  </si>
  <si>
    <t>航技系2026航海實務論壇用※品名:海報</t>
  </si>
  <si>
    <t>T300485</t>
  </si>
  <si>
    <t xml:space="preserve">T115UR010064   </t>
  </si>
  <si>
    <t>航技系115年3月16日邀請中鋼運通曾令榜協理蒞校講座(船舶保養與檢驗)</t>
  </si>
  <si>
    <t xml:space="preserve">T115UP010038   </t>
  </si>
  <si>
    <t>執行躍升計畫鐘點費115.3.25郭威佑(變更存摺)</t>
  </si>
  <si>
    <t xml:space="preserve">T115UP010036   </t>
  </si>
  <si>
    <t>執行躍升計畫鐘點費115.3.25鄧學凱</t>
  </si>
  <si>
    <t xml:space="preserve">T115UF080028   </t>
  </si>
  <si>
    <t>工設系114-2學期專題演講講師鐘點費(115/3/25，13：30-15：30陳瑾蓉)</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</si>
  <si>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</si>
  <si>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</si>
  <si>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</si>
  <si>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</si>
  <si>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</si>
  <si>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</si>
  <si>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</si>
  <si>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</si>
  <si>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</si>
  <si>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</si>
  <si>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</si>
  <si>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</si>
  <si>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</si>
  <si>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</si>
  <si>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</si>
  <si>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</si>
  <si>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 xml:space="preserve">T115UD020055   </t>
  </si>
  <si>
    <t>115/05月臨時工工資:彭煒棠、劉正偉、胡家豪、劉柏廷</t>
  </si>
  <si>
    <t>陳銘志</t>
  </si>
  <si>
    <t>1150415</t>
  </si>
  <si>
    <t>T201244</t>
  </si>
  <si>
    <t xml:space="preserve">T115UR030034   </t>
  </si>
  <si>
    <t>旗津校區/海資系/115年3月13日，柯智煒、惟智同學，赴南臺科技大學，參加第二十一屆數位訊號處理創思設計競賽</t>
  </si>
  <si>
    <t>T201252</t>
  </si>
  <si>
    <t xml:space="preserve">T115UM740024   </t>
  </si>
  <si>
    <t>系上執行躍升計畫列印海報之海報紙※品名:捲筒海報紙</t>
  </si>
  <si>
    <t>510301-4202宿舍租金</t>
  </si>
  <si>
    <t xml:space="preserve">T115UJ020039   </t>
  </si>
  <si>
    <t>應日系短期集中授課內田亨教師之住宿費。住宿時間:115/3/21至3/29，計9日，其中3日為私人行程(1200*3)，系所實際支應3/22至3/27，計6日，實支5800元。(9400-3600)※品名:住宿費</t>
  </si>
  <si>
    <t>T201253</t>
  </si>
  <si>
    <t xml:space="preserve">T115UP010041   </t>
  </si>
  <si>
    <t>執行躍升計畫交通費115.3.26林智勇</t>
  </si>
  <si>
    <t xml:space="preserve">T115UO010056   </t>
  </si>
  <si>
    <t>1150330專題講座-散雜貨運輸實務操作-洪瑞君交通費</t>
  </si>
  <si>
    <t>1150416</t>
  </si>
  <si>
    <t xml:space="preserve">T115UB000144   </t>
  </si>
  <si>
    <t>製作專題實驗用器材※品名:電腦螢幕</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</si>
  <si>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</si>
  <si>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</si>
  <si>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</si>
  <si>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</si>
  <si>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</si>
  <si>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</si>
  <si>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</si>
  <si>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</si>
  <si>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</si>
  <si>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</si>
  <si>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 xml:space="preserve">T115UB000156   </t>
  </si>
  <si>
    <t>製作專題實驗用耗材※品名:高精度移液槍、通用移液器吸頭...等</t>
  </si>
  <si>
    <t xml:space="preserve">T115UB000157   </t>
  </si>
  <si>
    <t>製作專題實驗用耗材※品名:瓷舟、薄膜聚氨酯板、二苯二硫醚...等</t>
  </si>
  <si>
    <t xml:space="preserve">T115UE150068   </t>
  </si>
  <si>
    <t>文具-支援研究資料整理提升研究效能※品名:文具(收納盒)</t>
  </si>
  <si>
    <t xml:space="preserve">T115UE150069   </t>
  </si>
  <si>
    <t>文具-支援研究資料整理提升研究效能※品名:文具(收納盒)、文具(電池)</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</si>
  <si>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</si>
  <si>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</si>
  <si>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</si>
  <si>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</si>
  <si>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</si>
  <si>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</si>
  <si>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</si>
  <si>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</si>
  <si>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</si>
  <si>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</si>
  <si>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</si>
  <si>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</si>
  <si>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</si>
  <si>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</si>
  <si>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</si>
  <si>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</si>
  <si>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</si>
  <si>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</si>
  <si>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</si>
  <si>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</si>
  <si>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</si>
  <si>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</si>
  <si>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</si>
  <si>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</si>
  <si>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</si>
  <si>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</si>
  <si>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</si>
  <si>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</si>
  <si>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</si>
  <si>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智商系建工系辦115年3月協助交辦
工作辦理臨時人力工讀費核支(邱鈺荏,方以
撒等2人)</t>
  </si>
  <si>
    <t>T300529</t>
  </si>
  <si>
    <t xml:space="preserve">T115UT000048   </t>
  </si>
  <si>
    <t>115年03月智慧商務系胡祐誠等10人燕巢校區工讀生薪資</t>
  </si>
  <si>
    <t xml:space="preserve">T115UE230042   </t>
  </si>
  <si>
    <t>蘇柏全等人參加國際研討會補助※品名:國際研討會</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</si>
  <si>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</si>
  <si>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</si>
  <si>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</si>
  <si>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</si>
  <si>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</si>
  <si>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</si>
  <si>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</si>
  <si>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 xml:space="preserve">T115UE150076   </t>
  </si>
  <si>
    <t>支付碩士班學生協助撰寫程式與分析資料之工讀費用。115年5月。</t>
  </si>
  <si>
    <t>鐘文鈺</t>
  </si>
  <si>
    <t xml:space="preserve">T115UE150077   </t>
  </si>
  <si>
    <t>支付碩士班學生協助撰寫程式與分析資料之工讀費用。115年6月。</t>
  </si>
  <si>
    <t xml:space="preserve">T115UJ020055   </t>
  </si>
  <si>
    <t>邀請中山大學物理研究所張鼎張教授前來科技日語與口譯課程講授半導體概論之鐘點費</t>
  </si>
  <si>
    <t>長安靜美</t>
  </si>
  <si>
    <t>1150423</t>
  </si>
  <si>
    <t>T201332</t>
  </si>
  <si>
    <t xml:space="preserve">T115UF080030   </t>
  </si>
  <si>
    <t>工設系補助課程所需材料費(張祥唐)※品名:材料費</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</si>
  <si>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</si>
  <si>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</si>
  <si>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</si>
  <si>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</si>
  <si>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</si>
  <si>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</si>
  <si>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</si>
  <si>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</si>
  <si>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</si>
  <si>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</si>
  <si>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T115UJ020046   </t>
  </si>
  <si>
    <t>郵寄赴日本王子飯店申請簽證資料之郵資。
實習生:施亭妤、郭盈杏、林邑蓁、林佩璇※品名:郵資</t>
  </si>
  <si>
    <t xml:space="preserve">T115US020050   </t>
  </si>
  <si>
    <t>115年3月份林家民老師實驗耗材※品名:甲醇、手套NBR、離心管2ml</t>
  </si>
  <si>
    <t xml:space="preserve">T115US020052   </t>
  </si>
  <si>
    <t>實驗課用藥品(化學品單號S26030900002)※品名:石油醚</t>
  </si>
  <si>
    <t>謝淑玲</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</si>
  <si>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</si>
  <si>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</si>
  <si>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</si>
  <si>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</si>
  <si>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</si>
  <si>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</si>
  <si>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</si>
  <si>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</si>
  <si>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</si>
  <si>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</si>
  <si>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</si>
  <si>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</si>
  <si>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</si>
  <si>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</si>
  <si>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</si>
  <si>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</si>
  <si>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</si>
  <si>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</si>
  <si>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</si>
  <si>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</si>
  <si>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</si>
  <si>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</si>
  <si>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</si>
  <si>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</si>
  <si>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</si>
  <si>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</si>
  <si>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</si>
  <si>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</si>
  <si>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</si>
  <si>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</si>
  <si>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</si>
  <si>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</si>
  <si>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</si>
  <si>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</si>
  <si>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</si>
  <si>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</si>
  <si>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</si>
  <si>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 xml:space="preserve">T115US040032   </t>
  </si>
  <si>
    <t>學生陳苡瑄參加日本春季水產年會註冊費</t>
  </si>
  <si>
    <t xml:space="preserve">T115US040033   </t>
  </si>
  <si>
    <t>學生蔡旻倫前往日本參加春季水產年會註冊費</t>
  </si>
  <si>
    <t>1150424</t>
  </si>
  <si>
    <t>T201429</t>
  </si>
  <si>
    <t>510301-4402車租</t>
  </si>
  <si>
    <t xml:space="preserve">T115UO010057   </t>
  </si>
  <si>
    <t>1150325校外教學參訪車資及保險(連淑君)※品名:車資、保險費</t>
  </si>
  <si>
    <t xml:space="preserve">T115UN010025   </t>
  </si>
  <si>
    <t>【躍升計畫】補助學生參加EST2026研討會發表論文註冊費(簡敬庭)-實支※品名:註冊費</t>
  </si>
  <si>
    <t xml:space="preserve">T115UH530025   </t>
  </si>
  <si>
    <t>報支躍升計畫印刷費※品名:印刷費</t>
  </si>
  <si>
    <t xml:space="preserve">T115UH530026   </t>
  </si>
  <si>
    <t>報支黃佳純老師執行躍升計畫＿教學研究用1-2月ChatGpt使用費※品名:1月份ChatGpt、2月份ChatGpt</t>
  </si>
  <si>
    <t>T201430</t>
  </si>
  <si>
    <t xml:space="preserve">T115UN010024   </t>
  </si>
  <si>
    <t>【躍升計畫】補助學生參加EST2026研討會發表論文交通費(簡敬庭)-高鐵左營站-桃園站來回(非當日來回)</t>
  </si>
  <si>
    <t xml:space="preserve">T115UQ010051   </t>
  </si>
  <si>
    <t>115年3月31日專題演講陳世明研究員交通費</t>
  </si>
  <si>
    <t xml:space="preserve">T115UQ010032   </t>
  </si>
  <si>
    <t>115年3月17日專題演講黃友麟教授交通費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</si>
  <si>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</si>
  <si>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</si>
  <si>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</si>
  <si>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</si>
  <si>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</si>
  <si>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</si>
  <si>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</si>
  <si>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</si>
  <si>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</si>
  <si>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</si>
  <si>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</si>
  <si>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</si>
  <si>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</si>
  <si>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</si>
  <si>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</si>
  <si>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T115UF080035   </t>
  </si>
  <si>
    <t>工設系討論躍升計畫資本門使用分配所需餐費(1150414，中午1200-1330，共計10人次)※品名:餐費</t>
  </si>
  <si>
    <t>510301-3298其他</t>
  </si>
  <si>
    <t xml:space="preserve">T115UR010057   </t>
  </si>
  <si>
    <t>航技系2026航海實務論壇用※品名:紅布條</t>
  </si>
  <si>
    <t xml:space="preserve">T115UR030041   </t>
  </si>
  <si>
    <t xml:space="preserve">T115UR030044   </t>
  </si>
  <si>
    <t>旗津校區/海資系/執行計畫用電腦耗材※品名:POJUN PJ02粉白色 機械式鍵盤</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</si>
  <si>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</si>
  <si>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</si>
  <si>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</si>
  <si>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</si>
  <si>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</si>
  <si>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T300562</t>
  </si>
  <si>
    <t xml:space="preserve">T115UO010059   </t>
  </si>
  <si>
    <t>1150331航空實務專題演講-李承峻(許筑婷)</t>
  </si>
  <si>
    <t xml:space="preserve">T115UO010055   </t>
  </si>
  <si>
    <t>1150330專題講座-散雜貨運輸實務操作-洪瑞君演講費</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</si>
  <si>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</si>
  <si>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</si>
  <si>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</si>
  <si>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</si>
  <si>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T115UQ010040   </t>
  </si>
  <si>
    <t>115年3月24日專題演講吳書恆組長鐘點費</t>
  </si>
  <si>
    <t xml:space="preserve">T115UQ010031   </t>
  </si>
  <si>
    <t>115年3月17日專題演講黃友麟教授鐘點費</t>
  </si>
  <si>
    <t xml:space="preserve">T115UQ010050   </t>
  </si>
  <si>
    <t>115年3月31日專題演講陳世明研究員鐘點費</t>
  </si>
  <si>
    <t xml:space="preserve">T115UF080031   </t>
  </si>
  <si>
    <t>工設系114-2學期專題演講講師鐘點費(115/4/1，13：30-15：30曾令理)</t>
  </si>
  <si>
    <t xml:space="preserve">T115UF080032   </t>
  </si>
  <si>
    <t>工設系114-2學期專題演講講師鐘點費(115/4/8，13：30-15：30 林鉦翔</t>
  </si>
  <si>
    <t xml:space="preserve">T115UE290179   </t>
  </si>
  <si>
    <t>實驗量測用不斷電系統UPS※品名:不斷電系統UPS</t>
  </si>
  <si>
    <t>劉淑白</t>
  </si>
  <si>
    <t>1150425</t>
  </si>
  <si>
    <t xml:space="preserve">T115UE720071   </t>
  </si>
  <si>
    <t>購買錄製數位課程之多功能擴充埠※品名:Satechi 多功能擴充埠</t>
  </si>
  <si>
    <t>鍾毓驥</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</si>
  <si>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</si>
  <si>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</si>
  <si>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</si>
  <si>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</si>
  <si>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 xml:space="preserve">T115GB000105   </t>
  </si>
  <si>
    <t>1150421楠梓校區實驗室廢棄物清運費用※品名:實驗室廢棄物清運費</t>
  </si>
  <si>
    <t>楊子賢</t>
  </si>
  <si>
    <t>1150428</t>
  </si>
  <si>
    <t xml:space="preserve">T115UM740030   </t>
  </si>
  <si>
    <t>配合躍升計畫執行, 115.04.25，13點30分至16點00分，邀請福和生鮮農產(股)公司董事長室陳永賢總顧問蒞校專題演講，共2.5小時，每小時2,000元。</t>
  </si>
  <si>
    <t xml:space="preserve">T115UE160104   </t>
  </si>
  <si>
    <t>儀器使用費&amp;實驗室用品※品名:外接式電子顯微鏡、6尺延長線、鍍金使用費-中山、共同儀器使用費-高醫、國光特優級機油(實驗用)</t>
  </si>
  <si>
    <t xml:space="preserve">T115UJ010093   </t>
  </si>
  <si>
    <t>114躍升計畫支應陳翊欣工讀金(115年5月)</t>
  </si>
  <si>
    <t xml:space="preserve">T115UJ010094   </t>
  </si>
  <si>
    <t>114躍升計畫支應莊雅雁工讀金(115年5月)</t>
  </si>
  <si>
    <t>1150429</t>
  </si>
  <si>
    <t xml:space="preserve">T115UJ020066   </t>
  </si>
  <si>
    <t>114TSD00-15:系所躍升計畫二期第二年(115/1/1-115/10/31)經費: 文具用品※品名:文具用品</t>
  </si>
  <si>
    <t>陳志坪</t>
  </si>
  <si>
    <t>1150430</t>
  </si>
  <si>
    <t xml:space="preserve">T115UE150084   </t>
  </si>
  <si>
    <t>參加第四十三屆組合數學與計算理論研討會。115年4月24日至4月25日。國立陽明交通大學新竹校區。</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</si>
  <si>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</si>
  <si>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</si>
  <si>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</si>
  <si>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</si>
  <si>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</si>
  <si>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</si>
  <si>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</si>
  <si>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</si>
  <si>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</si>
  <si>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</si>
  <si>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</si>
  <si>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T201490</t>
  </si>
  <si>
    <t xml:space="preserve">T115UE290122   </t>
  </si>
  <si>
    <t>電子材料費: 專題製作與材料課程實驗使用※品名:丙酮、乙二醇、無水酒精</t>
  </si>
  <si>
    <t>劉志益</t>
  </si>
  <si>
    <t xml:space="preserve">T115UE290102   </t>
  </si>
  <si>
    <t>電子材料費: 專題製作與材料課程實驗使用※品名:氫氟酸</t>
  </si>
  <si>
    <t xml:space="preserve">T115UE290093   </t>
  </si>
  <si>
    <t>實驗用高壓反應釜※品名:水熱高溫高壓反應器 反應釜</t>
  </si>
  <si>
    <t>施惠鈞</t>
  </si>
  <si>
    <t xml:space="preserve">T115UE290094   </t>
  </si>
  <si>
    <t>實驗用※品名:PVA聚乙烯醇 BP-17 500g、運費</t>
  </si>
  <si>
    <t xml:space="preserve">T115UP010043   </t>
  </si>
  <si>
    <t>執行躍升計畫交通費115.4.8楊碩祐</t>
  </si>
  <si>
    <t xml:space="preserve">T115US190039   </t>
  </si>
  <si>
    <t>115年3月7日2026台灣珊瑚礁學會&amp;水中攝影協會會員大會與環境講座之報名費(胡喧昀)※品名:報名費</t>
  </si>
  <si>
    <t>T201508</t>
  </si>
  <si>
    <t xml:space="preserve">T115UO010064   </t>
  </si>
  <si>
    <t>補助學生參與國際交流事務-學海展翅出國機票款(陳臆珊、陶姵希、童鈺婷)</t>
  </si>
  <si>
    <t>T300585</t>
  </si>
  <si>
    <t xml:space="preserve">T115UP010042   </t>
  </si>
  <si>
    <t>執行躍升計畫鐘點費115.4.8楊碩祐</t>
  </si>
  <si>
    <t xml:space="preserve">T115UP010040   </t>
  </si>
  <si>
    <t>執行躍升計畫鐘點費115.3.26林智勇</t>
  </si>
  <si>
    <t xml:space="preserve">T115UR010065   </t>
  </si>
  <si>
    <t>航技系115年3月23號邀請中鋼運通黃芷君專案經理蒞校進行航運講座(講題內容:散裝商務操作分享)</t>
  </si>
  <si>
    <t xml:space="preserve">T115UM740026   </t>
  </si>
  <si>
    <t>配合躍升計畫執行, 115.03.28，13點30分至16點00分，邀請立固不動產估價師事務所鄭清中所長蒞校專題演講，共2.5小時，每小時2,000元。</t>
  </si>
  <si>
    <t>T300586</t>
  </si>
  <si>
    <t xml:space="preserve">T115UP010017   </t>
  </si>
  <si>
    <t>執行躍升計畫工讀_陳沛芹3月</t>
  </si>
  <si>
    <t>1150504</t>
  </si>
  <si>
    <t>T201525</t>
  </si>
  <si>
    <t xml:space="preserve">T115UN040070   </t>
  </si>
  <si>
    <t>許軒老師 B511實驗室嗅覺設計之精油、香油※品名:精油</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</si>
  <si>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</si>
  <si>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</si>
  <si>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</si>
  <si>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</si>
  <si>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T115UE290148   </t>
  </si>
  <si>
    <t>教學用硬碟分割管理軟體※品名:硬碟分割管理軟體、國外交易手續費</t>
  </si>
  <si>
    <t>謝欽旭</t>
  </si>
  <si>
    <t>T201534</t>
  </si>
  <si>
    <t xml:space="preserve">T115UE230033   </t>
  </si>
  <si>
    <t>課程使用※品名:耐火泥</t>
  </si>
  <si>
    <t xml:space="preserve">T115UE230034   </t>
  </si>
  <si>
    <t>教室使用※品名:影音切換器</t>
  </si>
  <si>
    <t xml:space="preserve">T115UC450024   </t>
  </si>
  <si>
    <t>本系擬透過躍升計畫建立AI教研實驗室，所購買書籍均與AI相關(雜支)※品名:書(詳發票明細)</t>
  </si>
  <si>
    <t xml:space="preserve">T115UE310028   </t>
  </si>
  <si>
    <t>115年度模308材料實驗室核定之材料費※品名:EMO除濕王防潮石等四項</t>
  </si>
  <si>
    <t>黃家瑞</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</si>
  <si>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</si>
  <si>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</si>
  <si>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</si>
  <si>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</si>
  <si>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</si>
  <si>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</si>
  <si>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</si>
  <si>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</si>
  <si>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</si>
  <si>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</si>
  <si>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</si>
  <si>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</si>
  <si>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</si>
  <si>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</si>
  <si>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</si>
  <si>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</si>
  <si>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</si>
  <si>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</si>
  <si>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</si>
  <si>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</si>
  <si>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</si>
  <si>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</si>
  <si>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T115UP040029   </t>
  </si>
  <si>
    <t>執行教學與研究所購電腦周邊耗材一批※品名:耗材一批(行動SSD、簡報器、延長線)</t>
  </si>
  <si>
    <t>陳育仁</t>
  </si>
  <si>
    <t xml:space="preserve">T115UP040031   </t>
  </si>
  <si>
    <t>114.2(燕巢會資系)-系辦代辦郝逸華老師-教學用※品名:碳粉匣</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</si>
  <si>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</si>
  <si>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</si>
  <si>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</si>
  <si>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</si>
  <si>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</si>
  <si>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</si>
  <si>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</si>
  <si>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</si>
  <si>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</si>
  <si>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</si>
  <si>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</si>
  <si>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</si>
  <si>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</si>
  <si>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</si>
  <si>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T115UP040035   </t>
  </si>
  <si>
    <t>114.2(燕巢會資系)-舉辦學術講座-文具一批※品名:文具</t>
  </si>
  <si>
    <t xml:space="preserve">T115UP040030   </t>
  </si>
  <si>
    <t>114.2(燕巢會資系)-楊傑琪學生申請國科會大專學生研究計畫補助材料費※品名:文具</t>
  </si>
  <si>
    <t xml:space="preserve">T115UP040027   </t>
  </si>
  <si>
    <t>執行教學與研究所購郵資※品名:郵資</t>
  </si>
  <si>
    <t xml:space="preserve">T115UE160083   </t>
  </si>
  <si>
    <t>科研試劑※品名:液氮</t>
  </si>
  <si>
    <t>倪偵翔</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</si>
  <si>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</si>
  <si>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</si>
  <si>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</si>
  <si>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</si>
  <si>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</si>
  <si>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</si>
  <si>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</si>
  <si>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</si>
  <si>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</si>
  <si>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</si>
  <si>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</si>
  <si>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</si>
  <si>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</si>
  <si>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</si>
  <si>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</si>
  <si>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</si>
  <si>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</si>
  <si>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</si>
  <si>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</si>
  <si>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</si>
  <si>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</si>
  <si>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</si>
  <si>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</si>
  <si>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</si>
  <si>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</si>
  <si>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</si>
  <si>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</si>
  <si>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</si>
  <si>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</si>
  <si>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</si>
  <si>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</si>
  <si>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</si>
  <si>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</si>
  <si>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</si>
  <si>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</si>
  <si>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</si>
  <si>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</si>
  <si>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</si>
  <si>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</si>
  <si>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</si>
  <si>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</si>
  <si>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</si>
  <si>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</si>
  <si>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</si>
  <si>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</si>
  <si>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</si>
  <si>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</si>
  <si>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</si>
  <si>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</si>
  <si>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</si>
  <si>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</si>
  <si>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</si>
  <si>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</si>
  <si>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</si>
  <si>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</si>
  <si>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</si>
  <si>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</si>
  <si>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</si>
  <si>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</si>
  <si>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</si>
  <si>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T115UD020049   </t>
  </si>
  <si>
    <t>計畫所需之電腦周邊※品名:ASUS 電腦螢幕</t>
  </si>
  <si>
    <t>陳俊吉</t>
  </si>
  <si>
    <t xml:space="preserve">T115UE290103   </t>
  </si>
  <si>
    <t>電子材料費: 專題製作與材料課程實驗使用※品名:氧化鋁坩堝、氧化鋁板</t>
  </si>
  <si>
    <t xml:space="preserve">T115UE150067   </t>
  </si>
  <si>
    <t>研究計畫使用※品名:充電線1M、電源轉接器20W</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</si>
  <si>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</si>
  <si>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</si>
  <si>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</si>
  <si>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</si>
  <si>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</si>
  <si>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</si>
  <si>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</si>
  <si>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</si>
  <si>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</si>
  <si>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</si>
  <si>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</si>
  <si>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</si>
  <si>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</si>
  <si>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</si>
  <si>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</si>
  <si>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</si>
  <si>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</si>
  <si>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</si>
  <si>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</si>
  <si>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</si>
  <si>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</si>
  <si>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</si>
  <si>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</si>
  <si>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</si>
  <si>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</si>
  <si>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</si>
  <si>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</si>
  <si>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</si>
  <si>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 xml:space="preserve">T115UE250086   </t>
  </si>
  <si>
    <t>實驗論文投稿※品名:論文投稿</t>
  </si>
  <si>
    <t>鄭宗杰</t>
  </si>
  <si>
    <t>1150507</t>
  </si>
  <si>
    <t>T201737</t>
  </si>
  <si>
    <t xml:space="preserve">T115UE160090   </t>
  </si>
  <si>
    <t>事務雜項※品名:夾鏈袋、充電線</t>
  </si>
  <si>
    <t>T201738</t>
  </si>
  <si>
    <t xml:space="preserve">T115UQ030017   </t>
  </si>
  <si>
    <t>114/2學期日四技三實務專題材料費(郭佳燁.江博.李笙愷.陳廷睿)-魏宏哲老師-實支2000元※品名:USB自動對焦攝影鏡頭模組、ESP32-S2微控制器</t>
  </si>
  <si>
    <t xml:space="preserve">T115US020067   </t>
  </si>
  <si>
    <t>計畫用-材料費※品名:冷凍大比目魚、冷凍鯖魚、稅額</t>
  </si>
  <si>
    <t xml:space="preserve">T115US020069   </t>
  </si>
  <si>
    <t>計畫用-材料費※品名:生鮮肉品(旗魚肉)</t>
  </si>
  <si>
    <t>T201739</t>
  </si>
  <si>
    <t xml:space="preserve">T115UO030039   </t>
  </si>
  <si>
    <t>躍升計畫_鼓勵學生參加英文考試補助-C112190117 林妤謙報考多益英語證照考試，系上補助部分報名費500元</t>
  </si>
  <si>
    <t xml:space="preserve">T115UJ030029   </t>
  </si>
  <si>
    <t>付應用德語系辦理2026年中華民國德語文學者暨教師協會年會補助校外教授擔任主持人所需之交通費。</t>
  </si>
  <si>
    <t xml:space="preserve">T115UF080033   </t>
  </si>
  <si>
    <t>工設系114-2學期專題演講講師交通費(115/4/1，13：30-15：30曾令理，新左營-新竹)</t>
  </si>
  <si>
    <t xml:space="preserve">T115UF080034   </t>
  </si>
  <si>
    <t>工設系114-2學期專題演講講師交通費(115/4/8，13：30-15：30林鉦翔，新左營-臺中)</t>
  </si>
  <si>
    <t>T300644</t>
  </si>
  <si>
    <t xml:space="preserve">T115UO010073   </t>
  </si>
  <si>
    <t>1150428航空站經營專題講座-綠色智慧機場分享(朱文忠)</t>
  </si>
  <si>
    <t xml:space="preserve">T115UP010046   </t>
  </si>
  <si>
    <t>執行躍升計畫鐘點費115.4.15尤素珍</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</si>
  <si>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</si>
  <si>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</si>
  <si>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</si>
  <si>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</si>
  <si>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 xml:space="preserve">T115UR010104   </t>
  </si>
  <si>
    <t>航技系115年4月14日邀請長榮航運公司督導陳馬力船長蒞校進行航運講座(講題內容:碰撞議題)</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</si>
  <si>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</si>
  <si>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</si>
  <si>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</si>
  <si>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</si>
  <si>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 xml:space="preserve">T115UD020082   </t>
  </si>
  <si>
    <t>執行躍升計畫實驗及研究資料輸出用(B509實驗室)※品名:HP 3303fdw/3203dw 原廠黑色碳粉匣等</t>
  </si>
  <si>
    <t xml:space="preserve">T115UB000185   </t>
  </si>
  <si>
    <t>參與專題競賽及發表用海報印刷※品名:印刷品、大圖</t>
  </si>
  <si>
    <t xml:space="preserve">T115UJ020075   </t>
  </si>
  <si>
    <t>教學研究使用之文具※品名:文具</t>
  </si>
  <si>
    <t>齋美智子</t>
  </si>
  <si>
    <t>1150508</t>
  </si>
  <si>
    <t>T201754</t>
  </si>
  <si>
    <t xml:space="preserve">T115UQ010063   </t>
  </si>
  <si>
    <t>受款人：王治平，工程基礎實驗(二)材料費※品名:游標卡尺</t>
  </si>
  <si>
    <t xml:space="preserve">T115US020072   </t>
  </si>
  <si>
    <t>計畫用-材料費※品名:燒杯500ml、鐵台附鐵棒、滴定管50ml</t>
  </si>
  <si>
    <t xml:space="preserve">T115UP010053   </t>
  </si>
  <si>
    <t>執行躍升計畫交通費115.4.15尤素珍</t>
  </si>
  <si>
    <t xml:space="preserve">T115UN030026   </t>
  </si>
  <si>
    <t>115年3月科法所meta廣告行銷服務費用※品名:meta廣告費代付服務費</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</si>
  <si>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</si>
  <si>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</si>
  <si>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</si>
  <si>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</si>
  <si>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</si>
  <si>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</si>
  <si>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</si>
  <si>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</si>
  <si>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</si>
  <si>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</si>
  <si>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</si>
  <si>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</si>
  <si>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T115UH530044   </t>
  </si>
  <si>
    <t>報支黃佳純老師執行躍升計畫＿教學研究用3月ChatGpt使用費※品名:3月份ChatGpt</t>
  </si>
  <si>
    <t xml:space="preserve">T115UF080041   </t>
  </si>
  <si>
    <t>工設系補助課程(進階產品模型製作)所需耗材費(吸水布巾)※品名:耗材費</t>
  </si>
  <si>
    <t xml:space="preserve">T115UM740029   </t>
  </si>
  <si>
    <t>執行躍升計畫, 登打資料之無線滑鼠※品名:無線滑鼠</t>
  </si>
  <si>
    <t xml:space="preserve">T115UJ010089   </t>
  </si>
  <si>
    <t>114躍升計畫(資料蒐集費)支應丘羽先老師訂閱CLAUDE AI(一個月)，因應教學研究需求※品名:CLAUDE AI</t>
  </si>
  <si>
    <t xml:space="preserve">T115UM760069   </t>
  </si>
  <si>
    <t>付觀光系-劉志興老師配合躍升計畫AI教學工作坊所需之ChatGPT Plus Subscription費用。(核銷期間115年1月、2月、3月)。※品名:ChatGPT Plus Subscription</t>
  </si>
  <si>
    <t xml:space="preserve">T115UP010057   </t>
  </si>
  <si>
    <t>執行躍升計畫海報※品名:海報</t>
  </si>
  <si>
    <t xml:space="preserve">T115UO030041   </t>
  </si>
  <si>
    <t>躍升計畫-鼓勵教師申請計畫提升本系整體研究、產學量能_黃彥登老師申請115學年度大專生國科會計畫1件補助5000元。※品名:傳輸線及延長線</t>
  </si>
  <si>
    <t xml:space="preserve">T115UQ010033   </t>
  </si>
  <si>
    <t>受款人：睿朱數位電商股份有限公司，執行計畫用※品名:彩色影印費</t>
  </si>
  <si>
    <t xml:space="preserve">T115UQ010058   </t>
  </si>
  <si>
    <t>受款人:黃思詞，第三十八屆中國造船暨輪機工程研討會，學生發表論文研討會註冊費※品名:註冊費</t>
  </si>
  <si>
    <t xml:space="preserve">T115UE290201   </t>
  </si>
  <si>
    <t>實驗室研究與開發所需之電子模組與控制元件，用於課程與實驗測試。(電子材料費)※品名:PH計</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</si>
  <si>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</si>
  <si>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</si>
  <si>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</si>
  <si>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 xml:space="preserve">T115UP040044   </t>
  </si>
  <si>
    <t>陳育仁教授115/05/07台北產學合作洽談</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</si>
  <si>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</si>
  <si>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</si>
  <si>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</si>
  <si>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</si>
  <si>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</si>
  <si>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</si>
  <si>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</si>
  <si>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</si>
  <si>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</si>
  <si>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T115UM760071   </t>
  </si>
  <si>
    <t>付觀光系－何秉燦主任執行躍升計畫所需之115年中華觀光管理學會會費。※品名:2026年常年會費</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</si>
  <si>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</si>
  <si>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</si>
  <si>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</si>
  <si>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</si>
  <si>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</si>
  <si>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</si>
  <si>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</si>
  <si>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</si>
  <si>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</si>
  <si>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</si>
  <si>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T115UB000158   </t>
  </si>
  <si>
    <t>製作專題實驗用耗材※品名:UV膠、直流電機彈簧碳刷、二氧化碳</t>
  </si>
  <si>
    <t xml:space="preserve">T115UB000159   </t>
  </si>
  <si>
    <t>執行計畫用資料印刷※品名:印刷</t>
  </si>
  <si>
    <t xml:space="preserve">T115UE290163   </t>
  </si>
  <si>
    <t>計畫教學用耗材※品名:TP-Link UB500 微型USB藍芽接收器、LOGI BOLT USB接收器+無線滑鼠</t>
  </si>
  <si>
    <t xml:space="preserve">T115UE290169   </t>
  </si>
  <si>
    <t>教學用文件印刷費※品名:印刷費</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</si>
  <si>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</si>
  <si>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</si>
  <si>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</si>
  <si>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</si>
  <si>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</si>
  <si>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</si>
  <si>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</si>
  <si>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T115UT030041   </t>
  </si>
  <si>
    <t>財稅系老師教學研究使用※品名:商品如明細所示</t>
  </si>
  <si>
    <t>T201791</t>
  </si>
  <si>
    <t>510301-2505機械及設備修護費</t>
  </si>
  <si>
    <t xml:space="preserve">T115US030060   </t>
  </si>
  <si>
    <t>受款人：潘婕玉｜養殖設備維護查修※品名:鼓風機維修(管線查修、管線修復)</t>
  </si>
  <si>
    <t>潘婕玉</t>
  </si>
  <si>
    <t xml:space="preserve">T115UH530043   </t>
  </si>
  <si>
    <t>報支翁慈君老師執行躍升計畫＿教學研究用4月ChatGpt使用費※品名:4月份ChatGpt</t>
  </si>
  <si>
    <t xml:space="preserve">T115UE160086   </t>
  </si>
  <si>
    <t>實驗藥品※品名:十二烷基硫酸鈉</t>
  </si>
  <si>
    <t xml:space="preserve">T115UC450026   </t>
  </si>
  <si>
    <t>購置AI軟體以利學習與研究_鄭智陽※品名:ChatGPT訂閱(0318-0418)</t>
  </si>
  <si>
    <t xml:space="preserve">T115UN040046   </t>
  </si>
  <si>
    <t>許軒老師 智慧美學體驗研究室品牌語音、聽覺體驗設計之體驗與播放測試使用※品名:藍牙喇叭</t>
  </si>
  <si>
    <t xml:space="preserve">T115UR030046   </t>
  </si>
  <si>
    <t>旗津校區/海資系/1150420(12:00~13:00)召開執行計畫會議之誤餐費，共11人。※品名:便當</t>
  </si>
  <si>
    <t xml:space="preserve">T115UR030047   </t>
  </si>
  <si>
    <t>旗津校區/海資系/執行計畫用影印費※品名:影印</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</si>
  <si>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</si>
  <si>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</si>
  <si>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</si>
  <si>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</si>
  <si>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</si>
  <si>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</si>
  <si>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</si>
  <si>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</si>
  <si>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T115UN010032   </t>
  </si>
  <si>
    <t>【躍升計畫】補助學生參加EST2026研討會發表論文註冊費(陳仕航)-實支※品名:註冊費</t>
  </si>
  <si>
    <t xml:space="preserve">T115UR020082   </t>
  </si>
  <si>
    <t>輪機系_補助陳家立-吳勇翰同學赴台南參加第38屆中國造船暨輪機工程研討會，個別補助報名費用2000元總額4000元。※品名:研討會註冊費</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</si>
  <si>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</si>
  <si>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</si>
  <si>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</si>
  <si>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</si>
  <si>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</si>
  <si>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</si>
  <si>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</si>
  <si>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</si>
  <si>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</si>
  <si>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</si>
  <si>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</si>
  <si>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</si>
  <si>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</si>
  <si>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</si>
  <si>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</si>
  <si>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</si>
  <si>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</si>
  <si>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</si>
  <si>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</si>
  <si>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</si>
  <si>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</si>
  <si>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</si>
  <si>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</si>
  <si>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</si>
  <si>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</si>
  <si>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</si>
  <si>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</si>
  <si>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</si>
  <si>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</si>
  <si>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</si>
  <si>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</si>
  <si>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</si>
  <si>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</si>
  <si>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 xml:space="preserve">T115UP030053   </t>
  </si>
  <si>
    <t>3/26專家諮詢費-國立陽明交通大學林智勇教授</t>
  </si>
  <si>
    <t xml:space="preserve">T115UM740034   </t>
  </si>
  <si>
    <t>配合躍升計畫執行, 115.05.09，13點30分至16點00分，邀請鼎玉家族辦公室林群賢執行長蒞校專題演講，共2.5小時，每小時2,000元。</t>
  </si>
  <si>
    <t xml:space="preserve">T115UC110103   </t>
  </si>
  <si>
    <t>國企系</t>
  </si>
  <si>
    <t xml:space="preserve">T115UD020083   </t>
  </si>
  <si>
    <t>參加研討會所需海報※品名:A0海報</t>
  </si>
  <si>
    <t>郭永超</t>
  </si>
  <si>
    <t>1150513</t>
  </si>
  <si>
    <t>T201884</t>
  </si>
  <si>
    <t xml:space="preserve">T115UH530045   </t>
  </si>
  <si>
    <t>報支躍升計畫活動用折頁印刷費※品名:折頁印刷</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</si>
  <si>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</si>
  <si>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</si>
  <si>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</si>
  <si>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</si>
  <si>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</si>
  <si>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</si>
  <si>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</si>
  <si>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</si>
  <si>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</si>
  <si>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</si>
  <si>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T115US020078   </t>
  </si>
  <si>
    <t>計畫用-材料費※品名:雞肉、地瓜、南瓜、鳳梨、豆腐盒、烤模、稅額、椰漿(實支592元)</t>
  </si>
  <si>
    <t>T201885</t>
  </si>
  <si>
    <t xml:space="preserve">T115UQ030051   </t>
  </si>
  <si>
    <t>114/2學期日四技三實務專題材料費(董嘉侑)-陸瑞漢老師※品名:感光電路板</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</si>
  <si>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</si>
  <si>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</si>
  <si>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</si>
  <si>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</si>
  <si>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</si>
  <si>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</si>
  <si>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T115UF080044   </t>
  </si>
  <si>
    <t>工設系補助學生參加競賽所需材料費(壓克力品)※品名:材料費</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</si>
  <si>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</si>
  <si>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</si>
  <si>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</si>
  <si>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</si>
  <si>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</si>
  <si>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T115UR030062   </t>
  </si>
  <si>
    <t>旗津校區/海資系/邀請林家宏教授演講費(國立勤益科技大學電機工程系)(時間:115.05.13 18:30－20:30)(講題:淺談資訊安全)(碩專班)</t>
  </si>
  <si>
    <t xml:space="preserve">T115UO010099   </t>
  </si>
  <si>
    <t>1150513旅運中心教學參訪導覽-郝培宏</t>
  </si>
  <si>
    <t xml:space="preserve">T115UN010044   </t>
  </si>
  <si>
    <t>【躍升計畫】補助學生參加2026資訊管理暨電子商務經營管理研討會發表論文交通費(陳宥諺)-台鐵自強號新左營站-臺東站來回(非當日來回)-實支(僅核銷一般座艙票價)</t>
  </si>
  <si>
    <t xml:space="preserve">T115UB000205   </t>
  </si>
  <si>
    <t>耗材※品名:耗材</t>
  </si>
  <si>
    <t>廖幸園</t>
  </si>
  <si>
    <t xml:space="preserve">T115UD020084   </t>
  </si>
  <si>
    <t>實驗室耗材※品名:修正內帶5mm</t>
  </si>
  <si>
    <t xml:space="preserve">T115UD020085   </t>
  </si>
  <si>
    <t>購買實驗室耗材※品名:可變電阻、實驗室耗材</t>
  </si>
  <si>
    <t xml:space="preserve">T115UE290212   </t>
  </si>
  <si>
    <t>至新竹參加第六屆奈米元件電路與技術研討會暨聯合開發計畫成果發表會</t>
  </si>
  <si>
    <t xml:space="preserve">T115UJ020083   </t>
  </si>
  <si>
    <t>執行躍升計畫之師生研究討論之餐費及教學研究所購買之用品。※品名:十銓隨身碟　USB3、除塵補充包、日本區域研究 師生研究討論餐敘 費用報銷</t>
  </si>
  <si>
    <t xml:space="preserve">T115UO030055   </t>
  </si>
  <si>
    <t>躍升計畫_鼓勵學生參加英文考試補助-  C112190124 幼禎報考多益英語證照考試，系上補助部分報名費500元</t>
  </si>
  <si>
    <t>1150514</t>
  </si>
  <si>
    <t>T201906</t>
  </si>
  <si>
    <t xml:space="preserve">T115UO030043   </t>
  </si>
  <si>
    <t>躍升計畫_鼓勵學生參加英文考試補助- C112190149賴農鈞報考多益英語證照考試，系上補助部分報名費500元</t>
  </si>
  <si>
    <t xml:space="preserve">T115UP010048   </t>
  </si>
  <si>
    <t>執行躍升計畫交通費115.4.29陳漢恩</t>
  </si>
  <si>
    <t xml:space="preserve">T115UN010037   </t>
  </si>
  <si>
    <t>【躍升計畫】補助學生參加「2026 Best AI Awards 智慧創新大賞」決賽交通費(林竣翔、簡家鴻、林修同)-高鐵台北站-左營站(回程)</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</si>
  <si>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</si>
  <si>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</si>
  <si>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</si>
  <si>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</si>
  <si>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</si>
  <si>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</si>
  <si>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T201907</t>
  </si>
  <si>
    <t xml:space="preserve">T115UE230047   </t>
  </si>
  <si>
    <t>課程使用※品名:250CC水泥比重瓶、水分計燈泡、砂飽和比重瓶、土壤壓密透水石</t>
  </si>
  <si>
    <t>T201913</t>
  </si>
  <si>
    <t xml:space="preserve">T115UF080043   </t>
  </si>
  <si>
    <t>工設系討論課程規劃所需餐費(1150430中午1200-1300，共計10人)※品名:便當</t>
  </si>
  <si>
    <t xml:space="preserve">T115UN010038   </t>
  </si>
  <si>
    <t>【躍升計畫】補助學生參加「2026 Best AI Awards 智慧創新大賞」住宿費(林竣翔)※品名:住宿費</t>
  </si>
  <si>
    <t>T201914</t>
  </si>
  <si>
    <t xml:space="preserve">T115UQ010071   </t>
  </si>
  <si>
    <t>受款人:潘虹岐，第三十八屆中國造船暨輪機工程研討會，學生發表論文研討會註冊費※品名:註冊費</t>
  </si>
  <si>
    <t>T201915</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</si>
  <si>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</si>
  <si>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</si>
  <si>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</si>
  <si>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</si>
  <si>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 xml:space="preserve">T115UN010039   </t>
  </si>
  <si>
    <t>【差假單編號:PE11502714】帶領所指導之專題生參加「23屆育秀盃創意獎」總決賽與「2026 Best AI Awards 智慧創新大賞」決賽。</t>
  </si>
  <si>
    <t>T201937</t>
  </si>
  <si>
    <t xml:space="preserve">T115UD020074   </t>
  </si>
  <si>
    <t>實驗室量測IC使用(支出分攤114TSD00-15$10517元，DUD2-1$583元.)※品名:實驗室IC麵包板(併D115004093)</t>
  </si>
  <si>
    <t xml:space="preserve">T115UO030056   </t>
  </si>
  <si>
    <t>躍升計畫_鼓勵學生參加英文考試補助- C112190131周姵妤報考多益英語證照考試，系上補助部分報名費500元</t>
  </si>
  <si>
    <t xml:space="preserve">T115UQ030062   </t>
  </si>
  <si>
    <t>鼓勵教師參加研討會並發表論文補助註冊費(吳佳老師)</t>
  </si>
  <si>
    <t>1150515</t>
  </si>
  <si>
    <t>T201951</t>
  </si>
  <si>
    <t xml:space="preserve">T115UE720072   </t>
  </si>
  <si>
    <t>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</si>
  <si>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</si>
  <si>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</si>
  <si>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</si>
  <si>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</si>
  <si>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</si>
  <si>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</si>
  <si>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</si>
  <si>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 xml:space="preserve">T115UE290222   </t>
  </si>
  <si>
    <t>115/04/18 演講鐘點費_陳盈銓，演講題目：網站探查技術</t>
  </si>
  <si>
    <t xml:space="preserve">T115UO010109   </t>
  </si>
  <si>
    <t>1150515海商法與航運職涯-思辨學能力的培養-張志清(于惠蓉)</t>
  </si>
  <si>
    <t xml:space="preserve">T115UB000208   </t>
  </si>
  <si>
    <t>115年5月14日參加第六屆奈米元件電路與技術研討會暨高階人才養成計畫成果發表會交通費-張勝博老師</t>
  </si>
  <si>
    <t xml:space="preserve">T115UE290227   </t>
  </si>
  <si>
    <t>※品名:研討會報名費</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</si>
  <si>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</si>
  <si>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</si>
  <si>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</si>
  <si>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</si>
  <si>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</si>
  <si>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 xml:space="preserve">T115UJ010111   </t>
  </si>
  <si>
    <t>(未)114躍升計畫支應吳慧君工讀金(115年6月)</t>
  </si>
  <si>
    <t xml:space="preserve">T115UM760082   </t>
  </si>
  <si>
    <t>付觀光系－何秉燦主任執行躍升計畫所需之115年台灣服務科學學會會費。※品名:2026年常年會費</t>
  </si>
  <si>
    <t xml:space="preserve">T115UN020029   </t>
  </si>
  <si>
    <t>5/15學術演講-就業創業皆公司(江珊如律師)</t>
  </si>
  <si>
    <t xml:space="preserve">T115UN020030   </t>
  </si>
  <si>
    <t>5/15學術演講交通費補助(江珊如律師)</t>
  </si>
  <si>
    <t xml:space="preserve">T115UO030057   </t>
  </si>
  <si>
    <t>躍升計畫_鼓勵學生參加英文考試補助- C112190148倪翊皓報考多益英語證照考試，系上補助部分報名費500元</t>
  </si>
  <si>
    <t>1150516</t>
  </si>
  <si>
    <t xml:space="preserve">T115UE290228   </t>
  </si>
  <si>
    <t>實驗室研究與開發所需之電子模組與控制元件，用於課程與實驗測試。(電子材料費)※品名:電子材料</t>
  </si>
  <si>
    <t>1150517</t>
  </si>
  <si>
    <t xml:space="preserve">T115UD020087   </t>
  </si>
  <si>
    <t>執行躍升計畫實驗研究用※品名:4GBOSDIMM記憶體(5060)</t>
  </si>
  <si>
    <t>許耀文</t>
  </si>
  <si>
    <t>1150518</t>
  </si>
  <si>
    <t>T201967</t>
  </si>
  <si>
    <t xml:space="preserve">T115UM740033   </t>
  </si>
  <si>
    <t>配合躍升計畫, 舉辦活動所需用之文具用品※品名:文具用品○詳如銷貨明細○○</t>
  </si>
  <si>
    <t xml:space="preserve">T115UH530050   </t>
  </si>
  <si>
    <t>報支執行躍升計畫教學用陳必碩老師2-5月ChatGpt使用費※品名:2月份chat gpt、3月份chat gpt、4月份chat gpt、5月份chat gpt</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</si>
  <si>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</si>
  <si>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</si>
  <si>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</si>
  <si>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</si>
  <si>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 xml:space="preserve">T115UO030047   </t>
  </si>
  <si>
    <t>躍升計畫-鼓勵教師申請計畫提升本系整體研究、產學量能_徐賢斌老師申請115年教育部教學實踐研究計畫1件補助5000元。※品名:文具(筆記本)</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</si>
  <si>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</si>
  <si>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</si>
  <si>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</si>
  <si>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</si>
  <si>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</si>
  <si>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</si>
  <si>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</si>
  <si>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</si>
  <si>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</si>
  <si>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</si>
  <si>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</si>
  <si>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</si>
  <si>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</si>
  <si>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 xml:space="preserve">T115UC450054   </t>
  </si>
  <si>
    <t>提升教師研究用雜項用品(雜支)※品名:連接線</t>
  </si>
  <si>
    <t xml:space="preserve">T115UE160117   </t>
  </si>
  <si>
    <t>受款人:友和貿易股份有限公司/27044/實驗用途※品名:1-Bromohexane、二甲基亞石風、氯化銨、丁基羥基甲苯、丙酮、乙酸乙酯、己烷</t>
  </si>
  <si>
    <t xml:space="preserve">T115UE290229   </t>
  </si>
  <si>
    <t>資訊耗材※品名:無線鍵盤滑鼠組、USB網路卡</t>
  </si>
  <si>
    <t>劉炳宏</t>
  </si>
  <si>
    <t xml:space="preserve">T115UE250094   </t>
  </si>
  <si>
    <t>實驗室用之文具用品及五金耗材(棉紗手套及沾膠手套)※品名:文具耗材(詳如發票)、五金耗材(詳如發票)</t>
  </si>
  <si>
    <t xml:space="preserve">T115UE720103   </t>
  </si>
  <si>
    <t>研究資料收集與分析:ESG揭露與GRI V.S. TCFD V.S. SASB V.S. ISSB V.S. IFRS整合※品名:研究資料收集與分析:ESG揭露與GRI V.S. TCFD V.S. SASB V.S. ISSB V.S. IFRS整合</t>
  </si>
  <si>
    <t xml:space="preserve">T115UQ030063   </t>
  </si>
  <si>
    <t>114學年第2學期專題競賽獎狀影印費※品名:影印</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</si>
  <si>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</si>
  <si>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</si>
  <si>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</si>
  <si>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</si>
  <si>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</si>
  <si>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</si>
  <si>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</si>
  <si>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T115UO010112   </t>
  </si>
  <si>
    <t>1150513登泰國際物流公司教學參訪保險費實支684元(于惠蓉)※品名:保費</t>
  </si>
  <si>
    <t xml:space="preserve">T115UN010059   </t>
  </si>
  <si>
    <t>【差假單編號:PE11503327】至台北商業大學探討AI產學合作後續事宜</t>
  </si>
  <si>
    <t xml:space="preserve">T115UD030137   </t>
  </si>
  <si>
    <t>電通系電腦教室軟體使用※品名:軟體使用費</t>
  </si>
  <si>
    <t xml:space="preserve">T115UN040103   </t>
  </si>
  <si>
    <t>115年5月何銘儀工讀金</t>
  </si>
  <si>
    <t xml:space="preserve">T115UO030058   </t>
  </si>
  <si>
    <t>躍升計畫_鼓勵學生參加英文考試補助- C112190123陳奕琁報考多益英語證照考試，系上補助部分報名費500元</t>
  </si>
  <si>
    <t xml:space="preserve">T115UO030059   </t>
  </si>
  <si>
    <t>115年5月躍升計畫-工讀費_協助系所辦理各類活動(學生1名:劉芊逸)</t>
  </si>
  <si>
    <t xml:space="preserve">T115US040044   </t>
  </si>
  <si>
    <t>田野實驗耗材※品名:石斑魚苗(田野實驗)、魚隻運費、打氣石、打氣管、魚飼料</t>
  </si>
  <si>
    <t>蘇豐傑</t>
  </si>
  <si>
    <t>1150520</t>
  </si>
  <si>
    <t>T202052</t>
  </si>
  <si>
    <t xml:space="preserve">T115UM740035   </t>
  </si>
  <si>
    <t>配合躍升計畫執行, 115.05.09，13點30分至16點00分，邀請鼎玉家族辦公室林群賢執行長蒞校專題演講，台中-高雄高鐵來回</t>
  </si>
  <si>
    <t xml:space="preserve">T115UP010051   </t>
  </si>
  <si>
    <t>執行躍升計畫交通費115.5.6戴良安</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</si>
  <si>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</si>
  <si>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</si>
  <si>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</si>
  <si>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</si>
  <si>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</si>
  <si>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</si>
  <si>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</si>
  <si>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</si>
  <si>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</si>
  <si>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</si>
  <si>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</si>
  <si>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</si>
  <si>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</si>
  <si>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</si>
  <si>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</si>
  <si>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</si>
  <si>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 xml:space="preserve">T115UT000095   </t>
  </si>
  <si>
    <t>智慧商務系 MA211教室 網路施工維修※品名:網路施工</t>
  </si>
  <si>
    <t xml:space="preserve">T115UN010060   </t>
  </si>
  <si>
    <t>【差假單編號:PE11503328】至台北商業大學探討AI產學合作後續事宜</t>
  </si>
  <si>
    <t xml:space="preserve">T115UC110119   </t>
  </si>
  <si>
    <t>執行躍升計畫-教師社群專題演講費。</t>
  </si>
  <si>
    <t xml:space="preserve">T115UC110120   </t>
  </si>
  <si>
    <t>執行躍升計畫-教師社群專題演講費。吳孟珍</t>
  </si>
  <si>
    <t xml:space="preserve">T115UE160120   </t>
  </si>
  <si>
    <t>實驗用※品名:口罩、充電線、口罩、夾鏈袋、墊片</t>
  </si>
  <si>
    <t xml:space="preserve">T115UE310062   </t>
  </si>
  <si>
    <t>115年度模308材料實驗室核定之材料費--採購8"拋光布※品名:Kemet 鑽石液用8"拋光布</t>
  </si>
  <si>
    <t xml:space="preserve">T115UF010062   </t>
  </si>
  <si>
    <t>教學課程使用(執行計畫)F210教學教室空間修繕※品名:修繕費</t>
  </si>
  <si>
    <t xml:space="preserve">T115UF080055   </t>
  </si>
  <si>
    <t>工設系114-2學期專題演講講師鐘點費(115/05/13，13：30-15：30 謝玉鈴)</t>
  </si>
  <si>
    <t xml:space="preserve">T115UF080056   </t>
  </si>
  <si>
    <t>工設系114-2學期專題演講講師交通費(115/05/13，13：30-15：30 謝玉鈴，新左營-臺中)</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</si>
  <si>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</si>
  <si>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</si>
  <si>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</si>
  <si>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</si>
  <si>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</si>
  <si>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1150521</t>
  </si>
  <si>
    <t>T202088</t>
  </si>
  <si>
    <t xml:space="preserve">T115UE160064   </t>
  </si>
  <si>
    <t>實驗用※品名:氣體交換層、陰離子交換膜、試管塞、運費</t>
  </si>
  <si>
    <t xml:space="preserve">T115UE250087   </t>
  </si>
  <si>
    <t>實驗用之不銹鋼棒五金耗材及實驗室用之文具耗材及郵件傳遞之郵資※品名:五金耗材(詳如發票)、文具耗材(詳如發票)、郵資</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</si>
  <si>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</si>
  <si>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</si>
  <si>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</si>
  <si>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</si>
  <si>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</si>
  <si>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</si>
  <si>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</si>
  <si>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</si>
  <si>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T115UP040039   </t>
  </si>
  <si>
    <t>研習教育訓練費※品名:研習教育訓練費</t>
  </si>
  <si>
    <t>林靜香</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</si>
  <si>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</si>
  <si>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</si>
  <si>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 xml:space="preserve">T115US030071   </t>
  </si>
  <si>
    <t>受款人：一六八環保企業社｜楠梓校區樂群樓4樓魚病實驗室水槽水管之查修維護※品名:通水管</t>
  </si>
  <si>
    <t xml:space="preserve">T115UC450059   </t>
  </si>
  <si>
    <t>購置AI軟體以利學習與研究_何姍嬬※品名:ChatGPT訂閱(0416-0516)</t>
  </si>
  <si>
    <t xml:space="preserve">T115UE290241   </t>
  </si>
  <si>
    <t>台灣半導體研究中心研討會報名費(老師*1+學生*2)※品名:研討會報名費</t>
  </si>
  <si>
    <t xml:space="preserve">T115UE290243   </t>
  </si>
  <si>
    <t>計畫教學用耗材※品名:無線藍芽滑鼠</t>
  </si>
  <si>
    <t xml:space="preserve">T115UF080059   </t>
  </si>
  <si>
    <t>工設系執行計畫所需工讀費(邱俊睿，14H)</t>
  </si>
  <si>
    <t xml:space="preserve">T115UF080060   </t>
  </si>
  <si>
    <t>工設系討論課程規劃所需餐費(1150521中午1200-1330，共計10人次)※品名:餐費</t>
  </si>
  <si>
    <t xml:space="preserve">T115UN010064   </t>
  </si>
  <si>
    <t>【躍升計畫】補助學生參加ICIM2026研討會發表論文註冊費(張珈薰)-實支※品名:註冊費</t>
  </si>
  <si>
    <t xml:space="preserve">T115UN010065   </t>
  </si>
  <si>
    <t>【躍升計畫】補助學生參加ICIM2026研討會發表論文交通費(張珈薰)-高鐵左營站-台北站來回</t>
  </si>
  <si>
    <t xml:space="preserve">T115UN010067   </t>
  </si>
  <si>
    <t>【躍升計畫】補助學生參加ICIM2026研討會發表論文註冊費(陳彥廷)-實支※品名:註冊費</t>
  </si>
  <si>
    <t xml:space="preserve">T115UN010068   </t>
  </si>
  <si>
    <t>【躍升計畫】補助學生參加ICIM2026研討會發表論文交通費(陳彥廷)-高鐵左營站-台北站來回</t>
  </si>
  <si>
    <t xml:space="preserve">T115UN030041   </t>
  </si>
  <si>
    <t>執行系所躍升計畫採購之月旦醫事法報告(115/1-115/12)※品名:月旦醫事法報告</t>
  </si>
  <si>
    <t xml:space="preserve">T115UO010116   </t>
  </si>
  <si>
    <t>1150521二乙小港機場教學參訪交通費※品名:捷運團體票</t>
  </si>
  <si>
    <t xml:space="preserve">T115UO010117   </t>
  </si>
  <si>
    <t>1150521二乙小港機場教學參訪保費※品名:保費</t>
  </si>
  <si>
    <t>1150522</t>
  </si>
  <si>
    <t>T202117</t>
  </si>
  <si>
    <t xml:space="preserve">T115UE160108   </t>
  </si>
  <si>
    <t>為研究所需，採購實驗所需耗材。※品名:磷酸釩鈉、手套、無塵紙</t>
  </si>
  <si>
    <t>潘俊仁</t>
  </si>
  <si>
    <t xml:space="preserve">T115UC450039   </t>
  </si>
  <si>
    <t xml:space="preserve">T115UC450044   </t>
  </si>
  <si>
    <t>購置AI軟體以利學習與研究_鄭智陽※品名:ChatGPT訂閱(0418-0518)</t>
  </si>
  <si>
    <t xml:space="preserve">T115UE160127   </t>
  </si>
  <si>
    <t>實驗、辦公室與教學用※品名:血糖試紙、鑰匙、郵寄費、快乾水性筆、耳機用耳罩</t>
  </si>
  <si>
    <t xml:space="preserve">T115UN020025- 1   </t>
  </si>
  <si>
    <t>執行計畫用墨水匣(吳偉銘老師)※品名:墨水匣</t>
  </si>
  <si>
    <t xml:space="preserve">T115UO010120   </t>
  </si>
  <si>
    <t>1150513二甲乙高雄港教學參訪交通費※品名:捷運團體票</t>
  </si>
  <si>
    <t xml:space="preserve">T115UO010121   </t>
  </si>
  <si>
    <t>1150513二甲乙高雄港教學參訪交通費※品名:保費</t>
  </si>
  <si>
    <t xml:space="preserve">T115UO040066   </t>
  </si>
  <si>
    <t>2026講座鐘點費</t>
  </si>
  <si>
    <t>戴堯種</t>
  </si>
  <si>
    <t xml:space="preserve">T115UP030067   </t>
  </si>
  <si>
    <t>5/11專家諮詢費-中山大學王昭文教授等3人</t>
  </si>
  <si>
    <t>1150523</t>
  </si>
  <si>
    <t xml:space="preserve">T115US190052   </t>
  </si>
  <si>
    <t>生分實驗室清運處理※品名:垃圾處理</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</si>
  <si>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</si>
  <si>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</si>
  <si>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</si>
  <si>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</si>
  <si>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</si>
  <si>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</si>
  <si>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</si>
  <si>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</si>
  <si>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</si>
  <si>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</si>
  <si>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</si>
  <si>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T115UR030061   </t>
  </si>
  <si>
    <t>旗津校區/海資系/邀請林家宏教授演講費(國立勤益科技大學電機工程系)(時間:115.05.13 15:30－17:20)(講題:淺談資訊安全)(碩士班)</t>
  </si>
  <si>
    <t xml:space="preserve">T115UP030049   </t>
  </si>
  <si>
    <t>4/20專家諮詢費-王昭文、林智勇、何柏欣等3位教授</t>
  </si>
  <si>
    <t xml:space="preserve">T115UC450040   </t>
  </si>
  <si>
    <t>金資專題講座-林奕儒115.5.4鐘點費</t>
  </si>
  <si>
    <t xml:space="preserve">T115UC450043   </t>
  </si>
  <si>
    <t>金資專題講座-林奕儒115.5.5鐘點費</t>
  </si>
  <si>
    <t xml:space="preserve">T115UB000225   </t>
  </si>
  <si>
    <t>製作專題實驗用器材※品名:無線鍵盤</t>
  </si>
  <si>
    <t xml:space="preserve">T115UJ010119   </t>
  </si>
  <si>
    <t>114躍升計畫補助林依寧參加國際研討會發表論文交通費(5/15-5/18)</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</si>
  <si>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</si>
  <si>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</si>
  <si>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</si>
  <si>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</si>
  <si>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 xml:space="preserve">T115UN020033   </t>
  </si>
  <si>
    <t>115年05月份李能安等協助計畫執行費用</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</si>
  <si>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</si>
  <si>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</si>
  <si>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T115UP010097   </t>
  </si>
  <si>
    <t>115.6.3金融系躍升計畫討論會議便當中午12:00-13:30，共22人※品名:便當</t>
  </si>
  <si>
    <t xml:space="preserve">T115UR020128   </t>
  </si>
  <si>
    <t>輪機系_林存國執行躍升計畫_參加2026第24界精密機械與製造科技研討會論文集_支付註冊費用$4000。※品名:註冊費</t>
  </si>
  <si>
    <t>1150526</t>
  </si>
  <si>
    <t>T202218</t>
  </si>
  <si>
    <t xml:space="preserve">T115UJ020067   </t>
  </si>
  <si>
    <t>【躍升】黃愛玲教師參加台大日本語文學系舉辦之「2026年度國際學術研討會:日語翻譯研究最前線」所使用之交通費。</t>
  </si>
  <si>
    <t>T202242</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</si>
  <si>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</si>
  <si>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</si>
  <si>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</si>
  <si>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</si>
  <si>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</si>
  <si>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</si>
  <si>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 xml:space="preserve">T115UE290136   </t>
  </si>
  <si>
    <t>樣品保存與包裝用耗材※品名:大九九購物袋、收納盒、置物盒、4號夾鏈袋、3號夾鏈袋</t>
  </si>
  <si>
    <t xml:space="preserve">T115UD020050   </t>
  </si>
  <si>
    <t>計畫所需之AI訂閱※品名:AI (Claude)訂閱</t>
  </si>
  <si>
    <t xml:space="preserve">T115UD020054   </t>
  </si>
  <si>
    <t>執行躍升計畫實驗用※品名:路由器</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</si>
  <si>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</si>
  <si>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</si>
  <si>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</si>
  <si>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</si>
  <si>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</si>
  <si>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</si>
  <si>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</si>
  <si>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</si>
  <si>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</si>
  <si>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</si>
  <si>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</si>
  <si>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T115UE290114   </t>
  </si>
  <si>
    <t>購買實驗與清潔用耗材※品名:氫氧化鈉、95%酒精（乙醇）、99.9% IPA（異丙醇）、它項 運費</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</si>
  <si>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</si>
  <si>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</si>
  <si>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</si>
  <si>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</si>
  <si>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</si>
  <si>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</si>
  <si>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</si>
  <si>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</si>
  <si>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</si>
  <si>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</si>
  <si>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</si>
  <si>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</si>
  <si>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</si>
  <si>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</si>
  <si>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 xml:space="preserve">T115UC450062   </t>
  </si>
  <si>
    <t>姜林杰祐115.5.23出席系友交誼會交流職涯發展與實務經驗</t>
  </si>
  <si>
    <t xml:space="preserve">T115UC450063   </t>
  </si>
  <si>
    <t>鄭智陽115.5.23出席系友交誼會交流職涯發展與實務經驗</t>
  </si>
  <si>
    <t xml:space="preserve">T115UE150105   </t>
  </si>
  <si>
    <t>Claude AI-AI開發工具，協助程式開發使用。※品名:Claude AI 使用費(含國外交易服務費)</t>
  </si>
  <si>
    <t xml:space="preserve">T115UE160132   </t>
  </si>
  <si>
    <t>實驗室用器材※品名:無線鍵鼠組、充電電池 2500 mAh、藍芽耳機麥克風、隨身碟 256 GB</t>
  </si>
  <si>
    <t>高立衡</t>
  </si>
  <si>
    <t xml:space="preserve">T115UE290249   </t>
  </si>
  <si>
    <t>代墊人:張萬榮_台灣機器人學會_研討會註冊費※品名:研討會註冊費</t>
  </si>
  <si>
    <t>張萬榮</t>
  </si>
  <si>
    <t xml:space="preserve">T115UE290252   </t>
  </si>
  <si>
    <t>(待送出，等閔昱收據)代墊人:張萬榮_第二十四屆離島資訊技術與應用研討會_註冊費※品名:註冊費</t>
  </si>
  <si>
    <t xml:space="preserve">T115UE310071   </t>
  </si>
  <si>
    <t>研討會論文發表費、實驗室耗品※品名:研討會論文發表費#55、研討會論文發表費#56、模具加工費用、電源線、廚房紙巾、酒精、洗手乳等、影印</t>
  </si>
  <si>
    <t>林恆勝</t>
  </si>
  <si>
    <t xml:space="preserve">T115UJ010125   </t>
  </si>
  <si>
    <t>114躍升計畫補助徐暄詠參加國際研討會發表論文交通費(5/15-5/18)</t>
  </si>
  <si>
    <t xml:space="preserve">T115UP030068   </t>
  </si>
  <si>
    <t>論文投稿費(informs)-林財印※品名:論文投稿費</t>
  </si>
  <si>
    <t xml:space="preserve">T115UP030069   </t>
  </si>
  <si>
    <t>論文投稿費(RAST Journal)-林財印※品名:論文投稿費</t>
  </si>
  <si>
    <t xml:space="preserve">T115US040053   </t>
  </si>
  <si>
    <t>學生許銘倫、范育菱、陳品蓉、李紘宇等四人於5/11至5/13參加2026環境分析研討會之回程高鐵</t>
  </si>
  <si>
    <t xml:space="preserve">T115US190045- 1   </t>
  </si>
  <si>
    <t>115年度漁管系執行改質躍升計畫用之碳粉夾※品名:碳粉夾</t>
  </si>
  <si>
    <t>1150527</t>
  </si>
  <si>
    <t>T202274</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</si>
  <si>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</si>
  <si>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</si>
  <si>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</si>
  <si>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</si>
  <si>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</si>
  <si>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</si>
  <si>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</si>
  <si>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</si>
  <si>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T115UP010083   </t>
  </si>
  <si>
    <t>114-2執行躍升計畫金融系E220教室廣播盒連接器維修費用(財產編號4050303-2405000047)※品名:廣播盒連接器維修</t>
  </si>
  <si>
    <t xml:space="preserve">T115UP010054   </t>
  </si>
  <si>
    <t>115.5.13金融系躍升計畫討論會議便當中午12:00-13:30，共22人※品名:便當</t>
  </si>
  <si>
    <t xml:space="preserve">T115UN010043   </t>
  </si>
  <si>
    <t>【躍升計畫】補助學生參加2026資訊管理暨電子商務經營管理研討會發表論文註冊費(陳宥諺)※品名:註冊費</t>
  </si>
  <si>
    <t xml:space="preserve">T115UR030060   </t>
  </si>
  <si>
    <t xml:space="preserve">T115UP030056   </t>
  </si>
  <si>
    <t>執行計畫用-論文投稿費※品名:論文投稿費</t>
  </si>
  <si>
    <t xml:space="preserve">T115UQ030047   </t>
  </si>
  <si>
    <t>114/2學期日四技三實務專題材料費(趙凱軒.張寓威.張凱量.劉姵昕.陳芮萱)-林秋欽老師※品名:電子材料一批(如明細)</t>
  </si>
  <si>
    <t xml:space="preserve">T115UF080050   </t>
  </si>
  <si>
    <t>工設系補助教師課程所需材料費(林龍吟，飛機墓、3D列印線、ABS板)※品名:材料費</t>
  </si>
  <si>
    <t xml:space="preserve">T115UT000092   </t>
  </si>
  <si>
    <t>智慧商務系購置墨水匣供海報印表機用※品名:墨水匣Epson T6922、墨水匣Epson T6925</t>
  </si>
  <si>
    <t>T202275</t>
  </si>
  <si>
    <t xml:space="preserve">T115UH530054   </t>
  </si>
  <si>
    <t>報支躍升計畫用系教評會議便當費，會議日期:115.5.14中午12:00~13:00，參加人數:11人※品名:便當</t>
  </si>
  <si>
    <t xml:space="preserve">T115UE290176   </t>
  </si>
  <si>
    <t>計畫用印表機耗材※品名:碳粉匣HPCE410XC</t>
  </si>
  <si>
    <t xml:space="preserve">T115UJ030035   </t>
  </si>
  <si>
    <t>付應德系學生參加全國萊茵盃德語競賽學生保險。※品名:保險費</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</si>
  <si>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</si>
  <si>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</si>
  <si>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</si>
  <si>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</si>
  <si>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</si>
  <si>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</si>
  <si>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T202280</t>
  </si>
  <si>
    <t xml:space="preserve">T115UO030054   </t>
  </si>
  <si>
    <t>躍升計畫-鼓勵教師申請計畫提升本系整體研究、產學量能_林義屏老師申請115年大專生國科會計畫1件補助5000元，購買麥克風實支1290元。※品名:麥克風</t>
  </si>
  <si>
    <t xml:space="preserve">T115UM760079   </t>
  </si>
  <si>
    <t>付觀光系115.05.06黃永全老師配合躍升計畫執行地方創生課程帶學生至高雄市小港區校外參訪所需之交通費用。※品名:車資</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</si>
  <si>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</si>
  <si>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</si>
  <si>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</si>
  <si>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</si>
  <si>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</si>
  <si>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</si>
  <si>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</si>
  <si>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</si>
  <si>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 xml:space="preserve">T115UN010050   </t>
  </si>
  <si>
    <t>【躍升計畫】補助學生參加ICIM2026研討會發表論文註冊費(林聖哲)-實支※品名:註冊費</t>
  </si>
  <si>
    <t xml:space="preserve">T115UN010053   </t>
  </si>
  <si>
    <t>【躍升計畫】補助學生參加ICIM2026研討會發表論文註冊費(陳昱全)-實支※品名:註冊費</t>
  </si>
  <si>
    <t xml:space="preserve">T115UQ030060   </t>
  </si>
  <si>
    <t>114學年第2學期實務專題競賽補助學生海報(實支2150元)※品名:海報</t>
  </si>
  <si>
    <t xml:space="preserve">T115UP030055   </t>
  </si>
  <si>
    <t>執行計畫用-文具用品※品名:資料夾、壓克力標示架</t>
  </si>
  <si>
    <t xml:space="preserve">T115UP040043   </t>
  </si>
  <si>
    <t>114.2(燕巢)4/30專業學術講座-事務用品※品名:文具</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</si>
  <si>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</si>
  <si>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</si>
  <si>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</si>
  <si>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</si>
  <si>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</si>
  <si>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T115UC450050   </t>
  </si>
  <si>
    <t>購置AI軟體以利學習與研究_姜林杰祐※品名:ChatGPT訂閱(0418-0518)</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</si>
  <si>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</si>
  <si>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</si>
  <si>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</si>
  <si>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</si>
  <si>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</si>
  <si>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</si>
  <si>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</si>
  <si>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</si>
  <si>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</si>
  <si>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</si>
  <si>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</si>
  <si>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</si>
  <si>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 xml:space="preserve">T115UH530052   </t>
  </si>
  <si>
    <t>報支執行躍升計畫教學用董玉娟老師5月ChatGpt使用費※品名:5月份chat gpt</t>
  </si>
  <si>
    <t xml:space="preserve">T115UM740036   </t>
  </si>
  <si>
    <t>配合躍升計畫, 儲存活動資料之行動硬碟※品名:1TB行動硬碟</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</si>
  <si>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</si>
  <si>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</si>
  <si>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</si>
  <si>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</si>
  <si>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</si>
  <si>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</si>
  <si>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T115UN010054   </t>
  </si>
  <si>
    <t>【躍升計畫】補助學生參加ICIM2026研討會發表論文交通費(曾靖捷)-高鐵左營站-台北站來回(非當日來回)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</si>
  <si>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</si>
  <si>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</si>
  <si>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</si>
  <si>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</si>
  <si>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T115UN010057   </t>
  </si>
  <si>
    <t>【躍升計畫】補助學生參加ICIM2026研討會發表論文交通費(饒洺瑋)-高鐵左營站-台北站來回</t>
  </si>
  <si>
    <t xml:space="preserve">T115UN010049   </t>
  </si>
  <si>
    <t>【躍升計畫】補助學生參加ICIM2026研討會發表論文交通費(吳柏諭)-高鐵左營站-台北站來回</t>
  </si>
  <si>
    <t xml:space="preserve">T115UN010046   </t>
  </si>
  <si>
    <t>【躍升計畫】補助學生參加ICIM2026研討會發表論文交通費(鄭裕庭)-高鐵左營站-台北站來回-實支(回程僅核銷台北站至左營站票價)</t>
  </si>
  <si>
    <t xml:space="preserve">T115UO010114   </t>
  </si>
  <si>
    <t>1150513登泰國際物流公司教學參訪交通費(于惠蓉)※品名:交通費</t>
  </si>
  <si>
    <t xml:space="preserve">T115UP040049   </t>
  </si>
  <si>
    <t>執行教學與研究所購文具一批※品名:文具一批(L型多功能A4文件夾, 強力磁鐵等)</t>
  </si>
  <si>
    <t xml:space="preserve">T115UC450053   </t>
  </si>
  <si>
    <t>提升教師研究用雜項用品(雜支)※品名:無線鍵鼠組</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</si>
  <si>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</si>
  <si>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</si>
  <si>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</si>
  <si>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</si>
  <si>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</si>
  <si>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</si>
  <si>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</si>
  <si>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</si>
  <si>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</si>
  <si>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 xml:space="preserve">T115UE310075   </t>
  </si>
  <si>
    <t>115年度多功能實習工廠核定之材料費※品名:SKS手絞絲攻M5*0.8、內六角螺絲</t>
  </si>
  <si>
    <t xml:space="preserve">T115UF080063   </t>
  </si>
  <si>
    <t>工設系114-2學期專題演講講師鐘點費(115/5/27，15：30-17：30 吳志富)</t>
  </si>
  <si>
    <t xml:space="preserve">T115UJ020090   </t>
  </si>
  <si>
    <t>推動躍升計畫，補助學生參與全國大專院校日語文聯合盃賽之車資。補助每人500元，8人共補助4000元。名單詳如附件。</t>
  </si>
  <si>
    <t xml:space="preserve">T115UN010079   </t>
  </si>
  <si>
    <t>【躍升計畫】補助學生參加「2026第14屆師生創新圓夢計畫」決賽住宿費(盧宇恩)※品名:住宿費</t>
  </si>
  <si>
    <t xml:space="preserve">T115UN010080   </t>
  </si>
  <si>
    <t>【躍升計畫】補助學生參加「2026第14屆師生創新圓夢計畫」決賽交通費(盧宇恩)-台鐵區間車楠梓站-斗六站來回(非當天來回)</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</si>
  <si>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</si>
  <si>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</si>
  <si>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</si>
  <si>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</si>
  <si>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</si>
  <si>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1150528</t>
  </si>
  <si>
    <t xml:space="preserve">T115UB000164- 1   </t>
  </si>
  <si>
    <t>製作專題實驗用耗材※品名:原廠高容量碳粉匣(黑色)、原廠高容量碳粉匣(黃色)</t>
  </si>
  <si>
    <t xml:space="preserve">T115UC450066   </t>
  </si>
  <si>
    <t>購置AI軟體以利學習與研究_鄭智陽※品名:ChatGPT訂閱(0518-0618)</t>
  </si>
  <si>
    <t xml:space="preserve">T115UE160138   </t>
  </si>
  <si>
    <t>專題競賽海報列印※品名:海報輸出、海報</t>
  </si>
  <si>
    <t xml:space="preserve">T115UF080065   </t>
  </si>
  <si>
    <t>工業設計系114學年度系諮詢委員會諮詢委員出席費(共計3人)</t>
  </si>
  <si>
    <t xml:space="preserve">T115UF080066   </t>
  </si>
  <si>
    <t>工設系114學年度系諮詢委員會餐費(115/5/27，中午1200-1400，共計14人)※品名:便當</t>
  </si>
  <si>
    <t xml:space="preserve">T115UR030059- 1   </t>
  </si>
  <si>
    <t>旗津校區/海資系/執行計畫用耗材※品名:KONICA MINOLTA原廠原裝黑色碳粉匣、KONICA MINOLTA原廠原裝黃色碳粉匣、KONICA MINOLTA原廠原裝洋紅色碳粉匣、KONICA MINOLTA原廠原裝青色碳粉匣</t>
  </si>
  <si>
    <t xml:space="preserve">T115UV000084   </t>
  </si>
  <si>
    <t>(楠梓-躍升計畫-商資系)115年5月份工讀金(郭巧玲、錢家敏、吳宜秦)</t>
  </si>
  <si>
    <t xml:space="preserve">T115UV000085   </t>
  </si>
  <si>
    <t>(楠梓-躍升計畫-商資系)115年6月份工讀金(郭巧玲、錢家敏、吳宜秦)</t>
  </si>
  <si>
    <t xml:space="preserve">T115YE000007   </t>
  </si>
  <si>
    <t>海修</t>
  </si>
  <si>
    <t>韓宜庭</t>
  </si>
  <si>
    <t>1150529</t>
  </si>
  <si>
    <t xml:space="preserve">T115UC450067   </t>
  </si>
  <si>
    <t>張李淑容2026金融科技研討會-主持人暨評論人</t>
  </si>
  <si>
    <t xml:space="preserve">T115UE250104   </t>
  </si>
  <si>
    <t>2026精密機械與製造科技研討會註冊費※品名:2026 精密機械與製造科技研討會註冊費</t>
  </si>
  <si>
    <t>王民玟</t>
  </si>
  <si>
    <t xml:space="preserve">T115UE250105   </t>
  </si>
  <si>
    <t>實驗室用※品名:網路線、郵費、電池、協飛無煙鹽酸</t>
  </si>
  <si>
    <t xml:space="preserve">T115UJ020095   </t>
  </si>
  <si>
    <t>【躍升】應日系躍升5月工讀金1名(陳昕煒)</t>
  </si>
  <si>
    <t xml:space="preserve">T115UJ020096   </t>
  </si>
  <si>
    <t>【躍升】長安靜美教師參加115.4.25台大日本語文學系舉辦之「2026年度國際學術研討會:日語翻譯研究最前線」及4.26「2026年度國際學術研討會:翻譯新視界系列講座」所使用之交通費。</t>
  </si>
  <si>
    <t xml:space="preserve">T115UO040073   </t>
  </si>
  <si>
    <t>工讀費184小時(13位8時、1位30小時、1位50小時)</t>
  </si>
  <si>
    <t xml:space="preserve">T115UP030071   </t>
  </si>
  <si>
    <t>115年5月工讀金-陳珮珊</t>
  </si>
  <si>
    <t xml:space="preserve">T115UP030072   </t>
  </si>
  <si>
    <t>115年5月工讀金-呂宥萲</t>
  </si>
  <si>
    <t xml:space="preserve">預算:18,739,066,實支:5,746,423,簽證數:1,290,591,請購未銷:257,859,暫付:0,暫收:0,餘額:11,444,193 </t>
  </si>
  <si>
    <t>成批暫付</t>
  </si>
  <si>
    <t xml:space="preserve">預算:0,實支:0,簽證數:0,請購未銷:0,暫付:0,暫收:0,餘額: </t>
  </si>
  <si>
    <t>YE00</t>
  </si>
  <si>
    <t>系所</t>
    <phoneticPr fontId="5" type="noConversion"/>
  </si>
  <si>
    <t>漁管系</t>
  </si>
  <si>
    <t>漁管系</t>
    <phoneticPr fontId="5" type="noConversion"/>
  </si>
  <si>
    <t>半導體系</t>
  </si>
  <si>
    <t>半導體系</t>
    <phoneticPr fontId="5" type="noConversion"/>
  </si>
  <si>
    <t>國企系</t>
    <phoneticPr fontId="5" type="noConversion"/>
  </si>
  <si>
    <t>金資系</t>
  </si>
  <si>
    <t>金資系</t>
    <phoneticPr fontId="5" type="noConversion"/>
  </si>
  <si>
    <t>電子系(第一)</t>
  </si>
  <si>
    <t>電子系(第一)</t>
    <phoneticPr fontId="5" type="noConversion"/>
  </si>
  <si>
    <t>電通系</t>
  </si>
  <si>
    <t>電通系</t>
    <phoneticPr fontId="5" type="noConversion"/>
  </si>
  <si>
    <t>資工系</t>
  </si>
  <si>
    <t>資工系</t>
    <phoneticPr fontId="5" type="noConversion"/>
  </si>
  <si>
    <t>化材系</t>
  </si>
  <si>
    <t>化材系</t>
    <phoneticPr fontId="5" type="noConversion"/>
  </si>
  <si>
    <t>土木系</t>
    <phoneticPr fontId="5" type="noConversion"/>
  </si>
  <si>
    <t>機械系</t>
  </si>
  <si>
    <t>機械系</t>
    <phoneticPr fontId="5" type="noConversion"/>
  </si>
  <si>
    <t>電子系(建工)</t>
  </si>
  <si>
    <t>電子系(建工)</t>
    <phoneticPr fontId="5" type="noConversion"/>
  </si>
  <si>
    <t>模具系</t>
  </si>
  <si>
    <t>模具系</t>
    <phoneticPr fontId="5" type="noConversion"/>
  </si>
  <si>
    <t>工管系</t>
  </si>
  <si>
    <t>工管系</t>
    <phoneticPr fontId="5" type="noConversion"/>
  </si>
  <si>
    <t>營建系</t>
  </si>
  <si>
    <t>營建系</t>
    <phoneticPr fontId="5" type="noConversion"/>
  </si>
  <si>
    <t>工設系</t>
  </si>
  <si>
    <t>工設系</t>
    <phoneticPr fontId="5" type="noConversion"/>
  </si>
  <si>
    <t>人資系</t>
    <phoneticPr fontId="5" type="noConversion"/>
  </si>
  <si>
    <t>應英系</t>
  </si>
  <si>
    <t>應英系</t>
    <phoneticPr fontId="5" type="noConversion"/>
  </si>
  <si>
    <t>應德系</t>
  </si>
  <si>
    <t>應德系</t>
    <phoneticPr fontId="5" type="noConversion"/>
  </si>
  <si>
    <t>企管系</t>
    <phoneticPr fontId="5" type="noConversion"/>
  </si>
  <si>
    <t>觀光系</t>
    <phoneticPr fontId="5" type="noConversion"/>
  </si>
  <si>
    <t>資管系</t>
  </si>
  <si>
    <t>資管系</t>
    <phoneticPr fontId="5" type="noConversion"/>
  </si>
  <si>
    <t>運籌系</t>
  </si>
  <si>
    <t>運籌系</t>
    <phoneticPr fontId="5" type="noConversion"/>
  </si>
  <si>
    <t>科法所</t>
  </si>
  <si>
    <t>科法所</t>
    <phoneticPr fontId="5" type="noConversion"/>
  </si>
  <si>
    <t>行銷系</t>
  </si>
  <si>
    <t>行銷系</t>
    <phoneticPr fontId="5" type="noConversion"/>
  </si>
  <si>
    <t>航管系</t>
  </si>
  <si>
    <t>航管系</t>
    <phoneticPr fontId="5" type="noConversion"/>
  </si>
  <si>
    <t>供應鏈系</t>
  </si>
  <si>
    <t>供應鏈系</t>
    <phoneticPr fontId="5" type="noConversion"/>
  </si>
  <si>
    <t>海休系</t>
  </si>
  <si>
    <t>海休系</t>
    <phoneticPr fontId="5" type="noConversion"/>
  </si>
  <si>
    <t>金融系</t>
    <phoneticPr fontId="5" type="noConversion"/>
  </si>
  <si>
    <t>風管系</t>
  </si>
  <si>
    <t>風管系</t>
    <phoneticPr fontId="5" type="noConversion"/>
  </si>
  <si>
    <t>財管系</t>
  </si>
  <si>
    <t>財管系</t>
    <phoneticPr fontId="5" type="noConversion"/>
  </si>
  <si>
    <t>會資系</t>
  </si>
  <si>
    <t>會資系</t>
    <phoneticPr fontId="5" type="noConversion"/>
  </si>
  <si>
    <t>造船系</t>
  </si>
  <si>
    <t>造船系</t>
    <phoneticPr fontId="5" type="noConversion"/>
  </si>
  <si>
    <t>電訊系</t>
  </si>
  <si>
    <t>電訊系</t>
    <phoneticPr fontId="5" type="noConversion"/>
  </si>
  <si>
    <t>海環系</t>
  </si>
  <si>
    <t>海環系</t>
    <phoneticPr fontId="5" type="noConversion"/>
  </si>
  <si>
    <t>航技系</t>
  </si>
  <si>
    <t>航技系</t>
    <phoneticPr fontId="5" type="noConversion"/>
  </si>
  <si>
    <t>輪機系</t>
  </si>
  <si>
    <t>輪機系</t>
    <phoneticPr fontId="5" type="noConversion"/>
  </si>
  <si>
    <t>海資系</t>
  </si>
  <si>
    <t>海資系</t>
    <phoneticPr fontId="5" type="noConversion"/>
  </si>
  <si>
    <t>水食系</t>
  </si>
  <si>
    <t>水食系</t>
    <phoneticPr fontId="5" type="noConversion"/>
  </si>
  <si>
    <t>養殖系</t>
  </si>
  <si>
    <t>養殖系</t>
    <phoneticPr fontId="5" type="noConversion"/>
  </si>
  <si>
    <t>海生系</t>
  </si>
  <si>
    <t>海生系</t>
    <phoneticPr fontId="5" type="noConversion"/>
  </si>
  <si>
    <t>智商系</t>
  </si>
  <si>
    <t>智商系</t>
    <phoneticPr fontId="5" type="noConversion"/>
  </si>
  <si>
    <t>財稅系</t>
  </si>
  <si>
    <t>財稅系</t>
    <phoneticPr fontId="5" type="noConversion"/>
  </si>
  <si>
    <t>商資系</t>
  </si>
  <si>
    <t>商資系</t>
    <phoneticPr fontId="5" type="noConversion"/>
  </si>
  <si>
    <t>韓宜庭</t>
    <phoneticPr fontId="5" type="noConversion"/>
  </si>
  <si>
    <t>列標籤</t>
  </si>
  <si>
    <t>總計</t>
  </si>
  <si>
    <t>加總 - 金額</t>
  </si>
  <si>
    <t>廖幸園</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</si>
</sst>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8"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9"/>
      <name val="新細明體"/>
      <family val="3"/>
      <charset val="136"/>
      <scheme val="minor"/>
    </font>
    <font>
      <sz val="10"/>
      <color theme="1"/>
      <name val="標楷體"/>
      <family val="4"/>
    </font>
    <font>
      <sz val="10"/>
      <color theme="1"/>
      <name val="新細明體"/>
      <family val="2"/>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67">
    <xf numFmtId="0" fontId="0" fillId="0" borderId="0" xfId="0" applyNumberFormat="1" applyFont="1" applyFill="1" applyBorder="1">
      <alignment vertical="center"/>
    </xf>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10" fontId="4" fillId="0" borderId="0" xfId="2" applyNumberFormat="1">
      <alignment vertical="center"/>
    </xf>
    <xf numFmtId="0" fontId="6"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0" borderId="0" xfId="0" applyNumberFormat="1" applyFont="1" applyFill="1" applyBorder="1">
      <alignment vertical="center"/>
    </xf>
    <xf numFmtId="0" fontId="6" fillId="0" borderId="1" xfId="0" applyNumberFormat="1" applyFont="1" applyFill="1" applyBorder="1">
      <alignment vertical="center"/>
    </xf>
    <xf numFmtId="176" fontId="6" fillId="0" borderId="1" xfId="0" applyNumberFormat="1" applyFont="1" applyFill="1" applyBorder="1" applyAlignment="1">
      <alignment vertical="center" wrapText="1"/>
    </xf>
    <xf numFmtId="3" fontId="6" fillId="0" borderId="1" xfId="0" applyNumberFormat="1" applyFont="1" applyFill="1" applyBorder="1" applyAlignment="1">
      <alignment vertical="center" wrapText="1"/>
    </xf>
    <xf numFmtId="0" fontId="6" fillId="0" borderId="1" xfId="0" applyNumberFormat="1" applyFont="1" applyFill="1" applyBorder="1" applyAlignment="1">
      <alignment vertical="center" wrapText="1"/>
    </xf>
    <xf numFmtId="0" fontId="0" fillId="0" borderId="0" xfId="0" pivotButton="1" applyNumberFormat="1" applyFont="1" applyFill="1" applyBorder="1">
      <alignment vertical="center"/>
    </xf>
    <xf numFmtId="0" fontId="0" fillId="0" borderId="0" xfId="0" applyNumberFormat="1" applyFont="1" applyFill="1" applyBorder="1" applyAlignment="1">
      <alignment horizontal="lef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xf numFmtId="0" fontId="1" fillId="2" borderId="0" xfId="0" applyNumberFormat="1" applyFont="1" applyFill="1" applyBorder="1">
      <alignment vertical="center"/>
    </xf>
    <xf numFmtId="0" fontId="1" fillId="2" borderId="11" xfId="0" applyNumberFormat="1" applyFont="1" applyFill="1" applyBorder="1">
      <alignment vertical="center"/>
    </xf>
    <xf numFmtId="176" fontId="1" fillId="2" borderId="11" xfId="0" applyNumberFormat="1" applyFont="1" applyFill="1" applyBorder="1" applyAlignment="1">
      <alignment vertical="center" wrapText="1"/>
    </xf>
    <xf numFmtId="3" fontId="1" fillId="2" borderId="11" xfId="0" applyNumberFormat="1" applyFont="1" applyFill="1" applyBorder="1" applyAlignment="1">
      <alignment vertical="center" wrapText="1"/>
    </xf>
    <xf numFmtId="0" fontId="1" fillId="2" borderId="11" xfId="0" applyNumberFormat="1" applyFont="1" applyFill="1" applyBorder="1" applyAlignment="1">
      <alignment vertical="center" wrapText="1"/>
    </xf>
    <xf numFmtId="0" fontId="1" fillId="2" borderId="11" xfId="0" applyNumberFormat="1" applyFont="1" applyFill="1" applyBorder="1" applyAlignment="1">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9</xdr:col>
      <xdr:colOff>922020</xdr:colOff>
      <xdr:row>3</xdr:row>
      <xdr:rowOff>198120</xdr:rowOff>
    </xdr:from>
    <xdr:to>
      <xdr:col>12</xdr:col>
      <xdr:colOff>243840</xdr:colOff>
      <xdr:row>9</xdr:row>
      <xdr:rowOff>241935</xdr:rowOff>
    </xdr:to>
    <mc:AlternateContent xmlns:mc="http://schemas.openxmlformats.org/markup-compatibility/2006">
      <mc:Choice xmlns:a14="http://schemas.microsoft.com/office/drawing/2010/main" Requires="a14">
        <xdr:graphicFrame macro="">
          <xdr:nvGraphicFramePr>
            <xdr:cNvPr id="3" name="經費用途">
              <a:extLst>
                <a:ext uri="{FF2B5EF4-FFF2-40B4-BE49-F238E27FC236}">
                  <a16:creationId xmlns:a16="http://schemas.microsoft.com/office/drawing/2014/main" id="{36740961-572D-4303-905A-F7E326951EA1}"/>
                </a:ext>
              </a:extLst>
            </xdr:cNvPr>
            <xdr:cNvGraphicFramePr/>
          </xdr:nvGraphicFramePr>
          <xdr:xfrm>
            <a:off x="0" y="0"/>
            <a:ext cx="0" cy="0"/>
          </xdr:xfrm>
          <a:graphic>
            <a:graphicData uri="http://schemas.microsoft.com/office/drawing/2010/slicer">
              <sle:slicer xmlns:sle="http://schemas.microsoft.com/office/drawing/2010/slicer" name="經費用途"/>
            </a:graphicData>
          </a:graphic>
        </xdr:graphicFrame>
      </mc:Choice>
      <mc:Fallback>
        <xdr:sp macro="" textlink="">
          <xdr:nvSpPr>
            <xdr:cNvPr id="0" name=""/>
            <xdr:cNvSpPr>
              <a:spLocks noTextEdit="1"/>
            </xdr:cNvSpPr>
          </xdr:nvSpPr>
          <xdr:spPr>
            <a:xfrm>
              <a:off x="11963400" y="815340"/>
              <a:ext cx="1828800" cy="2352675"/>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1.62510578704" createdVersion="7" refreshedVersion="7" minRefreshableVersion="3" recordCount="825" xr:uid="{4621507F-14A0-43B8-9B34-90ED46BA9EED}">
  <cacheSource type="worksheet">
    <worksheetSource ref="A1:H826" sheet="業務費"/>
  </cacheSource>
  <cacheFields count="8">
    <cacheField name="經費用途" numFmtId="0">
      <sharedItems count="5">
        <s v="實支核銷"/>
        <s v="實支"/>
        <s v="請購未銷"/>
        <s v="借"/>
        <s v="還"/>
      </sharedItems>
    </cacheField>
    <cacheField name="傳票日期" numFmtId="0">
      <sharedItems/>
    </cacheField>
    <cacheField name="傳票編號" numFmtId="0">
      <sharedItems/>
    </cacheField>
    <cacheField name="會計科目" numFmtId="176">
      <sharedItems/>
    </cacheField>
    <cacheField name="系所" numFmtId="176">
      <sharedItems count="44">
        <s v="金資系"/>
        <s v="資管系"/>
        <s v="資工系"/>
        <s v="工設系"/>
        <s v="觀光系"/>
        <s v="航技系"/>
        <s v="應英系"/>
        <s v="造船系"/>
        <s v="供應鏈系"/>
        <s v="土木系"/>
        <s v="應德系"/>
        <s v="人資系"/>
        <s v="海休系"/>
        <s v="金融系"/>
        <s v="航管系"/>
        <s v="海資系"/>
        <s v="智商系"/>
        <s v="會資系"/>
        <s v="財管系"/>
        <s v="商資系"/>
        <s v="漁管系"/>
        <s v="行銷系"/>
        <s v="半導體系"/>
        <s v="科法所"/>
        <s v="財稅系"/>
        <s v="運籌系"/>
        <s v="輪機系"/>
        <s v="企管系"/>
        <s v="電訊系"/>
        <s v="海生系"/>
        <s v="電子系(建工)"/>
        <s v="電通系"/>
        <s v="水食系"/>
        <s v="工管系"/>
        <s v="化材系"/>
        <s v="機械系"/>
        <s v="電子系(第一)"/>
        <s v="海環系"/>
        <s v="模具系"/>
        <s v="營建系"/>
        <s v="養殖系"/>
        <s v="國企系"/>
        <s v="風管系"/>
        <s v="YE00"/>
      </sharedItems>
    </cacheField>
    <cacheField name="金額" numFmtId="3">
      <sharedItems containsSemiMixedTypes="0" containsString="0" containsNumber="1" containsInteger="1" minValue="-103829" maxValue="327420"/>
    </cacheField>
    <cacheField name="用途說明" numFmtId="0">
      <sharedItems longText="1"/>
    </cacheField>
    <cacheField name="請購人" numFmtId="0">
      <sharedItems/>
    </cacheField>
  </cacheFields>
  <extLst>
    <ext xmlns:x14="http://schemas.microsoft.com/office/spreadsheetml/2009/9/main" uri="{725AE2AE-9491-48be-B2B4-4EB974FC3084}">
      <x14:pivotCacheDefinition pivotCacheId="74457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5">
  <r>
    <x v="0"/>
    <s v="1150126"/>
    <s v="未審"/>
    <s v=""/>
    <x v="0"/>
    <n v="37429"/>
    <s v="協助計畫執行臨時工作人員郭瑞傑115年5月工讀金"/>
    <s v="金融資訊系"/>
  </r>
  <r>
    <x v="0"/>
    <s v="1150126"/>
    <s v="未審"/>
    <s v=""/>
    <x v="0"/>
    <n v="37625"/>
    <s v="協助計畫執行臨時工作人員郭瑞傑115年6月工讀金"/>
    <s v="金融資訊系"/>
  </r>
  <r>
    <x v="1"/>
    <s v="1150201"/>
    <s v="T200119"/>
    <s v="510301-720601獎助學員生給與"/>
    <x v="1"/>
    <n v="3660"/>
    <s v="【躍升計畫】補助學生參加『114年度「為桃園做研究」桃園市政府大專校院學生創新點子及研究實作競賽頒獎典禮』交通費〔林威辰、陳浚瑋〕-去程高鐵左營站-桃園站；回程高鐵桃園站-台中站(非當天來回)"/>
    <s v="資訊管理系[第一]"/>
  </r>
  <r>
    <x v="1"/>
    <s v="1150201"/>
    <s v="T200119"/>
    <s v="510301-720601獎助學員生給與"/>
    <x v="1"/>
    <n v="2460"/>
    <s v="【躍升計畫】補助學生參加『114年度「為桃園做研究」桃園市政府大專校院學生創新點子及研究實作競賽頒獎典禮』交通費〔葉(上山+下夆)菁〕-高鐵左營站-桃園站來回(當天來回)"/>
    <s v="資訊管理系[第一]"/>
  </r>
  <r>
    <x v="1"/>
    <s v="1150201"/>
    <s v="T200130"/>
    <s v="510301-2898其他"/>
    <x v="2"/>
    <n v="44000"/>
    <s v="研究所需資料檢索費用※品名:資料檢索費"/>
    <s v="黃淵科"/>
  </r>
  <r>
    <x v="1"/>
    <s v="1150201"/>
    <s v="T200135"/>
    <s v="510301-2305貨物運費"/>
    <x v="3"/>
    <n v="10236"/>
    <s v="參加曼谷設計週展出作品所需國際運費※品名:運費"/>
    <s v="工業設計系"/>
  </r>
  <r>
    <x v="1"/>
    <s v="1150201"/>
    <s v="T200139"/>
    <s v="510301-2898其他"/>
    <x v="4"/>
    <n v="32003"/>
    <s v="付觀光系-陳光華老師執行躍升計畫論文所需之論文編修費用。※品名:英文學術論文編修費"/>
    <s v="觀光系"/>
  </r>
  <r>
    <x v="1"/>
    <s v="1150201"/>
    <s v="T200141"/>
    <s v="510301-2304專力費"/>
    <x v="5"/>
    <n v="10815"/>
    <s v="屏風拆卸搬移※品名:航技系碩一教室屏風拆卸搬移"/>
    <s v="航運技術系"/>
  </r>
  <r>
    <x v="1"/>
    <s v="1150201"/>
    <s v="T300079"/>
    <s v="510301-271315工讀金"/>
    <x v="6"/>
    <n v="6597"/>
    <s v="114躍升計畫支應莊雅雁工讀金(115年1月)"/>
    <s v="外語學院應用英語系"/>
  </r>
  <r>
    <x v="1"/>
    <s v="1150201"/>
    <s v="T300080"/>
    <s v="510301-271315工讀金"/>
    <x v="6"/>
    <n v="3287"/>
    <s v="114躍升計畫支應張芳榕工讀金(115年1月)"/>
    <s v="外語學院應用英語系"/>
  </r>
  <r>
    <x v="1"/>
    <s v="1150201"/>
    <s v="T300081"/>
    <s v="510301-271315工讀金"/>
    <x v="6"/>
    <n v="2481"/>
    <s v="114躍升計畫支應顏延珍工讀金(115年1月)"/>
    <s v="外語學院應用英語系"/>
  </r>
  <r>
    <x v="1"/>
    <s v="1150201"/>
    <s v="T300085"/>
    <s v="510301-271315工讀金"/>
    <x v="2"/>
    <n v="3181"/>
    <s v="協助系辦公室事務工作"/>
    <s v="張雲龍"/>
  </r>
  <r>
    <x v="1"/>
    <s v="1150201"/>
    <s v="T300089"/>
    <s v="510301-271315工讀金"/>
    <x v="7"/>
    <n v="3287"/>
    <s v="1/6~1/7協助執行計畫(張子怡)"/>
    <s v="造船及海洋工程系"/>
  </r>
  <r>
    <x v="1"/>
    <s v="1150201"/>
    <s v="T300091"/>
    <s v="510301-271315工讀金"/>
    <x v="8"/>
    <n v="3771"/>
    <s v="協助系上辦理相關活動之學生工讀人事費(黃語喬)"/>
    <s v="供應鏈管理系[楠梓|旗"/>
  </r>
  <r>
    <x v="1"/>
    <s v="1150201"/>
    <s v="T300094"/>
    <s v="510301-271315工讀金"/>
    <x v="6"/>
    <n v="11709"/>
    <s v="114躍升計畫支應陳璟達工讀金(115年1月)"/>
    <s v="外語學院應用英語系"/>
  </r>
  <r>
    <x v="1"/>
    <s v="1150201"/>
    <s v="T300095"/>
    <s v="510301-271315工讀金"/>
    <x v="6"/>
    <n v="6597"/>
    <s v="114躍升計畫支應吳慧君工讀金(115年1月)"/>
    <s v="外語學院應用英語系"/>
  </r>
  <r>
    <x v="1"/>
    <s v="1150201"/>
    <s v="T300096"/>
    <s v="510301-280501講課鐘點、稿費、出席審查及查詢費"/>
    <x v="0"/>
    <n v="4084"/>
    <s v="金資專題講座1/7黃英杰鐘點費"/>
    <s v="金融資訊系"/>
  </r>
  <r>
    <x v="1"/>
    <s v="1150202"/>
    <s v="T200148"/>
    <s v="510301-3102物料"/>
    <x v="9"/>
    <n v="79000"/>
    <s v="課程使用※品名:標準級配砂等"/>
    <s v="土木系"/>
  </r>
  <r>
    <x v="1"/>
    <s v="1150203"/>
    <s v="T200172"/>
    <s v="510301-2401印刷及裝訂費"/>
    <x v="6"/>
    <n v="5000"/>
    <s v="114躍升計畫支應許正義老師教學研究資料影印費用※品名:影印"/>
    <s v="外語學院應用英語系"/>
  </r>
  <r>
    <x v="1"/>
    <s v="1150203"/>
    <s v="T200172"/>
    <s v="510301-2201郵費"/>
    <x v="10"/>
    <n v="340"/>
    <s v="推動系所躍升計畫之郵寄申請海外實習簽證資料之郵資。（花卷飯店）※品名:郵資"/>
    <s v="陳佩君"/>
  </r>
  <r>
    <x v="1"/>
    <s v="1150203"/>
    <s v="T200172"/>
    <s v="510301-3102物料"/>
    <x v="3"/>
    <n v="6625"/>
    <s v="學生參與曼谷設計週所需材料費(聯軸器、限位開關、橡膠)※品名:材料費"/>
    <s v="工業設計系"/>
  </r>
  <r>
    <x v="1"/>
    <s v="1150203"/>
    <s v="T200172"/>
    <s v="510301-3206食品"/>
    <x v="11"/>
    <n v="9600"/>
    <s v="報支115.01.09專題發表競賽餐盒費※品名:餐盒"/>
    <s v="人資系"/>
  </r>
  <r>
    <x v="1"/>
    <s v="1150203"/>
    <s v="T200172"/>
    <s v="510301-3206食品"/>
    <x v="11"/>
    <n v="2400"/>
    <s v="報支躍升計畫用人資系所特色定位共識營便當費，會議日期:1150108，時間:12:00~14:00，參加人數20人。※品名:餐盒"/>
    <s v="人資系"/>
  </r>
  <r>
    <x v="1"/>
    <s v="1150203"/>
    <s v="T200172"/>
    <s v="510301-2401印刷及裝訂費"/>
    <x v="11"/>
    <n v="5875"/>
    <s v="報支躍升計畫用就服乙級證照輔導影印費※品名:影印費、海報影印、海報"/>
    <s v="人資系"/>
  </r>
  <r>
    <x v="1"/>
    <s v="1150203"/>
    <s v="T200172"/>
    <s v="510301-2401印刷及裝訂費"/>
    <x v="12"/>
    <n v="1360"/>
    <s v="教師社群用海報印刷費(本案採用經費預算表中雜費經費項目-螢光筆畫線標註處)※品名:海報印刷"/>
    <s v="海洋休閒管理系[楠梓|"/>
  </r>
  <r>
    <x v="1"/>
    <s v="1150203"/>
    <s v="T200172"/>
    <s v="510301-3201辦公（事務）用品"/>
    <x v="13"/>
    <n v="9975"/>
    <s v="金融系辦碎紙機汰換※品名:碎紙機"/>
    <s v="金融系"/>
  </r>
  <r>
    <x v="1"/>
    <s v="1150203"/>
    <s v="T200172"/>
    <s v="510301-720601獎助學員生給與"/>
    <x v="1"/>
    <n v="2380"/>
    <s v="【躍升計畫】補助學生參加『114年度「為桃園做研究」桃園市政府大專校院學生創新點子及研究實作競賽頒獎典禮』住宿費(林威辰)※品名:住宿費"/>
    <s v="資訊管理系[第一]"/>
  </r>
  <r>
    <x v="1"/>
    <s v="1150203"/>
    <s v="T200172"/>
    <s v="510301-2698其他保險費"/>
    <x v="14"/>
    <n v="1295"/>
    <s v="1150105海運承攬運送實務教學參訪保險費(許筑婷)※品名:保險費"/>
    <s v="航運管理系[楠梓|旗津"/>
  </r>
  <r>
    <x v="1"/>
    <s v="1150203"/>
    <s v="T200172"/>
    <s v="510301-3201辦公（事務）用品"/>
    <x v="7"/>
    <n v="3007"/>
    <s v="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
    <s v="造船及海洋工程系"/>
  </r>
  <r>
    <x v="1"/>
    <s v="1150203"/>
    <s v="T200172"/>
    <s v="510301-2401印刷及裝訂費"/>
    <x v="7"/>
    <n v="414"/>
    <s v="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
    <s v="造船及海洋工程系"/>
  </r>
  <r>
    <x v="1"/>
    <s v="1150203"/>
    <s v="T200176"/>
    <s v="510301-2401印刷及裝訂費"/>
    <x v="6"/>
    <n v="5000"/>
    <s v="114躍升計畫支應陳其芬老師執行教育部計畫所需影印費用※品名:影印"/>
    <s v="外語學院應用英語系"/>
  </r>
  <r>
    <x v="1"/>
    <s v="1150203"/>
    <s v="T200177"/>
    <s v="510301-3201辦公（事務）用品"/>
    <x v="6"/>
    <n v="2400"/>
    <s v="114 躍升計畫支應馮蕙嫻老師購買教學研究所需用品※品名:轉接線"/>
    <s v="外語學院應用英語系"/>
  </r>
  <r>
    <x v="1"/>
    <s v="1150203"/>
    <s v="T200177"/>
    <s v="510301-3201辦公（事務）用品"/>
    <x v="6"/>
    <n v="5532"/>
    <s v="114躍升計畫支應許正義老師購買教學研究所需文具用品※品名:文具用品"/>
    <s v="外語學院應用英語系"/>
  </r>
  <r>
    <x v="1"/>
    <s v="1150203"/>
    <s v="T200177"/>
    <s v="510301-3201辦公（事務）用品"/>
    <x v="10"/>
    <n v="2876"/>
    <s v="【躍升】系所執行躍升計畫購買文具用品及電子周邊產品所使用之費用※品名:文具及滑鼠、鍵盤"/>
    <s v="外語學院應用日語系"/>
  </r>
  <r>
    <x v="1"/>
    <s v="1150203"/>
    <s v="T200177"/>
    <s v="510301-3206食品"/>
    <x v="11"/>
    <n v="7450"/>
    <s v="報支躍升計畫115年度就服乙級證照輔導課程便當費，115/1/9(時間:08:30~17:30，參加人數29人)、1/10(時間:08:30~17:30，參加人數19人)、1/11(時間:08:30~17:30，參加人數15人)※品名:便當"/>
    <s v="人資系"/>
  </r>
  <r>
    <x v="1"/>
    <s v="1150203"/>
    <s v="T200177"/>
    <s v="510301-3201辦公（事務）用品"/>
    <x v="15"/>
    <n v="1989"/>
    <s v="旗津校區/海資系/執行計畫用電腦耗材※品名:TP-LINK 分享器"/>
    <s v="海事資訊科技系"/>
  </r>
  <r>
    <x v="1"/>
    <s v="1150203"/>
    <s v="T300124"/>
    <s v="510301-280501講課鐘點、稿費、出席審查及查詢費"/>
    <x v="11"/>
    <n v="5106"/>
    <s v="報支115.1.9實務專題發表競賽校外評審出席費"/>
    <s v="人資系"/>
  </r>
  <r>
    <x v="1"/>
    <s v="1150204"/>
    <s v="T300130"/>
    <s v="510301-271315工讀金"/>
    <x v="6"/>
    <n v="18616"/>
    <s v="114躍升計畫支應謝詠筑工讀金(115年1月)"/>
    <s v="外語學院應用英語系"/>
  </r>
  <r>
    <x v="1"/>
    <s v="1150204"/>
    <s v="T300131"/>
    <s v="510301-271315工讀金"/>
    <x v="6"/>
    <n v="10033"/>
    <s v="114躍升計畫支應林亞岑工讀金(115年1月)"/>
    <s v="外語學院應用英語系"/>
  </r>
  <r>
    <x v="1"/>
    <s v="1150205"/>
    <s v="T200200"/>
    <s v="510301-3201辦公（事務）用品"/>
    <x v="16"/>
    <n v="23267"/>
    <s v="智商系支援黃河銓老師教學/研究採購列印耗材/文具用品等支出※品名:碳粉匣、藍芽無線鍵盤、數位手寫筆、記憶卡"/>
    <s v="智慧商務系"/>
  </r>
  <r>
    <x v="1"/>
    <s v="1150205"/>
    <s v="T300141"/>
    <s v="510301-271315工讀金"/>
    <x v="6"/>
    <n v="21104"/>
    <s v="114躍升計畫支應張詩涵工讀金(115年1月)"/>
    <s v="外語學院應用英語系"/>
  </r>
  <r>
    <x v="1"/>
    <s v="1150205"/>
    <s v="T300142"/>
    <s v="510301-271315工讀金"/>
    <x v="3"/>
    <n v="2920"/>
    <s v="工設系執行計畫所需工讀費(陳愷倫14H)"/>
    <s v="工業設計系"/>
  </r>
  <r>
    <x v="1"/>
    <s v="1150205"/>
    <s v="T400128"/>
    <s v="510301-3201辦公（事務）用品"/>
    <x v="8"/>
    <n v="7864"/>
    <s v="躍升計畫-雜支-辦公用耗材支出(感光滾筒)※品名:黑色感光滾筒"/>
    <s v="供應鏈管理系[楠梓|旗"/>
  </r>
  <r>
    <x v="1"/>
    <s v="1150209"/>
    <s v="T200235"/>
    <s v="510301-2502一般房屋修護費"/>
    <x v="8"/>
    <n v="3500"/>
    <s v="3407教室窗戶玻璃破損更換窗戶玻璃兩塊※品名:玻璃"/>
    <s v="供應鏈管理系[楠梓|旗"/>
  </r>
  <r>
    <x v="1"/>
    <s v="1150209"/>
    <s v="T200235"/>
    <s v="510301-3201辦公（事務）用品"/>
    <x v="15"/>
    <n v="5946"/>
    <s v="旗津校區/海資系/執行計畫用螢幕※品名:ASUS VG279QE5A螢幕"/>
    <s v="海事資訊科技系"/>
  </r>
  <r>
    <x v="1"/>
    <s v="1150209"/>
    <s v="T200235"/>
    <s v="510301-3201辦公（事務）用品"/>
    <x v="17"/>
    <n v="5942"/>
    <s v="114.1(燕巢會資系)-專題競賽用※品名:文具"/>
    <s v="會計資訊系"/>
  </r>
  <r>
    <x v="1"/>
    <s v="1150209"/>
    <s v="T200235"/>
    <s v="510301-3201辦公（事務）用品"/>
    <x v="11"/>
    <n v="1496"/>
    <s v="報支躍升計畫用文具一批※品名:文具"/>
    <s v="人資系"/>
  </r>
  <r>
    <x v="1"/>
    <s v="1150209"/>
    <s v="T200235"/>
    <s v="510301-2201郵費"/>
    <x v="10"/>
    <n v="724"/>
    <s v="推動系所躍升計畫之郵寄申請海外實習簽證資料之郵資。_x000a_地點：1.藤田觀光株式會社2.株式會社(SHIFURUTSU株式會社)※品名:郵資"/>
    <s v="陳佩君"/>
  </r>
  <r>
    <x v="1"/>
    <s v="1150209"/>
    <s v="T200236"/>
    <s v="510301-239801其他旅運費"/>
    <x v="18"/>
    <n v="790"/>
    <s v="1/12 AI量化投資交易系統開發諮詢會議校外委員交通費-羅仙法"/>
    <s v="財務管理系"/>
  </r>
  <r>
    <x v="1"/>
    <s v="1150209"/>
    <s v="T200237"/>
    <s v="510301-2706佣金、匯費、經理費及手續費"/>
    <x v="6"/>
    <n v="34"/>
    <s v="114躍升計畫支應丘羽先老師購買CONSENSUS文獻查找工具，提供發表論文使用※品名:Consensus: AI for Research"/>
    <s v="外語學院應用英語系"/>
  </r>
  <r>
    <x v="1"/>
    <s v="1150209"/>
    <s v="T200237"/>
    <s v="510301-2810電腦軟體服務費"/>
    <x v="6"/>
    <n v="2243"/>
    <s v="114躍升計畫支應丘羽先老師購買CONSENSUS文獻查找工具，提供發表論文使用※品名:Consensus: AI for Research"/>
    <s v="外語學院應用英語系"/>
  </r>
  <r>
    <x v="1"/>
    <s v="1150209"/>
    <s v="T200237"/>
    <s v="510301-3206食品"/>
    <x v="3"/>
    <n v="1320"/>
    <s v="工設系討論系所特色、課程及學生參與競賽規劃會議所需餐費(115/1/15，中午12：00-13：30，共計11位)※品名:便當"/>
    <s v="工業設計系"/>
  </r>
  <r>
    <x v="1"/>
    <s v="1150209"/>
    <s v="T200237"/>
    <s v="510301-3201辦公（事務）用品"/>
    <x v="9"/>
    <n v="6000"/>
    <s v="辦公室使用※品名:螢幕防窺片"/>
    <s v="土木系"/>
  </r>
  <r>
    <x v="1"/>
    <s v="1150209"/>
    <s v="T200237"/>
    <s v="510301-2898其他"/>
    <x v="19"/>
    <n v="750"/>
    <s v="(楠梓-商資系-躍升計畫)實務專題競賽發表桌巾及背心清洗※品名:背心清洗、桌巾清洗"/>
    <s v="商務資訊應用系"/>
  </r>
  <r>
    <x v="1"/>
    <s v="1150209"/>
    <s v="T200240"/>
    <s v="510301-3201辦公（事務）用品"/>
    <x v="2"/>
    <n v="10129"/>
    <s v="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
    <s v="張雲龍"/>
  </r>
  <r>
    <x v="1"/>
    <s v="1150209"/>
    <s v="T300150"/>
    <s v="510301-280501講課鐘點、稿費、出席審查及查詢費"/>
    <x v="18"/>
    <n v="4084"/>
    <s v="1/12 AI量化投資系統開發產學合作諮詢會議諮詢費-羅仙法、林崇德"/>
    <s v="財務管理系"/>
  </r>
  <r>
    <x v="1"/>
    <s v="1150209"/>
    <s v="T300150"/>
    <s v="510301-280501講課鐘點、稿費、出席審查及查詢費"/>
    <x v="19"/>
    <n v="4084"/>
    <s v="(楠梓-商資系-躍升計畫)國際交流講座鐘點費-賴柏霖副教授_x000a_日期：115年1月7日_x000a_時間：13:30-15:30"/>
    <s v="商務資訊應用系"/>
  </r>
  <r>
    <x v="1"/>
    <s v="1150209"/>
    <s v="T300150"/>
    <s v="510301-2808委託考選訓練費"/>
    <x v="20"/>
    <n v="4200"/>
    <s v="115年1月10日台灣水產學會115年度學術論文發表會暨會員大會之報名費(潘楷翔、黃毓淇、蘇炳任、謝大鈞、陳瑜婷、沈銘暘)※品名:報名費"/>
    <s v="漁業科技與管理系"/>
  </r>
  <r>
    <x v="1"/>
    <s v="1150209"/>
    <s v="T300155"/>
    <s v="510301-271315工讀金"/>
    <x v="21"/>
    <n v="6785"/>
    <s v="115年1月何銘儀工讀金"/>
    <s v="歐宗殷"/>
  </r>
  <r>
    <x v="1"/>
    <s v="1150209"/>
    <s v="T300156"/>
    <s v="510301-271315工讀金"/>
    <x v="0"/>
    <n v="29981"/>
    <s v="協助計畫執行臨時工作人員郭瑞傑115年1月工讀金"/>
    <s v="金融資訊系"/>
  </r>
  <r>
    <x v="1"/>
    <s v="1150211"/>
    <s v="T200266"/>
    <s v="510301-3204化學藥劑與實驗用品"/>
    <x v="22"/>
    <n v="10574"/>
    <s v="製作專題實驗用器材※品名:延長線"/>
    <s v="半導體工程系"/>
  </r>
  <r>
    <x v="1"/>
    <s v="1150211"/>
    <s v="T200277"/>
    <s v="510301-3201辦公（事務）用品"/>
    <x v="2"/>
    <n v="9540"/>
    <s v="研究計畫使用※品名:網路攝影機、固態硬碟1TB、多合一USB集線器、65W充電器"/>
    <s v="張雲龍"/>
  </r>
  <r>
    <x v="1"/>
    <s v="1150211"/>
    <s v="T300168"/>
    <s v="510301-271315工讀金"/>
    <x v="18"/>
    <n v="15510"/>
    <s v="115年1月工讀金-邱宜蓁"/>
    <s v="財務管理系"/>
  </r>
  <r>
    <x v="1"/>
    <s v="1150213"/>
    <s v="T200310"/>
    <s v="510301-3201辦公（事務）用品"/>
    <x v="22"/>
    <n v="178840"/>
    <s v="客製化IC電腦教室螢幕※品名:顯示器"/>
    <s v="半導體工程系"/>
  </r>
  <r>
    <x v="1"/>
    <s v="1150213"/>
    <s v="T300185"/>
    <s v="510301-271315工讀金"/>
    <x v="10"/>
    <n v="8615"/>
    <s v="【躍升】應日系1月躍升工讀金1名(李禮吟)"/>
    <s v="外語學院應用日語系"/>
  </r>
  <r>
    <x v="1"/>
    <s v="1150223"/>
    <s v="T200337"/>
    <s v="510301-2502一般房屋修護費"/>
    <x v="5"/>
    <n v="127500"/>
    <s v="航技系研究中心空間重新規劃-拆除原有設備及清運、空間丈量及設計、基礎配管及電力配置※品名:航模室與投影牆拆除與清運、損壞輕鋼架補板、教室完工基礎清潔、丈量及簡易繪圖與機能配置設計、隔間區基礎配管與電力配置"/>
    <s v="航運技術系"/>
  </r>
  <r>
    <x v="1"/>
    <s v="1150223"/>
    <s v="T200341"/>
    <s v="510301-2898其他"/>
    <x v="14"/>
    <n v="20000"/>
    <s v="投稿期刊論文編修費(李家銘)實支20000※品名:編修費"/>
    <s v="航運管理系[楠梓|旗津"/>
  </r>
  <r>
    <x v="1"/>
    <s v="1150223"/>
    <s v="T200355"/>
    <s v="510301-2810電腦軟體服務費"/>
    <x v="2"/>
    <n v="12831"/>
    <s v="Claude AI-AI開發工具，協助程式開發使用。※品名:Claude AI 使用費(含手續費)"/>
    <s v="林威成"/>
  </r>
  <r>
    <x v="1"/>
    <s v="1150223"/>
    <s v="T400182"/>
    <s v="510301-3201辦公（事務）用品"/>
    <x v="6"/>
    <n v="2309"/>
    <s v="(共同供應契約)114躍升計畫支應馮蕙嫻老師汰換D421教師研究室印表機碳粉匣(教學研究及發表期刊論文使用)※品名:碳粉匣"/>
    <s v="外語學院應用英語系"/>
  </r>
  <r>
    <x v="1"/>
    <s v="1150223"/>
    <s v="T400183"/>
    <s v="510301-3201辦公（事務）用品"/>
    <x v="6"/>
    <n v="2060"/>
    <s v="(共同供應契約)114躍升計畫支應馮蕙嫻老師汰換D421教室研究室印表機感光滾筒※品名:感光滾筒"/>
    <s v="外語學院應用英語系"/>
  </r>
  <r>
    <x v="1"/>
    <s v="1150223"/>
    <s v="T400196"/>
    <s v="510301-3201辦公（事務）用品"/>
    <x v="8"/>
    <n v="9023"/>
    <s v="系辦影印用紙(A3*1箱、A4*10箱、A3*1箱)※品名:影印紙A3、影印紙A4、影印紙B4"/>
    <s v="供應鏈管理系[楠梓|旗"/>
  </r>
  <r>
    <x v="1"/>
    <s v="1150224"/>
    <s v="T300207"/>
    <s v="510301-271315工讀金"/>
    <x v="16"/>
    <n v="14856"/>
    <s v="智商系建工系辦115年1月協助交辦_x000a_工作辦理臨時人力工讀費核支(邱鈺荏,方以_x000a_撒等2人)"/>
    <s v="智慧商務系"/>
  </r>
  <r>
    <x v="1"/>
    <s v="1150224"/>
    <s v="T300209"/>
    <s v="510301-271315工讀金"/>
    <x v="11"/>
    <n v="26249"/>
    <s v="報支楊詠筌、陳思穎1月份協助躍升計畫之工讀薪資"/>
    <s v="人資系"/>
  </r>
  <r>
    <x v="1"/>
    <s v="1150224"/>
    <s v="T300210"/>
    <s v="510301-271315工讀金"/>
    <x v="16"/>
    <n v="30599"/>
    <s v="115年01月智慧商務系胡祐誠、劉芷菱燕巢校區工讀生薪資"/>
    <s v="智慧商務系"/>
  </r>
  <r>
    <x v="1"/>
    <s v="1150224"/>
    <s v="T300230"/>
    <s v="510301-271315工讀金"/>
    <x v="18"/>
    <n v="19503"/>
    <s v="115年1月工讀金-李念蓁"/>
    <s v="財務管理系"/>
  </r>
  <r>
    <x v="1"/>
    <s v="1150224"/>
    <s v="T300231"/>
    <s v="510301-271315工讀金"/>
    <x v="18"/>
    <n v="17512"/>
    <s v="115年1月工讀金-楊閔棻"/>
    <s v="財務管理系"/>
  </r>
  <r>
    <x v="1"/>
    <s v="1150224"/>
    <s v="T300232"/>
    <s v="510301-271315工讀金"/>
    <x v="18"/>
    <n v="24949"/>
    <s v="115年1月工讀金-蘇(王+民)芊"/>
    <s v="財務管理系"/>
  </r>
  <r>
    <x v="1"/>
    <s v="1150301"/>
    <s v="T200403"/>
    <s v="510301-720601獎助學員生給與"/>
    <x v="1"/>
    <n v="1500"/>
    <s v="【躍升計畫】補助學生參加『114年度「為桃園做研究」桃園市政府大專校院學生創新點子及研究實作競賽頒獎典禮』交通費(林雅婷)-去回程駕駛自用汽車往返本校到中原大學-實支"/>
    <s v="資訊管理系[第一]"/>
  </r>
  <r>
    <x v="1"/>
    <s v="1150301"/>
    <s v="T200407"/>
    <s v="510301-3201辦公（事務）用品"/>
    <x v="8"/>
    <n v="3000"/>
    <s v="辦公用文具※品名:文具"/>
    <s v="供應鏈管理系[楠梓|旗"/>
  </r>
  <r>
    <x v="1"/>
    <s v="1150301"/>
    <s v="T200407"/>
    <s v="510301-3201辦公（事務）用品"/>
    <x v="15"/>
    <n v="4373"/>
    <s v="旗津校區/海資系/執行計畫用文具用品※品名:文具用品(詳如發票)"/>
    <s v="海事資訊科技系"/>
  </r>
  <r>
    <x v="1"/>
    <s v="1150301"/>
    <s v="T200407"/>
    <s v="510301-3102物料"/>
    <x v="15"/>
    <n v="1053"/>
    <s v="旗津校區/海資系/執行計畫用耗材※品名:CAS細蕊控制電線1.2x(詳如發票VU-13837588)、耗材(詳如發票XA-09261221)、NFC RFID V3近場通訊模組、電話槽3入"/>
    <s v="海事資訊科技系"/>
  </r>
  <r>
    <x v="1"/>
    <s v="1150301"/>
    <s v="T200407"/>
    <s v="510301-2401印刷及裝訂費"/>
    <x v="6"/>
    <n v="4500"/>
    <s v="114躍升計畫支應許正義老師影印教學所需資料※品名:影印"/>
    <s v="外語學院應用英語系"/>
  </r>
  <r>
    <x v="1"/>
    <s v="1150301"/>
    <s v="T200407"/>
    <s v="510301-2810電腦軟體服務費"/>
    <x v="0"/>
    <n v="633"/>
    <s v="購置AI軟體以利學習與研究(115年2月)鄭智陽※品名:ChatGPT訂閱(0118-0218)"/>
    <s v="金融資訊系"/>
  </r>
  <r>
    <x v="1"/>
    <s v="1150302"/>
    <s v="T200408"/>
    <s v="510301-3102物料"/>
    <x v="15"/>
    <n v="360"/>
    <s v="旗津校區/海資系/執行計畫用耗材※品名:PN532模組"/>
    <s v="海事資訊科技系"/>
  </r>
  <r>
    <x v="1"/>
    <s v="1150302"/>
    <s v="T200408"/>
    <s v="510301-3201辦公（事務）用品"/>
    <x v="8"/>
    <n v="2000"/>
    <s v="購入RAYMII/LSU2鋁合金彈簧式雙螢幕支架一隻※品名:鋁合金彈簧式雙螢幕支架"/>
    <s v="供應鏈管理系[楠梓|旗"/>
  </r>
  <r>
    <x v="1"/>
    <s v="1150302"/>
    <s v="T200408"/>
    <s v="510301-2B01推展費"/>
    <x v="23"/>
    <n v="6667"/>
    <s v="115年1月科法所meta廣告行銷服務費用※品名:meta廣告費代付服務費"/>
    <s v="科技法律研究所[第一]"/>
  </r>
  <r>
    <x v="1"/>
    <s v="1150302"/>
    <s v="T200408"/>
    <s v="510301-3201辦公（事務）用品"/>
    <x v="24"/>
    <n v="8500"/>
    <s v="姚名鴻老師教學研究使用※品名:商品如明細所示"/>
    <s v="財政稅務系"/>
  </r>
  <r>
    <x v="2"/>
    <s v="1150303"/>
    <s v="已審"/>
    <s v=""/>
    <x v="19"/>
    <n v="193300"/>
    <s v="(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
    <s v="商務資訊應用系"/>
  </r>
  <r>
    <x v="1"/>
    <s v="1150304"/>
    <s v="T200445"/>
    <s v="510301-3201辦公（事務）用品"/>
    <x v="25"/>
    <n v="21466"/>
    <s v="執行計畫用電腦周邊用品(林燦煌老師)※品名:電腦周邊用品"/>
    <s v="運籌管理系[第一]"/>
  </r>
  <r>
    <x v="1"/>
    <s v="1150304"/>
    <s v="T200449"/>
    <s v="510301-6801行政規費與強制費"/>
    <x v="26"/>
    <n v="5700"/>
    <s v="輪機系_補助陳品志老師發明專利許可費用總金額11400元(由躍升計畫補助50%($5700元)+陳品志經常門50%($5700元)_由陳品志代墊。※品名:許可費"/>
    <s v="輪機工程系"/>
  </r>
  <r>
    <x v="1"/>
    <s v="1150305"/>
    <s v="T200462"/>
    <s v="510301-3201辦公（事務）用品"/>
    <x v="27"/>
    <n v="22334"/>
    <s v="執行躍升計 畫, 舉辦活動列印海報之印表機碳粉(黑,藍,紅,黃)※品名:Epson T11G1黑、Epson T11G1藍、Epson T11G1紅、Epson T11G1黃"/>
    <s v="企管系"/>
  </r>
  <r>
    <x v="1"/>
    <s v="1150305"/>
    <s v="T200473"/>
    <s v="510301-2201郵費"/>
    <x v="10"/>
    <n v="590"/>
    <s v="推動系所躍升計畫:郵寄申請海外實習簽證之郵資。_x000a_(AEI沖繩機場、Kyoritsu Maintenance飯店)※品名:郵資"/>
    <s v="陳佩君"/>
  </r>
  <r>
    <x v="1"/>
    <s v="1150305"/>
    <s v="T200473"/>
    <s v="510301-2401印刷及裝訂費"/>
    <x v="28"/>
    <n v="600"/>
    <s v="計畫用印刷費※品名:噴圖"/>
    <s v="電訊工程系"/>
  </r>
  <r>
    <x v="1"/>
    <s v="1150305"/>
    <s v="T200474"/>
    <s v="510301-3201辦公（事務）用品"/>
    <x v="11"/>
    <n v="1000"/>
    <s v="報支執行躍升計畫資訊耗材費※品名:3.5mm轉6.5mm連接線"/>
    <s v="人資系"/>
  </r>
  <r>
    <x v="1"/>
    <s v="1150305"/>
    <s v="T200474"/>
    <s v="510301-2810電腦軟體服務費"/>
    <x v="0"/>
    <n v="633"/>
    <s v="購置AI軟體以利學習與研究(115年2月)姜林杰祐※品名:ChatGPT訂閱(0118-0218)"/>
    <s v="金融資訊系"/>
  </r>
  <r>
    <x v="2"/>
    <s v="1150306"/>
    <s v="已審"/>
    <s v=""/>
    <x v="20"/>
    <n v="50826"/>
    <s v="漁管系水槽實驗室(A11118)研究生之用品※品名:2.5cm鋼製屏風、屏風採霧玻補差額、屏風桌板、鋼製中抽、討論桌、學生網椅、辦公椅、16埠Gigabit交換器、UTP網路配線配電施工費用、全區施工費用(含油漆粉刷等)"/>
    <s v="漁業科技與管理系"/>
  </r>
  <r>
    <x v="1"/>
    <s v="1150309"/>
    <s v="T300278"/>
    <s v="510301-271315工讀金"/>
    <x v="0"/>
    <n v="24101"/>
    <s v="協助計畫執行臨時工作人員郭瑞傑115年2月工讀金"/>
    <s v="金融資訊系"/>
  </r>
  <r>
    <x v="1"/>
    <s v="1150309"/>
    <s v="T300279"/>
    <s v="510301-271303臨時工"/>
    <x v="16"/>
    <n v="21734"/>
    <s v="杜先蕙1月臨時工"/>
    <s v="李仕雄"/>
  </r>
  <r>
    <x v="1"/>
    <s v="1150309"/>
    <s v="T300280"/>
    <s v="510301-271315工讀金"/>
    <x v="18"/>
    <n v="14369"/>
    <s v="115年2月工讀金-蘇(王+民)芊"/>
    <s v="財務管理系"/>
  </r>
  <r>
    <x v="1"/>
    <s v="1150309"/>
    <s v="T300281"/>
    <s v="510301-271315工讀金"/>
    <x v="18"/>
    <n v="13274"/>
    <s v="115年2月工讀金-陳珮珊"/>
    <s v="財務管理系"/>
  </r>
  <r>
    <x v="1"/>
    <s v="1150309"/>
    <s v="T300282"/>
    <s v="510301-271315工讀金"/>
    <x v="6"/>
    <n v="11815"/>
    <s v="114躍升計畫支應陳翊欣工讀金(115年2月)"/>
    <s v="外語學院應用英語系"/>
  </r>
  <r>
    <x v="1"/>
    <s v="1150311"/>
    <s v="T200538"/>
    <s v="510301-3201辦公（事務）用品"/>
    <x v="25"/>
    <n v="11960"/>
    <s v="執行計畫用教學周邊用品(林燦煌老師)※品名:教學周邊用品"/>
    <s v="運籌管理系[第一]"/>
  </r>
  <r>
    <x v="1"/>
    <s v="1150313"/>
    <s v="T200601"/>
    <s v="510301-3201辦公（事務）用品"/>
    <x v="7"/>
    <n v="1420"/>
    <s v="受款人：林煒庭，碩士班實習實驗材料費※品名:海報影印、影印 膠裝、26孔活頁紙、櫻花白板筆、油性奇異筆、豆豆貼替換帶、修正內帶"/>
    <s v="造船及海洋工程系"/>
  </r>
  <r>
    <x v="1"/>
    <s v="1150313"/>
    <s v="T200601"/>
    <s v="510301-2401印刷及裝訂費"/>
    <x v="7"/>
    <n v="252"/>
    <s v="受款人：林煒庭，碩士班實習實驗材料費※品名:海報影印、影印 膠裝、26孔活頁紙、櫻花白板筆、油性奇異筆、豆豆貼替換帶、修正內帶"/>
    <s v="造船及海洋工程系"/>
  </r>
  <r>
    <x v="1"/>
    <s v="1150313"/>
    <s v="T200601"/>
    <s v="510301-3201辦公（事務）用品"/>
    <x v="0"/>
    <n v="807"/>
    <s v="建立AI教學與研究之輔助耗材(程師)※品名:電池、3C週邊(詳發票明細)、文具(詳發票明細)"/>
    <s v="金融資訊系"/>
  </r>
  <r>
    <x v="1"/>
    <s v="1150313"/>
    <s v="T200604"/>
    <s v="510301-720601獎助學員生給與"/>
    <x v="29"/>
    <n v="10355"/>
    <s v="代表海生系參加2026微生物應用創新競賽決賽"/>
    <s v="海洋生物技術系"/>
  </r>
  <r>
    <x v="1"/>
    <s v="1150316"/>
    <s v="T200624"/>
    <s v="510301-2810電腦軟體服務費"/>
    <x v="0"/>
    <n v="663"/>
    <s v="購置AI軟體以利學習與研究(115年2月)何姍嬬※品名:ChatGPT訂閱(0116-0216)"/>
    <s v="金融資訊系"/>
  </r>
  <r>
    <x v="1"/>
    <s v="1150316"/>
    <s v="T200624"/>
    <s v="510301-3201辦公（事務）用品"/>
    <x v="0"/>
    <n v="2990"/>
    <s v="建立AI教學與研究之輔助耗材※品名:藍牙滑鼠"/>
    <s v="金融資訊系"/>
  </r>
  <r>
    <x v="1"/>
    <s v="1150316"/>
    <s v="T200624"/>
    <s v="510301-3102物料"/>
    <x v="9"/>
    <n v="3762"/>
    <s v="課程使用※品名:麻甲木心板、運費"/>
    <s v="土木系"/>
  </r>
  <r>
    <x v="1"/>
    <s v="1150316"/>
    <s v="T200624"/>
    <s v="510301-3204化學藥劑與實驗用品"/>
    <x v="30"/>
    <n v="10000"/>
    <s v="實驗室研究生論文研究用。加工物品為玻璃，為耗材，故不申報財產※品名:雷射加工-玻璃"/>
    <s v="邱建良"/>
  </r>
  <r>
    <x v="1"/>
    <s v="1150317"/>
    <s v="T200627"/>
    <s v="510301-2810電腦軟體服務費"/>
    <x v="0"/>
    <n v="629"/>
    <s v="購置AI軟體以利學習與研究_鄭智陽※品名:ChatGPT訂閱(0218-0318)"/>
    <s v="金融資訊系"/>
  </r>
  <r>
    <x v="1"/>
    <s v="1150317"/>
    <s v="T200627"/>
    <s v="510301-3201辦公（事務）用品"/>
    <x v="27"/>
    <n v="2780"/>
    <s v="系上執行躍升計畫列印海報之繪圖機廢墨收集盒※品名:廢墨收集盒"/>
    <s v="企管系"/>
  </r>
  <r>
    <x v="1"/>
    <s v="1150317"/>
    <s v="T200627"/>
    <s v="510301-2B01推展費"/>
    <x v="23"/>
    <n v="6667"/>
    <s v="115年2月科法所meta廣告行銷服務費用※品名:meta廣告費代付服務費"/>
    <s v="科技法律研究所[第一]"/>
  </r>
  <r>
    <x v="1"/>
    <s v="1150317"/>
    <s v="T200627"/>
    <s v="510301-2401印刷及裝訂費"/>
    <x v="24"/>
    <n v="430"/>
    <s v="姚名鴻老師教學研究使用※品名:影印"/>
    <s v="財政稅務系"/>
  </r>
  <r>
    <x v="1"/>
    <s v="1150317"/>
    <s v="T200629"/>
    <s v="510301-3201辦公（事務）用品"/>
    <x v="18"/>
    <n v="6850"/>
    <s v="執行計畫用電腦周邊※品名:滑鼠、簡報器"/>
    <s v="財務管理系"/>
  </r>
  <r>
    <x v="1"/>
    <s v="1150317"/>
    <s v="T200629"/>
    <s v="510301-3206食品"/>
    <x v="11"/>
    <n v="1800"/>
    <s v="報支躍升計畫用人資系所特色定位共識會便當費，會議日期:115.2.26中午11:00~13:00，參加人數:15人※品名:便當"/>
    <s v="人資系"/>
  </r>
  <r>
    <x v="1"/>
    <s v="1150317"/>
    <s v="T200629"/>
    <s v="510301-3206食品"/>
    <x v="3"/>
    <n v="1440"/>
    <s v="工設系討論新一代設計展參展所需餐費(1150224中午1200-1345，共計12人次)※品名:餐費"/>
    <s v="工業設計系"/>
  </r>
  <r>
    <x v="1"/>
    <s v="1150317"/>
    <s v="T200629"/>
    <s v="510301-3202報章什誌"/>
    <x v="0"/>
    <n v="4604"/>
    <s v="本系擬透過躍升計畫建立AI教研實驗室，所購買書籍均與AI相關※品名:書(詳發票明細)"/>
    <s v="金融資訊系"/>
  </r>
  <r>
    <x v="0"/>
    <s v="1150317"/>
    <s v="未審"/>
    <s v=""/>
    <x v="7"/>
    <n v="5277"/>
    <s v="造船系115年5月工讀(張子怡)"/>
    <s v="造船及海洋工程系"/>
  </r>
  <r>
    <x v="0"/>
    <s v="1150317"/>
    <s v="未審"/>
    <s v=""/>
    <x v="7"/>
    <n v="4555"/>
    <s v="造船系115年6月工讀(張子怡)"/>
    <s v="造船及海洋工程系"/>
  </r>
  <r>
    <x v="1"/>
    <s v="1150318"/>
    <s v="T200634"/>
    <s v="510301-2401印刷及裝訂費"/>
    <x v="10"/>
    <n v="500"/>
    <s v="列印教材相關影印費用※品名:影印"/>
    <s v="孫逸珊"/>
  </r>
  <r>
    <x v="1"/>
    <s v="1150318"/>
    <s v="T200634"/>
    <s v="510301-3201辦公（事務）用品"/>
    <x v="10"/>
    <n v="630"/>
    <s v="教學使用之相關文具※品名:文具"/>
    <s v="孫逸珊"/>
  </r>
  <r>
    <x v="1"/>
    <s v="1150318"/>
    <s v="T200634"/>
    <s v="510301-3201辦公（事務）用品"/>
    <x v="10"/>
    <n v="1695"/>
    <s v="教學使用之相關文具※品名:文具"/>
    <s v="孫逸珊"/>
  </r>
  <r>
    <x v="1"/>
    <s v="1150318"/>
    <s v="T200634"/>
    <s v="510301-3201辦公（事務）用品"/>
    <x v="15"/>
    <n v="3831"/>
    <s v="旗津校區/海資系/執行計畫用耗材※品名:TP-Link WiFi 7分享器及網路線(詳如發票)"/>
    <s v="海事資訊科技系"/>
  </r>
  <r>
    <x v="1"/>
    <s v="1150318"/>
    <s v="T200649"/>
    <s v="510301-2502一般房屋修護費"/>
    <x v="5"/>
    <n v="70000"/>
    <s v="航運技術系新建5F研究中心牆面粉刷作業※品名:壁面油漆美化"/>
    <s v="航運技術系"/>
  </r>
  <r>
    <x v="1"/>
    <s v="1150318"/>
    <s v="T200668"/>
    <s v="510301-3201辦公（事務）用品"/>
    <x v="29"/>
    <n v="30145"/>
    <s v="系上碳粉匣、滾筒※品名:彩色滾筒、黑色碳粉匣、黃色碳粉匣"/>
    <s v="海洋生物技術系"/>
  </r>
  <r>
    <x v="1"/>
    <s v="1150318"/>
    <s v="T300329"/>
    <s v="510301-271315工讀金"/>
    <x v="16"/>
    <n v="17419"/>
    <s v="115年02月智慧商務系胡祐誠、蔡適安、楊兆彬燕巢校區工讀生薪資"/>
    <s v="智慧商務系"/>
  </r>
  <r>
    <x v="1"/>
    <s v="1150318"/>
    <s v="T300331"/>
    <s v="510301-271315工讀金"/>
    <x v="21"/>
    <n v="6968"/>
    <s v="115年3月何銘儀工讀金"/>
    <s v="歐宗殷"/>
  </r>
  <r>
    <x v="1"/>
    <s v="1150318"/>
    <s v="T300332"/>
    <s v="510301-271315工讀金"/>
    <x v="21"/>
    <n v="6968"/>
    <s v="115年2月何銘儀工讀金"/>
    <s v="歐宗殷"/>
  </r>
  <r>
    <x v="1"/>
    <s v="1150318"/>
    <s v="T300333"/>
    <s v="510301-271315工讀金"/>
    <x v="10"/>
    <n v="20894"/>
    <s v="【躍升】應日系躍升2月工讀金2名（李禮吟、陳昕煒）"/>
    <s v="外語學院應用日語系"/>
  </r>
  <r>
    <x v="1"/>
    <s v="1150319"/>
    <s v="T200724"/>
    <s v="510301-3201辦公（事務）用品"/>
    <x v="1"/>
    <n v="53100"/>
    <s v="【躍升計畫】電腦週邊用品-主機架(電腦教室使用)※品名:主機架"/>
    <s v="資訊管理系[第一]"/>
  </r>
  <r>
    <x v="1"/>
    <s v="1150319"/>
    <s v="T200736"/>
    <s v="510301-3201辦公（事務）用品"/>
    <x v="2"/>
    <n v="10220"/>
    <s v="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
    <s v="張雲龍"/>
  </r>
  <r>
    <x v="1"/>
    <s v="1150319"/>
    <s v="T200740"/>
    <s v="510301-3201辦公（事務）用品"/>
    <x v="25"/>
    <n v="13660"/>
    <s v="執行計畫教學用電腦周邊產品(林立千老師)※品名:電腦周邊產品"/>
    <s v="運籌管理系[第一]"/>
  </r>
  <r>
    <x v="1"/>
    <s v="1150319"/>
    <s v="T200741"/>
    <s v="510301-3201辦公（事務）用品"/>
    <x v="25"/>
    <n v="11910"/>
    <s v="執行計畫教學用事務用品(林立千老師)※品名:事務用品"/>
    <s v="運籌管理系[第一]"/>
  </r>
  <r>
    <x v="1"/>
    <s v="1150319"/>
    <s v="T300338"/>
    <s v="510301-280504顧問諮詢費"/>
    <x v="18"/>
    <n v="4084"/>
    <s v="01/27、02/03量化交易系統開發諮詢會議諮詢費-林崇德"/>
    <s v="財務管理系"/>
  </r>
  <r>
    <x v="1"/>
    <s v="1150319"/>
    <s v="T300338"/>
    <s v="510301-280504顧問諮詢費"/>
    <x v="18"/>
    <n v="2042"/>
    <s v="3/2專家諮詢費-高雄大學黃一祥教授"/>
    <s v="財務管理系"/>
  </r>
  <r>
    <x v="1"/>
    <s v="1150319"/>
    <s v="T300338"/>
    <s v="510301-280501講課鐘點、稿費、出席審查及查詢費"/>
    <x v="31"/>
    <n v="4000"/>
    <s v="1150304邀請金屬工業研究發展中心專案經理蒞系專題演講費"/>
    <s v="電腦與通訊工程系[第"/>
  </r>
  <r>
    <x v="1"/>
    <s v="1150323"/>
    <s v="T200775"/>
    <s v="510301-3102物料"/>
    <x v="3"/>
    <n v="1100"/>
    <s v="工設系補助課程((互動人因設計)所需材料費(壓克力材料1批)※品名:材料費"/>
    <s v="工業設計系"/>
  </r>
  <r>
    <x v="1"/>
    <s v="1150323"/>
    <s v="T200776"/>
    <s v="510301-2810電腦軟體服務費"/>
    <x v="30"/>
    <n v="638"/>
    <s v="實驗室輔助工具:OpenAI ChatGPT_x000a_Subscription※品名:輔助工具"/>
    <s v="朱紹儀"/>
  </r>
  <r>
    <x v="1"/>
    <s v="1150323"/>
    <s v="T200776"/>
    <s v="510301-2898其他"/>
    <x v="30"/>
    <n v="1458"/>
    <s v="丁信文老師-論文發表所需IEICE會員費※品名:IEICE會員費(含手續費)"/>
    <s v="丁信文"/>
  </r>
  <r>
    <x v="1"/>
    <s v="1150323"/>
    <s v="T200776"/>
    <s v="510301-3201辦公（事務）用品"/>
    <x v="16"/>
    <n v="203"/>
    <s v="智慧商務系 購入辦公用品※品名:大公文封10入、4孔夾"/>
    <s v="智慧商務系"/>
  </r>
  <r>
    <x v="1"/>
    <s v="1150323"/>
    <s v="T200777"/>
    <s v="510301-2898其他"/>
    <x v="29"/>
    <n v="10000"/>
    <s v="海生系林家豪老師英文編修費※品名:英文編修"/>
    <s v="海洋生物技術系"/>
  </r>
  <r>
    <x v="1"/>
    <s v="1150323"/>
    <s v="T200777"/>
    <s v="510301-3201辦公（事務）用品"/>
    <x v="18"/>
    <n v="7740"/>
    <s v="執行計畫用碳粉※品名:碳粉匣"/>
    <s v="財務管理系"/>
  </r>
  <r>
    <x v="1"/>
    <s v="1150323"/>
    <s v="T200777"/>
    <s v="510301-3206食品"/>
    <x v="13"/>
    <n v="2200"/>
    <s v="115.3.4金融系躍升計畫討論會議便當中午12:00-13:30，共22人※品名:便當"/>
    <s v="游雅萍"/>
  </r>
  <r>
    <x v="1"/>
    <s v="1150323"/>
    <s v="T200779"/>
    <s v="510301-2B01推展費"/>
    <x v="1"/>
    <n v="9193"/>
    <s v="【躍升計畫】廣告宣傳費—系所形象推廣使用※品名:facebook廣告費"/>
    <s v="資訊管理系[第一]"/>
  </r>
  <r>
    <x v="1"/>
    <s v="1150323"/>
    <s v="T200779"/>
    <s v="510301-2B01推展費"/>
    <x v="1"/>
    <n v="5000"/>
    <s v="【躍升計畫】廣告宣傳費—系所形象推廣使用※品名:google廣告費"/>
    <s v="資訊管理系[第一]"/>
  </r>
  <r>
    <x v="1"/>
    <s v="1150323"/>
    <s v="T200779"/>
    <s v="510301-3206食品"/>
    <x v="15"/>
    <n v="1200"/>
    <s v="旗津校區/海資系/1150303(12:10~13:00)召開執行計畫會議之誤餐費，共10人。※品名:便當"/>
    <s v="海事資訊科技系"/>
  </r>
  <r>
    <x v="1"/>
    <s v="1150323"/>
    <s v="T200779"/>
    <s v="510301-3206食品"/>
    <x v="15"/>
    <n v="1395"/>
    <s v="旗津校區/海資系/1150309(12:00~13:00)召開執行計畫會議之誤餐費，共12人。※品名:便當(三色)、便當(椒麻雞)、便當(黑胡椒豬肉)"/>
    <s v="海事資訊科技系"/>
  </r>
  <r>
    <x v="1"/>
    <s v="1150323"/>
    <s v="T200779"/>
    <s v="510301-2808委託考選訓練費"/>
    <x v="6"/>
    <n v="6000"/>
    <s v="114躍升計畫支應許正義老師發表研討會報名費※品名:報名費"/>
    <s v="外語學院應用英語系"/>
  </r>
  <r>
    <x v="1"/>
    <s v="1150323"/>
    <s v="T200779"/>
    <s v="510301-3201辦公（事務）用品"/>
    <x v="29"/>
    <n v="2378"/>
    <s v="實驗室用品※品名:塑膠瓶、保鮮盒、不鏽鋼煎鏟、不鏽鋼漆刀、彈力水管、醋酸鈉、竹籤"/>
    <s v="海洋生物技術系"/>
  </r>
  <r>
    <x v="1"/>
    <s v="1150323"/>
    <s v="T200781"/>
    <s v="510301-2201郵費"/>
    <x v="15"/>
    <n v="1320"/>
    <s v="旗津校區/海資系/執行計畫寄送文件用郵資※品名:郵票"/>
    <s v="海事資訊科技系"/>
  </r>
  <r>
    <x v="1"/>
    <s v="1150324"/>
    <s v="T200808"/>
    <s v="510301-3201辦公（事務）用品"/>
    <x v="25"/>
    <n v="16430"/>
    <s v="執行計畫用線材事務等用品(林立千老師)※品名:線材事務用品"/>
    <s v="運籌管理系[第一]"/>
  </r>
  <r>
    <x v="1"/>
    <s v="1150324"/>
    <s v="T200809"/>
    <s v="510301-280501講課鐘點、稿費、出席審查及查詢費"/>
    <x v="2"/>
    <n v="13000"/>
    <s v="期刊英文編修費用※品名:期刊英文編修費用"/>
    <s v="黃淵科"/>
  </r>
  <r>
    <x v="1"/>
    <s v="1150324"/>
    <s v="T200810"/>
    <s v="510301-3204化學藥劑與實驗用品"/>
    <x v="30"/>
    <n v="10000"/>
    <s v="實驗設備用※品名:電子零件IC材料一批(如附件)"/>
    <s v="江柏叡"/>
  </r>
  <r>
    <x v="1"/>
    <s v="1150324"/>
    <s v="T200816"/>
    <s v="510301-280501講課鐘點、稿費、出席審查及查詢費"/>
    <x v="4"/>
    <n v="11157"/>
    <s v="付觀光系執行躍升計畫補助劉志興老師論文編譯費。※品名:論文編譯費"/>
    <s v="觀光系"/>
  </r>
  <r>
    <x v="1"/>
    <s v="1150324"/>
    <s v="T200823"/>
    <s v="510301-3102物料"/>
    <x v="31"/>
    <n v="10175"/>
    <s v="電通系「網路與資安攻防實習」課程用零件※品名:USB to RS-232線"/>
    <s v="電腦與通訊工程系[第"/>
  </r>
  <r>
    <x v="1"/>
    <s v="1150324"/>
    <s v="T200847"/>
    <s v="510301-3102物料"/>
    <x v="31"/>
    <n v="192"/>
    <s v="電通系「電子電路實習」課程用零件※品名:電阻、電晶體"/>
    <s v="電腦與通訊工程系[第"/>
  </r>
  <r>
    <x v="1"/>
    <s v="1150324"/>
    <s v="T200847"/>
    <s v="510301-2810電腦軟體服務費"/>
    <x v="0"/>
    <n v="629"/>
    <s v="購置AI軟體以利學習與研究_姜林杰祐※品名:ChatGPT訂閱(0218-0318)"/>
    <s v="金融資訊系"/>
  </r>
  <r>
    <x v="1"/>
    <s v="1150324"/>
    <s v="T200847"/>
    <s v="510301-2201郵費"/>
    <x v="24"/>
    <n v="80"/>
    <s v="姚名鴻老師教學研究使用※品名:商品如明細所示"/>
    <s v="財政稅務系"/>
  </r>
  <r>
    <x v="1"/>
    <s v="1150324"/>
    <s v="T200847"/>
    <s v="510301-3201辦公（事務）用品"/>
    <x v="24"/>
    <n v="72"/>
    <s v="姚名鴻老師教學研究使用※品名:商品如明細所示"/>
    <s v="財政稅務系"/>
  </r>
  <r>
    <x v="1"/>
    <s v="1150324"/>
    <s v="T200848"/>
    <s v="510301-280501講課鐘點、稿費、出席審查及查詢費"/>
    <x v="4"/>
    <n v="13739"/>
    <s v="付觀光系執行躍升計畫補助黃永全老師論文編譯費。※品名:論文編譯費"/>
    <s v="觀光系"/>
  </r>
  <r>
    <x v="1"/>
    <s v="1150324"/>
    <s v="T200849"/>
    <s v="510301-280501講課鐘點、稿費、出席審查及查詢費"/>
    <x v="4"/>
    <n v="10042"/>
    <s v="付觀光系執行躍升計畫補助劉志興老師論文編譯費。※品名:論文編譯費"/>
    <s v="觀光系"/>
  </r>
  <r>
    <x v="1"/>
    <s v="1150324"/>
    <s v="T200850"/>
    <s v="510301-280501講課鐘點、稿費、出席審查及查詢費"/>
    <x v="4"/>
    <n v="10588"/>
    <s v="付觀光系執行躍升計畫補助劉志興老師論文編譯費。※品名:論文編譯費"/>
    <s v="觀光系"/>
  </r>
  <r>
    <x v="1"/>
    <s v="1150324"/>
    <s v="T200851"/>
    <s v="510301-3102物料"/>
    <x v="3"/>
    <n v="22400"/>
    <s v="工設系補助課程所需材料費(進階產品模型製作)銅管及不鏽鋼架※品名:材料費"/>
    <s v="工業設計系"/>
  </r>
  <r>
    <x v="1"/>
    <s v="1150324"/>
    <s v="T200855"/>
    <s v="510301-3102物料"/>
    <x v="9"/>
    <n v="17125"/>
    <s v="課程使用※品名:砂等、鋼筋"/>
    <s v="土木系"/>
  </r>
  <r>
    <x v="1"/>
    <s v="1150324"/>
    <s v="T200893"/>
    <s v="510301-2810電腦軟體服務費"/>
    <x v="0"/>
    <n v="660"/>
    <s v="購置AI軟體以利學習與研究_何姍嬬※品名:ChatGPT訂閱(0215-0315)"/>
    <s v="金融資訊系"/>
  </r>
  <r>
    <x v="1"/>
    <s v="1150324"/>
    <s v="T200893"/>
    <s v="510301-2810電腦軟體服務費"/>
    <x v="11"/>
    <n v="1263"/>
    <s v="報支翁慈君老師執行躍升計畫＿教學研究用1-2月ChatGpt使用費※品名:1月份ChatGpt、2月份ChatGpt"/>
    <s v="人資系"/>
  </r>
  <r>
    <x v="1"/>
    <s v="1150324"/>
    <s v="T200893"/>
    <s v="510301-3204化學藥劑與實驗用品"/>
    <x v="32"/>
    <n v="10000"/>
    <s v="實驗耗材※品名:LB-Broth Miller，1kg培養基、R.T.U.-1KB DNA Ladder，500ul 標定試劑、1.5ml Microtube，500tubes/pk 離心管、營業稅"/>
    <s v="陳勝嘉"/>
  </r>
  <r>
    <x v="1"/>
    <s v="1150324"/>
    <s v="T200894"/>
    <s v="510301-720601獎助學員生給與"/>
    <x v="3"/>
    <n v="5000"/>
    <s v="工設系補助學生至國外發表論文所需註冊費(王之遠)※品名:註冊費"/>
    <s v="工業設計系"/>
  </r>
  <r>
    <x v="1"/>
    <s v="1150324"/>
    <s v="T200894"/>
    <s v="510301-720601獎助學員生給與"/>
    <x v="3"/>
    <n v="5000"/>
    <s v="工設系補助學生至國外發表論文所需註冊費(李佳蓁)※品名:註冊費"/>
    <s v="工業設計系"/>
  </r>
  <r>
    <x v="1"/>
    <s v="1150324"/>
    <s v="T200894"/>
    <s v="510301-720601獎助學員生給與"/>
    <x v="3"/>
    <n v="5000"/>
    <s v="工設系補助學生至國外發表論文所需註冊費(湯晴芳)※品名:註冊費"/>
    <s v="工業設計系"/>
  </r>
  <r>
    <x v="1"/>
    <s v="1150324"/>
    <s v="T200894"/>
    <s v="510301-720601獎助學員生給與"/>
    <x v="3"/>
    <n v="5000"/>
    <s v="工設系補助學生至國外發表論文所需註冊費(陳昕)※品名:註冊費"/>
    <s v="工業設計系"/>
  </r>
  <r>
    <x v="1"/>
    <s v="1150324"/>
    <s v="T200894"/>
    <s v="510301-720601獎助學員生給與"/>
    <x v="3"/>
    <n v="5000"/>
    <s v="工設系補助學生至國外發表論文所需註冊費(嚴雨潔)※品名:註冊費"/>
    <s v="工業設計系"/>
  </r>
  <r>
    <x v="1"/>
    <s v="1150324"/>
    <s v="T200894"/>
    <s v="510301-720601獎助學員生給與"/>
    <x v="3"/>
    <n v="5000"/>
    <s v="工設系補助學生至國外發表論文所需註冊費(陳玠銘)※品名:註冊費"/>
    <s v="工業設計系"/>
  </r>
  <r>
    <x v="1"/>
    <s v="1150324"/>
    <s v="T200894"/>
    <s v="510301-720601獎助學員生給與"/>
    <x v="3"/>
    <n v="5000"/>
    <s v="工設系補助學生至國外發表論文所需註冊費(張仁駿)※品名:註冊費"/>
    <s v="工業設計系"/>
  </r>
  <r>
    <x v="1"/>
    <s v="1150324"/>
    <s v="T200894"/>
    <s v="510301-280501講課鐘點、稿費、出席審查及查詢費"/>
    <x v="4"/>
    <n v="7778"/>
    <s v="付觀光系執行躍升計畫補助黃永全老師論文編譯費。※品名:論文編譯費"/>
    <s v="觀光系"/>
  </r>
  <r>
    <x v="1"/>
    <s v="1150324"/>
    <s v="T200894"/>
    <s v="510301-3201辦公（事務）用品"/>
    <x v="17"/>
    <n v="1600"/>
    <s v="114.2(燕巢會資系)-海報機-公告與教學用※品名:防水海報紙"/>
    <s v="會計資訊系"/>
  </r>
  <r>
    <x v="1"/>
    <s v="1150324"/>
    <s v="T300354"/>
    <s v="510301-271315工讀金"/>
    <x v="13"/>
    <n v="12949"/>
    <s v="執行躍升計畫工讀_朱晏萱3月"/>
    <s v="游雅萍"/>
  </r>
  <r>
    <x v="1"/>
    <s v="1150324"/>
    <s v="T300361"/>
    <s v="510301-271303臨時工"/>
    <x v="16"/>
    <n v="13285"/>
    <s v="杜先蕙2月臨時工"/>
    <s v="李仕雄"/>
  </r>
  <r>
    <x v="0"/>
    <s v="1150327"/>
    <s v="未審"/>
    <s v=""/>
    <x v="33"/>
    <n v="42220"/>
    <s v="發表費※品名:發表費"/>
    <s v="蘇明鴻"/>
  </r>
  <r>
    <x v="0"/>
    <s v="1150330"/>
    <s v="未審"/>
    <s v=""/>
    <x v="2"/>
    <n v="3679"/>
    <s v="雜支(電腦周邊)完善研究設備提升研究能量※品名:行動電源、鍵盤組藍芽接收器無線網卡、延長線"/>
    <s v="林聯發"/>
  </r>
  <r>
    <x v="1"/>
    <s v="1150401"/>
    <s v="T200909"/>
    <s v="510301-3201辦公（事務）用品"/>
    <x v="7"/>
    <n v="23500"/>
    <s v="受款人：集浦有限公司，電工學實驗課程材料費※品名:AC電源線、可變電阻l6kl、訂製品220V插頭延長線、220V緊急按鈕"/>
    <s v="造船及海洋工程系"/>
  </r>
  <r>
    <x v="1"/>
    <s v="1150401"/>
    <s v="T200910"/>
    <s v="510301-3102物料"/>
    <x v="7"/>
    <n v="69370"/>
    <s v="受款人：源斌行邱垂達，船模製作實習課程材料費※品名:巴沙木1.5mm*80mm*900mm、合板1/8&quot;*4尺*8尺、快乾膠20g、補土(含硬化劑)1立、補土補刀36pc、線鋸條cs3304、砂紙&quot;80&quot;320、噴漆、特殊鋼剪刀8&quot;"/>
    <s v="造船及海洋工程系"/>
  </r>
  <r>
    <x v="1"/>
    <s v="1150401"/>
    <s v="T200920"/>
    <s v="510301-3201辦公（事務）用品"/>
    <x v="28"/>
    <n v="2900"/>
    <s v="440-B教學實驗室安裝監控鏡頭-陳瓊興老師※品名:紅外線監控鏡頭含安裝"/>
    <s v="電訊工程系"/>
  </r>
  <r>
    <x v="1"/>
    <s v="1150401"/>
    <s v="T200920"/>
    <s v="510301-3201辦公（事務）用品"/>
    <x v="7"/>
    <n v="2622"/>
    <s v="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
    <s v="造船及海洋工程系"/>
  </r>
  <r>
    <x v="1"/>
    <s v="1150401"/>
    <s v="T200920"/>
    <s v="510301-2401印刷及裝訂費"/>
    <x v="7"/>
    <n v="787"/>
    <s v="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
    <s v="造船及海洋工程系"/>
  </r>
  <r>
    <x v="1"/>
    <s v="1150401"/>
    <s v="T200920"/>
    <s v="510301-239801其他旅運費"/>
    <x v="13"/>
    <n v="2980"/>
    <s v="執行躍升計畫交通費115.3.11丁秀儀"/>
    <s v="游雅萍"/>
  </r>
  <r>
    <x v="1"/>
    <s v="1150401"/>
    <s v="T200920"/>
    <s v="510301-3201辦公（事務）用品"/>
    <x v="11"/>
    <n v="1289"/>
    <s v="報支執行躍升計畫活動用文具費※品名:文具"/>
    <s v="人資系"/>
  </r>
  <r>
    <x v="1"/>
    <s v="1150401"/>
    <s v="T200920"/>
    <s v="510301-3201辦公（事務）用品"/>
    <x v="6"/>
    <n v="8793"/>
    <s v="114躍升計畫支應唐西恩老師購買教學研究所需文具用品、3C產品及無線麥克風及音箱組※品名:文具用品、3C產品、印表機、無線麥克風及音箱"/>
    <s v="外語學院應用英語系"/>
  </r>
  <r>
    <x v="1"/>
    <s v="1150401"/>
    <s v="T200920"/>
    <s v="510301-3204化學藥劑與實驗用品"/>
    <x v="2"/>
    <n v="6823"/>
    <s v="為研究計畫所需，用於組裝「智慧運動器材」，以利測試作業進行。※品名:五金零件耗材"/>
    <s v="林威成"/>
  </r>
  <r>
    <x v="1"/>
    <s v="1150401"/>
    <s v="T200921"/>
    <s v="510301-3201辦公（事務）用品"/>
    <x v="6"/>
    <n v="3813"/>
    <s v="114躍升計畫支應許正義老師購買教學研究所需文具用品※品名:文具用品"/>
    <s v="外語學院應用英語系"/>
  </r>
  <r>
    <x v="1"/>
    <s v="1150401"/>
    <s v="T200921"/>
    <s v="510301-2201郵費"/>
    <x v="10"/>
    <n v="340"/>
    <s v="推動系所躍升計畫所使用之郵資(ATS申請簽證資料)※品名:郵資"/>
    <s v="陳佩君"/>
  </r>
  <r>
    <x v="1"/>
    <s v="1150401"/>
    <s v="T200921"/>
    <s v="510301-2898其他"/>
    <x v="20"/>
    <n v="8000"/>
    <s v="115年度漁管系執行改質躍升改善教室空間之拆除、搬運費※品名:拆除及搬運費"/>
    <s v="漁業科技與管理系"/>
  </r>
  <r>
    <x v="1"/>
    <s v="1150401"/>
    <s v="T200921"/>
    <s v="510301-3201辦公（事務）用品"/>
    <x v="20"/>
    <n v="2500"/>
    <s v="115年度漁管系執行改質躍升計畫用之行動硬碟※品名:行動硬碟1TB"/>
    <s v="漁業科技與管理系"/>
  </r>
  <r>
    <x v="1"/>
    <s v="1150401"/>
    <s v="T200921"/>
    <s v="510301-2401印刷及裝訂費"/>
    <x v="19"/>
    <n v="270"/>
    <s v="(楠梓-商資系-躍升計畫)114學年度第2學期系週會海報印刷※品名:海報印刷費"/>
    <s v="商務資訊應用系"/>
  </r>
  <r>
    <x v="1"/>
    <s v="1150401"/>
    <s v="T200925"/>
    <s v="510301-3201辦公（事務）用品"/>
    <x v="24"/>
    <n v="55354"/>
    <s v="財稅系教學實踐計畫教學器材※品名:個人電腦顯示器"/>
    <s v=""/>
  </r>
  <r>
    <x v="1"/>
    <s v="1150401"/>
    <s v="T200958"/>
    <s v="510301-3201辦公（事務）用品"/>
    <x v="30"/>
    <n v="8542"/>
    <s v="實驗室用印表機.碳粉夾.印表機墨水.螢幕.列印紙※品名:印表機、碳粉夾、電腦螢幕、影印機墨水、列印紙"/>
    <s v="丁信文"/>
  </r>
  <r>
    <x v="1"/>
    <s v="1150401"/>
    <s v="T200977"/>
    <s v="510301-3201辦公（事務）用品"/>
    <x v="23"/>
    <n v="17666"/>
    <s v="執行系所躍升計畫所使用之文具費用※品名:文具用品"/>
    <s v="科技法律研究所[第一]"/>
  </r>
  <r>
    <x v="1"/>
    <s v="1150401"/>
    <s v="T200979"/>
    <s v="510301-3204化學藥劑與實驗用品"/>
    <x v="22"/>
    <n v="13000"/>
    <s v="製作專題實驗用耗材※品名:ITO玻璃"/>
    <s v="半導體工程系"/>
  </r>
  <r>
    <x v="1"/>
    <s v="1150401"/>
    <s v="T200987"/>
    <s v="510301-2506交通及運輸設備修護費"/>
    <x v="14"/>
    <n v="13100"/>
    <s v="教學環境用電子器材維修更換4050402-13   5000015※品名:電子器材"/>
    <s v="航運管理系[楠梓|旗津"/>
  </r>
  <r>
    <x v="1"/>
    <s v="1150401"/>
    <s v="T200988"/>
    <s v="510301-3201辦公（事務）用品"/>
    <x v="25"/>
    <n v="11460"/>
    <s v="執行計畫用線材/充電器(黃山琿老師)※品名:線材/充電器"/>
    <s v="運籌管理系[第一]"/>
  </r>
  <r>
    <x v="1"/>
    <s v="1150401"/>
    <s v="T200989"/>
    <s v="510301-3201辦公（事務）用品"/>
    <x v="25"/>
    <n v="13012"/>
    <s v="執行計畫用碳粉匣/感光鼓(林燦煌老師)※品名:碳粉匣+感光鼓"/>
    <s v="運籌管理系[第一]"/>
  </r>
  <r>
    <x v="1"/>
    <s v="1150401"/>
    <s v="T200993"/>
    <s v="510301-3204化學藥劑與實驗用品"/>
    <x v="32"/>
    <n v="17500"/>
    <s v="115年3月林家民老師實驗耗材※品名:乳酸菌培養液 Lactobacilli MRS Broth；非醫療器材、2%亮綠膽鹽培養液；Brilliant Green Bile Broth 2%(BGLB)；非醫療器材、應稅"/>
    <s v="林家民"/>
  </r>
  <r>
    <x v="1"/>
    <s v="1150401"/>
    <s v="T200996"/>
    <s v="510301-2401印刷及裝訂費"/>
    <x v="7"/>
    <n v="13465"/>
    <s v="受款人：瑞洋複印社周沁渢，執行計畫用※品名:A0珍珠板、A0珍珠板(不上膜)、手冊(品保服務資料)、資料手冊、實習增能說明手冊"/>
    <s v="造船及海洋工程系"/>
  </r>
  <r>
    <x v="1"/>
    <s v="1150401"/>
    <s v="T201000"/>
    <s v="510301-3204化學藥劑與實驗用品"/>
    <x v="32"/>
    <n v="26000"/>
    <s v="實驗用耗材※品名:次世代定序NovaSeq X Plus 150PE 1G {DNA}"/>
    <s v="蔡美玲"/>
  </r>
  <r>
    <x v="1"/>
    <s v="1150401"/>
    <s v="T201040"/>
    <s v="510301-2898其他"/>
    <x v="26"/>
    <n v="1737"/>
    <s v="輪機系_執行躍升計畫補助徐國欽發表國際SCI論文潤飾及刊登費用$1737元【總額為3475元因躍升計畫僅餘1737不足額度由徐國欽114年國科會計畫用支應)】※品名:國際SCI論文潤飾及刊登費"/>
    <s v="輪機工程系"/>
  </r>
  <r>
    <x v="1"/>
    <s v="1150401"/>
    <s v="T300382"/>
    <s v="510301-271315工讀金"/>
    <x v="20"/>
    <n v="3187"/>
    <s v="115年3月份臨時工資(郭祐呈)"/>
    <s v="漁業科技與管理系"/>
  </r>
  <r>
    <x v="1"/>
    <s v="1150401"/>
    <s v="T300385"/>
    <s v="510301-271315工讀金"/>
    <x v="6"/>
    <n v="7447"/>
    <s v="114躍升計畫支應賴孟瑄工讀金"/>
    <s v="外語學院應用英語系"/>
  </r>
  <r>
    <x v="1"/>
    <s v="1150401"/>
    <s v="T300387"/>
    <s v="510301-271315工讀金"/>
    <x v="6"/>
    <n v="5385"/>
    <s v="114躍升計畫支應陳萱蓉工讀金"/>
    <s v="外語學院應用英語系"/>
  </r>
  <r>
    <x v="1"/>
    <s v="1150401"/>
    <s v="T300389"/>
    <s v="510301-280501講課鐘點、稿費、出席審查及查詢費"/>
    <x v="6"/>
    <n v="6127"/>
    <s v="114躍升計畫邀請外籍學者演講(3/11)09:10~12:00"/>
    <s v="外語學院應用英語系"/>
  </r>
  <r>
    <x v="1"/>
    <s v="1150401"/>
    <s v="T300390"/>
    <s v="510301-280501講課鐘點、稿費、出席審查及查詢費"/>
    <x v="6"/>
    <n v="10211"/>
    <s v="114躍升計畫支應馮蕙嫻老師請外籍學者撰稿費"/>
    <s v="外語學院應用英語系"/>
  </r>
  <r>
    <x v="1"/>
    <s v="1150401"/>
    <s v="T300391"/>
    <s v="510301-280501講課鐘點、稿費、出席審查及查詢費"/>
    <x v="6"/>
    <n v="10211"/>
    <s v="114躍升計畫支應馮蕙嫻老師請外籍學者撰稿費"/>
    <s v="外語學院應用英語系"/>
  </r>
  <r>
    <x v="1"/>
    <s v="1150401"/>
    <s v="T300393"/>
    <s v="510301-280501講課鐘點、稿費、出席審查及查詢費"/>
    <x v="3"/>
    <n v="3063"/>
    <s v="工設系114-2學期專題演講講師鐘點費(115/3/11，13：30-15：30劉獻文)"/>
    <s v="工業設計系"/>
  </r>
  <r>
    <x v="1"/>
    <s v="1150401"/>
    <s v="T300393"/>
    <s v="510301-280501講課鐘點、稿費、出席審查及查詢費"/>
    <x v="15"/>
    <n v="6126"/>
    <s v="旗津校區/海資系/召開115學年系課程諮詢委員會/邀請楊新章、周金益、楊柏彥委員出席費(時間:115.3.9 12:00－13:00)"/>
    <s v="海事資訊科技系"/>
  </r>
  <r>
    <x v="1"/>
    <s v="1150401"/>
    <s v="T300393"/>
    <s v="510301-280501講課鐘點、稿費、出席審查及查詢費"/>
    <x v="15"/>
    <n v="2042"/>
    <s v="旗津校區/海資系/邀請周佳毅協理演講費(銓日儀企業有限公司)(時間:115.03.11 18:30－20:30)(講題:海底電纜調查與維護)"/>
    <s v="海事資訊科技系"/>
  </r>
  <r>
    <x v="1"/>
    <s v="1150401"/>
    <s v="T300393"/>
    <s v="510301-280501講課鐘點、稿費、出席審查及查詢費"/>
    <x v="13"/>
    <n v="6127"/>
    <s v="執行躍升計畫鐘點費115.3.11丁秀儀"/>
    <s v="游雅萍"/>
  </r>
  <r>
    <x v="1"/>
    <s v="1150401"/>
    <s v="T300429"/>
    <s v="510301-271315工讀金"/>
    <x v="16"/>
    <n v="6733"/>
    <s v="智商系建工系辦115/3/15協助辦理招生工作臨時人力工讀費核支(陳文俊等4人)"/>
    <s v="智慧商務系"/>
  </r>
  <r>
    <x v="1"/>
    <s v="1150401"/>
    <s v="T300432"/>
    <s v="510301-271315工讀金"/>
    <x v="8"/>
    <n v="6868"/>
    <s v="115年3月躍升計畫-工讀費_協助系所辦理各類活動(學生1名:劉芊逸)"/>
    <s v="供應鏈管理系[楠梓|旗"/>
  </r>
  <r>
    <x v="1"/>
    <s v="1150401"/>
    <s v="T300437"/>
    <s v="510301-271315工讀金"/>
    <x v="0"/>
    <n v="29785"/>
    <s v="協助計畫執行臨時工作人員郭瑞傑115年3月工讀金"/>
    <s v="金融資訊系"/>
  </r>
  <r>
    <x v="1"/>
    <s v="1150401"/>
    <s v="T300457"/>
    <s v="510301-280501講課鐘點、稿費、出席審查及查詢費"/>
    <x v="31"/>
    <n v="4000"/>
    <s v="1150311邀請義守大學電機工程系孫迺翔教授蒞系專題演講費"/>
    <s v="電腦與通訊工程系[第"/>
  </r>
  <r>
    <x v="1"/>
    <s v="1150401"/>
    <s v="T400341"/>
    <s v="510301-280501講課鐘點、稿費、出席審查及查詢費"/>
    <x v="11"/>
    <n v="16338"/>
    <s v="報支115/01/11就業服務技術士證照輔導總複習課程校外講師(黃皇凱)鐘點費"/>
    <s v=""/>
  </r>
  <r>
    <x v="0"/>
    <s v="1150401"/>
    <s v="未審"/>
    <s v=""/>
    <x v="34"/>
    <n v="3032"/>
    <s v="實驗用耗材&amp;儀器使用費※品名:UPS電池、實驗用洗衣粉、實驗用洗滌劑、止洩帶、子母刷、撈網、共同儀器使用費-高醫、中山儀器使用費"/>
    <s v="黃政偉"/>
  </r>
  <r>
    <x v="1"/>
    <s v="1150408"/>
    <s v="T201068"/>
    <s v="510301-2301國內旅費"/>
    <x v="26"/>
    <n v="3715"/>
    <s v="115年3月6日至3月7日_孫建中赴台中勤益科技大學參加2026 TIRC 台灣智慧型機器人比賽，支付差旅費用$3715元。"/>
    <s v="輪機工程系"/>
  </r>
  <r>
    <x v="1"/>
    <s v="1150408"/>
    <s v="T201068"/>
    <s v="510301-2301國內旅費"/>
    <x v="26"/>
    <n v="3715"/>
    <s v="115年3月6日至3月7日_鐘瑋琳赴台中勤益科技大學參加2026 TIRC 台灣智慧型機器人比賽，支付差旅費用$3715元。"/>
    <s v="輪機工程系"/>
  </r>
  <r>
    <x v="1"/>
    <s v="1150408"/>
    <s v="T201068"/>
    <s v="510301-720601獎助學員生給與"/>
    <x v="26"/>
    <n v="3115"/>
    <s v="115年3月6日至3月7日_學生黃義德赴台中勤益科技大學參加2026 TIRC 台灣智慧型機器人比賽，支付差旅費用$3115元。"/>
    <s v="輪機工程系"/>
  </r>
  <r>
    <x v="1"/>
    <s v="1150408"/>
    <s v="T201068"/>
    <s v="510301-720601獎助學員生給與"/>
    <x v="26"/>
    <n v="3115"/>
    <s v="115年3月6日至3月7日_學生廖宥傑赴台中勤益科技大學參加2026 TIRC 台灣智慧型機器人比賽，支付差旅費用$3115元。"/>
    <s v="輪機工程系"/>
  </r>
  <r>
    <x v="1"/>
    <s v="1150408"/>
    <s v="T201071"/>
    <s v="510301-2808委託考選訓練費"/>
    <x v="26"/>
    <n v="600"/>
    <s v="輪機系_報名2026 TIRC 台灣智慧型機器人比賽，支付註冊費用$600。※品名:註冊費"/>
    <s v="輪機工程系"/>
  </r>
  <r>
    <x v="1"/>
    <s v="1150408"/>
    <s v="T201071"/>
    <s v="510301-2698其他保險費"/>
    <x v="15"/>
    <n v="114"/>
    <s v="旗津校區/海資系/115年3月7日，張修溥、艾哲偉及楊皓翔同學，赴國立勤益科技大學，參加TIRC台灣智慧型機器人大賽保險費※品名:保險費(38元*3人)"/>
    <s v="海事資訊科技系"/>
  </r>
  <r>
    <x v="1"/>
    <s v="1150408"/>
    <s v="T201071"/>
    <s v="510301-2808委託考選訓練費"/>
    <x v="15"/>
    <n v="600"/>
    <s v="旗津校區/海資系/115年3月7日，張修溥、艾哲偉及楊皓翔同學，赴國立勤益科技大學，參加TIRC台灣智慧型機器人大賽報名費※品名:報名費"/>
    <s v="海事資訊科技系"/>
  </r>
  <r>
    <x v="1"/>
    <s v="1150408"/>
    <s v="T201071"/>
    <s v="510301-2698其他保險費"/>
    <x v="15"/>
    <n v="114"/>
    <s v="旗津校區/海資系/115年3月13日，柯智煒、程仁杰、惟智同學，赴南臺科技大學，參加第二十一屆數位訊號處理創思設計競賽保險費※品名:保險費(38元*3人)"/>
    <s v="海事資訊科技系"/>
  </r>
  <r>
    <x v="1"/>
    <s v="1150408"/>
    <s v="T201071"/>
    <s v="510301-239801其他旅運費"/>
    <x v="7"/>
    <n v="2980"/>
    <s v="115年3月10日專題演講林永富博士交通費"/>
    <s v="造船及海洋工程系"/>
  </r>
  <r>
    <x v="1"/>
    <s v="1150408"/>
    <s v="T201071"/>
    <s v="510301-239801其他旅運費"/>
    <x v="13"/>
    <n v="200"/>
    <s v="執行躍升計畫交通費115.3.18楊智明"/>
    <s v="游雅萍"/>
  </r>
  <r>
    <x v="1"/>
    <s v="1150408"/>
    <s v="T201071"/>
    <s v="510301-720601獎助學員生給與"/>
    <x v="1"/>
    <n v="7980"/>
    <s v="【躍升計畫】補助學生參加「InnoConnect+2025 全國服務創新跨界共創大賽頒獎典禮」交通費(林琲庭、廖梓言、黃晨榛)-高鐵左營站-桃園站來回(當天來回)"/>
    <s v="資訊管理系[第一]"/>
  </r>
  <r>
    <x v="1"/>
    <s v="1150408"/>
    <s v="T201071"/>
    <s v="510301-3204化學藥劑與實驗用品"/>
    <x v="22"/>
    <n v="3320"/>
    <s v="製作專題實驗用※品名:鹽酸、卡式PP濾心、實驗室使用費-材料分析(中山大學材光系)、硫代二甘酸"/>
    <s v="半導體工程系"/>
  </r>
  <r>
    <x v="1"/>
    <s v="1150408"/>
    <s v="T201071"/>
    <s v="510301-239801其他旅運費"/>
    <x v="3"/>
    <n v="1580"/>
    <s v="工設系114-2學期專題演講講師交通費(115/3/11，13：30-15：30劉獻文，左營-臺中)"/>
    <s v="工業設計系"/>
  </r>
  <r>
    <x v="1"/>
    <s v="1150408"/>
    <s v="T201071"/>
    <s v="510301-3206食品"/>
    <x v="3"/>
    <n v="1200"/>
    <s v="工設系討論課程及學生參與國際競賽規劃會議所需餐費(115/3/19，中午12：00-13：30，共計10位)※品名:餐費"/>
    <s v="工業設計系"/>
  </r>
  <r>
    <x v="1"/>
    <s v="1150408"/>
    <s v="T201071"/>
    <s v="510301-2201郵費"/>
    <x v="10"/>
    <n v="240"/>
    <s v="推動系所躍升計畫所使用之郵資(似鳥國際獎學金)※品名:郵資"/>
    <s v="陳佩君"/>
  </r>
  <r>
    <x v="3"/>
    <s v="1150408"/>
    <s v="T201077"/>
    <s v="110704-1001預付基金費用"/>
    <x v="10"/>
    <n v="200000"/>
    <s v="付應用德語系辦理2026年中華民國德語文學者暨教師協會年會外國講者所需之住宿費及補助機票。※品名:住宿費、機票費【承辦人:唐照凝】【預定歸還日期:115年4月30日】"/>
    <s v="外語學院應用德語系"/>
  </r>
  <r>
    <x v="1"/>
    <s v="1150408"/>
    <s v="T201083"/>
    <s v="510301-3102物料"/>
    <x v="30"/>
    <n v="75000"/>
    <s v="李新木技士申請-實驗實習課用※品名:電子材料"/>
    <s v="電子系"/>
  </r>
  <r>
    <x v="0"/>
    <s v="1150408"/>
    <s v="未審"/>
    <s v=""/>
    <x v="30"/>
    <n v="9993"/>
    <s v="受款人：黃冠渝, 教學研究用※品名:羅技 MX Master 3S LITE 無線藍芽滑鼠、Razer BlackShark V2X 有線耳機、3M空氣清淨機濾網、羅技 MK295 無線靜音鍵鼠組、群加 cat 5e 網路線 10m、PX 大通 DisplayPort 1.2 2m(折扣：190.47)(稅額：36)"/>
    <s v="黃冠渝"/>
  </r>
  <r>
    <x v="0"/>
    <s v="1150408"/>
    <s v="未審"/>
    <s v=""/>
    <x v="30"/>
    <n v="652"/>
    <s v="實驗室輔助工具:OpenAI ChatGPT_x000a_Subscription※品名:輔助工具"/>
    <s v="朱紹儀"/>
  </r>
  <r>
    <x v="0"/>
    <s v="1150408"/>
    <s v="未審"/>
    <s v=""/>
    <x v="30"/>
    <n v="9832"/>
    <s v="115/6月工讀金:趙俊傑"/>
    <s v="潘天賜"/>
  </r>
  <r>
    <x v="1"/>
    <s v="1150409"/>
    <s v="T201101"/>
    <s v="510301-720601獎助學員生給與"/>
    <x v="28"/>
    <n v="39010"/>
    <s v="鼓勵教師及學生參加研討會並發表論文補助費(陳瓊興老師.陳信安同學.林郁軒同學)"/>
    <s v="電訊工程系"/>
  </r>
  <r>
    <x v="1"/>
    <s v="1150409"/>
    <s v="T201109"/>
    <s v="510301-3204化學藥劑與實驗用品"/>
    <x v="22"/>
    <n v="18279"/>
    <s v="製作專題實驗用耗材※品名:石英振盪片、夾具、真空幫浦油..等"/>
    <s v="半導體工程系"/>
  </r>
  <r>
    <x v="1"/>
    <s v="1150409"/>
    <s v="T201129"/>
    <s v="510301-3201辦公（事務）用品"/>
    <x v="9"/>
    <n v="12090"/>
    <s v="電腦教室使用※品名:3.5&quot; 2TB硬碟等"/>
    <s v="土木系"/>
  </r>
  <r>
    <x v="1"/>
    <s v="1150409"/>
    <s v="T201131"/>
    <s v="510301-3201辦公（事務）用品"/>
    <x v="18"/>
    <n v="18180"/>
    <s v="執行計畫用-電腦週邊※品名:電腦週邊用品"/>
    <s v="財務管理系"/>
  </r>
  <r>
    <x v="1"/>
    <s v="1150409"/>
    <s v="T201137"/>
    <s v="510301-3201辦公（事務）用品"/>
    <x v="15"/>
    <n v="13500"/>
    <s v="旗津校區/海資系/執行計畫用耗材※品名:MiniDP公 To HDMI公 1.8米轉接線"/>
    <s v="海事資訊科技系"/>
  </r>
  <r>
    <x v="1"/>
    <s v="1150409"/>
    <s v="T201164"/>
    <s v="510301-2401印刷及裝訂費"/>
    <x v="28"/>
    <n v="400"/>
    <s v="114學年第2學期專題競賽宣傳海報印刷※品名:海報"/>
    <s v="電訊工程系"/>
  </r>
  <r>
    <x v="1"/>
    <s v="1150409"/>
    <s v="T201164"/>
    <s v="510301-3201辦公（事務）用品"/>
    <x v="25"/>
    <n v="10000"/>
    <s v="執行計畫用電池/充電電池(林燦煌老師)※品名:電池.充電電池"/>
    <s v="運籌管理系[第一]"/>
  </r>
  <r>
    <x v="1"/>
    <s v="1150409"/>
    <s v="T201164"/>
    <s v="510301-3201辦公（事務）用品"/>
    <x v="8"/>
    <n v="2000"/>
    <s v="添購辦公用文具一批(詳如明細)※品名:文具"/>
    <s v="供應鏈管理系[楠梓|旗"/>
  </r>
  <r>
    <x v="1"/>
    <s v="1150409"/>
    <s v="T201164"/>
    <s v="510301-3201辦公（事務）用品"/>
    <x v="27"/>
    <n v="7530"/>
    <s v="執行躍升計 畫, 舉辦活動所需使用之文具※品名:充電器、80磅彩色A4紙、充電電池"/>
    <s v="企管系"/>
  </r>
  <r>
    <x v="1"/>
    <s v="1150409"/>
    <s v="T201164"/>
    <s v="510301-2401印刷及裝訂費"/>
    <x v="10"/>
    <n v="4000"/>
    <s v="主要用於教學及學術研究※品名:影印"/>
    <s v="小堀和彥"/>
  </r>
  <r>
    <x v="1"/>
    <s v="1150409"/>
    <s v="T201164"/>
    <s v="510301-3206食品"/>
    <x v="3"/>
    <n v="960"/>
    <s v="工設系討論114-2期末展辦理事宜所需餐費(1150324中午1200-1330，共計8人次)※品名:便當"/>
    <s v="工業設計系"/>
  </r>
  <r>
    <x v="1"/>
    <s v="1150409"/>
    <s v="T201165"/>
    <s v="510301-3102物料"/>
    <x v="3"/>
    <n v="3360"/>
    <s v="補助學生參展所需材料費(實驗用麵包版)※品名:材料費"/>
    <s v="工業設計系"/>
  </r>
  <r>
    <x v="1"/>
    <s v="1150409"/>
    <s v="T201165"/>
    <s v="510301-3201辦公（事務）用品"/>
    <x v="10"/>
    <n v="288"/>
    <s v="教學資料儲存用USB隨身碟跟學生作文批改用※品名:施奈德　One Business02、USB隨身碟JF790K 32GB黑、日本斑馬 2JJ15-V"/>
    <s v="小堀和彥"/>
  </r>
  <r>
    <x v="1"/>
    <s v="1150409"/>
    <s v="T201165"/>
    <s v="510301-3201辦公（事務）用品"/>
    <x v="10"/>
    <n v="558"/>
    <s v="教學資料儲存用USB隨身碟跟學生作文批改用※品名:施奈德　One Business02、USB隨身碟JF790K 32GB黑、日本斑馬 2JJ15-V"/>
    <s v="小堀和彥"/>
  </r>
  <r>
    <x v="1"/>
    <s v="1150409"/>
    <s v="T201165"/>
    <s v="510301-3201辦公（事務）用品"/>
    <x v="10"/>
    <n v="224"/>
    <s v="教學資料儲存用USB隨身碟跟學生作文批改用※品名:施奈德　One Business02、USB隨身碟JF790K 32GB黑、日本斑馬 2JJ15-V"/>
    <s v="小堀和彥"/>
  </r>
  <r>
    <x v="1"/>
    <s v="1150409"/>
    <s v="T201165"/>
    <s v="510301-3102物料"/>
    <x v="7"/>
    <n v="8755"/>
    <s v="受款人：源斌行邱垂達，特殊銲接實習課程材料費※品名:棉紗手套、活性碳口罩50P、電焊條E-4313 3.2mm、鋼板150mm*65mm*9mm"/>
    <s v="造船及海洋工程系"/>
  </r>
  <r>
    <x v="1"/>
    <s v="1150409"/>
    <s v="T201165"/>
    <s v="510301-3204化學藥劑與實驗用品"/>
    <x v="32"/>
    <n v="10000"/>
    <s v="實驗用耗材※品名:ant-TGF beta antibody {TB21}抗體"/>
    <s v="SHARMA VISHAL"/>
  </r>
  <r>
    <x v="1"/>
    <s v="1150409"/>
    <s v="T201166"/>
    <s v="510301-239801其他旅運費"/>
    <x v="13"/>
    <n v="1120"/>
    <s v="執行躍升計畫交通費115.3.25鄧學凱"/>
    <s v="游雅萍"/>
  </r>
  <r>
    <x v="1"/>
    <s v="1150409"/>
    <s v="T201166"/>
    <s v="510301-2401印刷及裝訂費"/>
    <x v="13"/>
    <n v="8547"/>
    <s v="金融系影印紙※品名:影印紙"/>
    <s v="游雅萍"/>
  </r>
  <r>
    <x v="1"/>
    <s v="1150409"/>
    <s v="T201166"/>
    <s v="510301-3204化學藥劑與實驗用品"/>
    <x v="34"/>
    <n v="9135"/>
    <s v="實驗室藥品 品名:2,3'-bithiophene※品名:2,3'-bithiophene 2g"/>
    <s v="郭仲文"/>
  </r>
  <r>
    <x v="1"/>
    <s v="1150409"/>
    <s v="T201166"/>
    <s v="510301-3204化學藥劑與實驗用品"/>
    <x v="34"/>
    <n v="900"/>
    <s v="實驗用品 品名:布式漏斗※品名:布式漏斗"/>
    <s v="郭仲文"/>
  </r>
  <r>
    <x v="1"/>
    <s v="1150409"/>
    <s v="T201166"/>
    <s v="510301-3201辦公（事務）用品"/>
    <x v="30"/>
    <n v="7251"/>
    <s v="教學/研究所需※品名:行動電源、傳輸線、Wi-Fi監視器"/>
    <s v="連志原"/>
  </r>
  <r>
    <x v="1"/>
    <s v="1150409"/>
    <s v="T201166"/>
    <s v="510301-3201辦公（事務）用品"/>
    <x v="22"/>
    <n v="955"/>
    <s v="專題實驗室用器材※品名:喇叭房門鎖、水平通道鎖"/>
    <s v="半導體工程系"/>
  </r>
  <r>
    <x v="1"/>
    <s v="1150409"/>
    <s v="T201166"/>
    <s v="510301-3102物料"/>
    <x v="22"/>
    <n v="724"/>
    <s v="製作專題實驗用耗材※品名:轉運電容、無熔絲開關等、PE滴管、彩色膠帶、絕緣膠帶等、儀器使用費(中山大學)、實驗室使用費-材料分析(中山大學材光系)"/>
    <s v="半導體工程系"/>
  </r>
  <r>
    <x v="1"/>
    <s v="1150409"/>
    <s v="T201166"/>
    <s v="510301-2898其他"/>
    <x v="22"/>
    <n v="1200"/>
    <s v="製作專題實驗用耗材※品名:轉運電容、無熔絲開關等、PE滴管、彩色膠帶、絕緣膠帶等、儀器使用費(中山大學)、實驗室使用費-材料分析(中山大學材光系)"/>
    <s v="半導體工程系"/>
  </r>
  <r>
    <x v="1"/>
    <s v="1150409"/>
    <s v="T201166"/>
    <s v="510301-3204化學藥劑與實驗用品"/>
    <x v="22"/>
    <n v="1470"/>
    <s v="製作專題實驗用耗材※品名:耐高溫鋁箔"/>
    <s v="半導體工程系"/>
  </r>
  <r>
    <x v="1"/>
    <s v="1150409"/>
    <s v="T201166"/>
    <s v="510301-3204化學藥劑與實驗用品"/>
    <x v="22"/>
    <n v="6000"/>
    <s v="製作專題實驗用耗材※品名:感測器、電路板、線材"/>
    <s v="半導體工程系"/>
  </r>
  <r>
    <x v="1"/>
    <s v="1150409"/>
    <s v="T300467"/>
    <s v="510301-271315工讀金"/>
    <x v="18"/>
    <n v="21904"/>
    <s v="115年3月工讀金-楊閔棻"/>
    <s v="財務管理系"/>
  </r>
  <r>
    <x v="1"/>
    <s v="1150409"/>
    <s v="T300468"/>
    <s v="510301-271315工讀金"/>
    <x v="18"/>
    <n v="12271"/>
    <s v="115年3月工讀金-陳珮珊"/>
    <s v="財務管理系"/>
  </r>
  <r>
    <x v="1"/>
    <s v="1150409"/>
    <s v="T300478"/>
    <s v="510301-280501講課鐘點、稿費、出席審查及查詢費"/>
    <x v="7"/>
    <n v="4084"/>
    <s v="115年3月10日專題演講林永富博士鐘點費"/>
    <s v="造船及海洋工程系"/>
  </r>
  <r>
    <x v="1"/>
    <s v="1150409"/>
    <s v="T300478"/>
    <s v="510301-239801其他旅運費"/>
    <x v="5"/>
    <n v="1530"/>
    <s v="航技系115年3月24日邀請許國慶先生蒞校講座(精進航安)"/>
    <s v="航運技術系"/>
  </r>
  <r>
    <x v="1"/>
    <s v="1150409"/>
    <s v="T300478"/>
    <s v="510301-280501講課鐘點、稿費、出席審查及查詢費"/>
    <x v="5"/>
    <n v="2000"/>
    <s v="航技系115年3月24日邀請許國慶先生蒞校講座(精進航安)"/>
    <s v="航運技術系"/>
  </r>
  <r>
    <x v="1"/>
    <s v="1150409"/>
    <s v="T300478"/>
    <s v="510301-280501講課鐘點、稿費、出席審查及查詢費"/>
    <x v="14"/>
    <n v="4084"/>
    <s v="1150318專題講座-高齡化社會與K型經濟下的日本企業策略(王雍智)"/>
    <s v="航運管理系[楠梓|旗津"/>
  </r>
  <r>
    <x v="1"/>
    <s v="1150409"/>
    <s v="T300478"/>
    <s v="510301-280501講課鐘點、稿費、出席審查及查詢費"/>
    <x v="31"/>
    <n v="4000"/>
    <s v="1150318邀請eamT5 杜浦數位安全股份有限公司埕善工程師蒞系專題演講費"/>
    <s v="電腦與通訊工程系[第"/>
  </r>
  <r>
    <x v="1"/>
    <s v="1150409"/>
    <s v="T300478"/>
    <s v="510301-280501講課鐘點、稿費、出席審查及查詢費"/>
    <x v="0"/>
    <n v="6127"/>
    <s v="115.3.20黃宥輔專題講座鐘點費"/>
    <s v="金融資訊系"/>
  </r>
  <r>
    <x v="1"/>
    <s v="1150409"/>
    <s v="T300478"/>
    <s v="510301-280501講課鐘點、稿費、出席審查及查詢費"/>
    <x v="20"/>
    <n v="4084"/>
    <s v="漁管系114－2系週會專題演講講座劉迎豐鐘點費(講題：長榮海運公司海勤與陸勤工作經驗分享，時間：13:30~15:30)"/>
    <s v="漁業科技與管理系"/>
  </r>
  <r>
    <x v="1"/>
    <s v="1150410"/>
    <s v="T201181"/>
    <s v="510301-2401印刷及裝訂費"/>
    <x v="0"/>
    <n v="9000"/>
    <s v="研習/講座等講義印刷費※品名:印刷費"/>
    <s v="金融資訊系"/>
  </r>
  <r>
    <x v="1"/>
    <s v="1150410"/>
    <s v="T201181"/>
    <s v="510301-3204化學藥劑與實驗用品"/>
    <x v="34"/>
    <n v="1932"/>
    <s v="實驗用※品名:儲水桶、硅膠管、殺蟑藥、紙碗、紙杯"/>
    <s v="張健桂"/>
  </r>
  <r>
    <x v="1"/>
    <s v="1150410"/>
    <s v="T201183"/>
    <s v="510301-3204化學藥劑與實驗用品"/>
    <x v="30"/>
    <n v="4830"/>
    <s v="計畫教學用感測器※品名:創客感測器"/>
    <s v="洪盟峰"/>
  </r>
  <r>
    <x v="1"/>
    <s v="1150410"/>
    <s v="T201183"/>
    <s v="510301-2401印刷及裝訂費"/>
    <x v="30"/>
    <n v="852"/>
    <s v="計畫教學用文件印刷費※品名:印刷費"/>
    <s v="洪盟峰"/>
  </r>
  <r>
    <x v="1"/>
    <s v="1150410"/>
    <s v="T201183"/>
    <s v="510301-3201辦公（事務）用品"/>
    <x v="30"/>
    <n v="61"/>
    <s v="計畫教學用文具用品※品名:原子筆"/>
    <s v="洪盟峰"/>
  </r>
  <r>
    <x v="1"/>
    <s v="1150410"/>
    <s v="T201183"/>
    <s v="510301-3102物料"/>
    <x v="7"/>
    <n v="1975"/>
    <s v="受款人：王治平，工程基礎實驗(二)課程材料費 (實支1975)※品名:水電材料開關、3P過載1開2插3芯附接地軟線TC-35、開關(含稅金)"/>
    <s v="造船及海洋工程系"/>
  </r>
  <r>
    <x v="1"/>
    <s v="1150410"/>
    <s v="T201183"/>
    <s v="510301-2401印刷及裝訂費"/>
    <x v="28"/>
    <n v="336"/>
    <s v="114學年第2學期專題競賽評審委員邀請函※品名:影印"/>
    <s v="電訊工程系"/>
  </r>
  <r>
    <x v="1"/>
    <s v="1150410"/>
    <s v="T201184"/>
    <s v="510301-239801其他旅運費"/>
    <x v="13"/>
    <n v="280"/>
    <s v="執行躍升計畫交通費115.3.25郭威佑(變更存摺)"/>
    <s v="游雅萍"/>
  </r>
  <r>
    <x v="1"/>
    <s v="1150413"/>
    <s v="T201201"/>
    <s v="510301-3201辦公（事務）用品"/>
    <x v="25"/>
    <n v="14562"/>
    <s v="執行計畫用充電器/隨身碟(林燦煌老師)※品名:充電器/隨身碟"/>
    <s v="運籌管理系[第一]"/>
  </r>
  <r>
    <x v="1"/>
    <s v="1150413"/>
    <s v="T201205"/>
    <s v="510301-3204化學藥劑與實驗用品"/>
    <x v="32"/>
    <n v="20000"/>
    <s v="115年3月份林家民老師實驗耗材※品名:過濾頭0.45um25mm(雙層膜)、TIP白1250ul 1000支/包、TIP白200ul 1000支/包、玻璃閃爍計數瓶20ml、精密擦拭紙 9133 280張/盒 LICK、茶色廣口血清瓶2000ml Schott、應稅"/>
    <s v="林家民"/>
  </r>
  <r>
    <x v="1"/>
    <s v="1150413"/>
    <s v="T201206"/>
    <s v="510301-720601獎助學員生給與"/>
    <x v="15"/>
    <n v="3905"/>
    <s v="旗津校區/海資系/115年3月7日，張修溥、艾哲偉及楊皓翔同學，赴國立勤益科技大學，參加TIRC台灣智慧型機器人大賽"/>
    <s v="海事資訊科技系"/>
  </r>
  <r>
    <x v="1"/>
    <s v="1150413"/>
    <s v="T201206"/>
    <s v="510301-2301國內旅費"/>
    <x v="34"/>
    <n v="1248"/>
    <s v="差旅費:簡秀紋老師 事由：3/6-3/8參加化學年會in 中興大學"/>
    <s v="簡秀紋"/>
  </r>
  <r>
    <x v="1"/>
    <s v="1150413"/>
    <s v="T201207"/>
    <s v="510301-3201辦公（事務）用品"/>
    <x v="35"/>
    <n v="2850"/>
    <s v="10m HDMI線 無線鍵盤組※品名:10m HDMI線、無線鍵盤組"/>
    <s v="鄭振宗"/>
  </r>
  <r>
    <x v="1"/>
    <s v="1150413"/>
    <s v="T201207"/>
    <s v="510301-3204化學藥劑與實驗用品"/>
    <x v="34"/>
    <n v="5800"/>
    <s v="實驗用※品名:注射玻璃導管"/>
    <s v="張健桂"/>
  </r>
  <r>
    <x v="1"/>
    <s v="1150413"/>
    <s v="T201207"/>
    <s v="510301-2401印刷及裝訂費"/>
    <x v="5"/>
    <n v="5000"/>
    <s v="航技系2026航海實務論壇用※品名:海報"/>
    <s v="航運技術系"/>
  </r>
  <r>
    <x v="1"/>
    <s v="1150413"/>
    <s v="T300485"/>
    <s v="510301-280501講課鐘點、稿費、出席審查及查詢費"/>
    <x v="5"/>
    <n v="2000"/>
    <s v="航技系115年3月16日邀請中鋼運通曾令榜協理蒞校講座(船舶保養與檢驗)"/>
    <s v="航運技術系"/>
  </r>
  <r>
    <x v="1"/>
    <s v="1150413"/>
    <s v="T300485"/>
    <s v="510301-280501講課鐘點、稿費、出席審查及查詢費"/>
    <x v="13"/>
    <n v="4084"/>
    <s v="執行躍升計畫鐘點費115.3.25郭威佑(變更存摺)"/>
    <s v="游雅萍"/>
  </r>
  <r>
    <x v="1"/>
    <s v="1150413"/>
    <s v="T300485"/>
    <s v="510301-280501講課鐘點、稿費、出席審查及查詢費"/>
    <x v="13"/>
    <n v="6127"/>
    <s v="執行躍升計畫鐘點費115.3.25鄧學凱"/>
    <s v="游雅萍"/>
  </r>
  <r>
    <x v="1"/>
    <s v="1150413"/>
    <s v="T300485"/>
    <s v="510301-280501講課鐘點、稿費、出席審查及查詢費"/>
    <x v="3"/>
    <n v="3063"/>
    <s v="工設系114-2學期專題演講講師鐘點費(115/3/25，13：30-15：30陳瑾蓉)"/>
    <s v="工業設計系"/>
  </r>
  <r>
    <x v="1"/>
    <s v="1150413"/>
    <s v="T300488"/>
    <s v="510301-271315工讀金"/>
    <x v="19"/>
    <n v="32228"/>
    <s v="(楠梓-躍升計畫-商資系)115年3月份工讀金(郭巧玲、錢家敏、吳宜秦)"/>
    <s v="商務資訊應用系"/>
  </r>
  <r>
    <x v="1"/>
    <s v="1150413"/>
    <s v="T300491"/>
    <s v="510301-271315工讀金"/>
    <x v="6"/>
    <n v="5385"/>
    <s v="114躍升計畫支應林依寧工讀金"/>
    <s v="外語學院應用英語系"/>
  </r>
  <r>
    <x v="1"/>
    <s v="1150413"/>
    <s v="T300492"/>
    <s v="510301-271315工讀金"/>
    <x v="6"/>
    <n v="7447"/>
    <s v="114躍升計畫支應湯欣諭工讀金"/>
    <s v="外語學院應用英語系"/>
  </r>
  <r>
    <x v="1"/>
    <s v="1150414"/>
    <s v="T201230"/>
    <s v="510301-2898其他"/>
    <x v="26"/>
    <n v="33012"/>
    <s v="輪機系_執行躍升計畫補助連長華發表國際SCI論文潤飾及刊登費用$33012元【總額為55020元因躍升計畫33012(60%)不足額度由連長華國科會計畫用支應)】※品名:國際SCI論文潤飾及刊登費"/>
    <s v="輪機工程系"/>
  </r>
  <r>
    <x v="1"/>
    <s v="1150414"/>
    <s v="T300499"/>
    <s v="510301-280501講課鐘點、稿費、出席審查及查詢費"/>
    <x v="13"/>
    <n v="6127"/>
    <s v="執行躍升計畫鐘點費115.3.18楊智明"/>
    <s v="游雅萍"/>
  </r>
  <r>
    <x v="0"/>
    <s v="1150414"/>
    <s v="已審"/>
    <s v=""/>
    <x v="36"/>
    <n v="11296"/>
    <s v="115/05月臨時工工資:彭煒棠、劉正偉、胡家豪、劉柏廷"/>
    <s v="陳銘志"/>
  </r>
  <r>
    <x v="1"/>
    <s v="1150415"/>
    <s v="T201244"/>
    <s v="510301-720601獎助學員生給與"/>
    <x v="15"/>
    <n v="374"/>
    <s v="旗津校區/海資系/115年3月13日，柯智煒、惟智同學，赴南臺科技大學，參加第二十一屆數位訊號處理創思設計競賽"/>
    <s v="海事資訊科技系"/>
  </r>
  <r>
    <x v="1"/>
    <s v="1150415"/>
    <s v="T201252"/>
    <s v="510301-3201辦公（事務）用品"/>
    <x v="27"/>
    <n v="2550"/>
    <s v="系上執行躍升計畫列印海報之海報紙※品名:捲筒海報紙"/>
    <s v="企管系"/>
  </r>
  <r>
    <x v="1"/>
    <s v="1150415"/>
    <s v="T201252"/>
    <s v="510301-4202宿舍租金"/>
    <x v="10"/>
    <n v="5800"/>
    <s v="應日系短期集中授課內田亨教師之住宿費。住宿時間:115/3/21至3/29，計9日，其中3日為私人行程(1200*3)，系所實際支應3/22至3/27，計6日，實支5800元。(9400-3600)※品名:住宿費"/>
    <s v="外語學院應用日語系"/>
  </r>
  <r>
    <x v="1"/>
    <s v="1150415"/>
    <s v="T201253"/>
    <s v="510301-239801其他旅運費"/>
    <x v="13"/>
    <n v="3060"/>
    <s v="執行躍升計畫交通費115.3.26林智勇"/>
    <s v="游雅萍"/>
  </r>
  <r>
    <x v="1"/>
    <s v="1150415"/>
    <s v="T201253"/>
    <s v="510301-239801其他旅運費"/>
    <x v="14"/>
    <n v="2980"/>
    <s v="1150330專題講座-散雜貨運輸實務操作-洪瑞君交通費"/>
    <s v="航運管理系[楠梓|旗津"/>
  </r>
  <r>
    <x v="0"/>
    <s v="1150416"/>
    <s v="未審"/>
    <s v=""/>
    <x v="22"/>
    <n v="5999"/>
    <s v="製作專題實驗用器材※品名:電腦螢幕"/>
    <s v="半導體工程系"/>
  </r>
  <r>
    <x v="1"/>
    <s v="1150420"/>
    <s v="T201278"/>
    <s v="510301-2201郵費"/>
    <x v="37"/>
    <n v="36"/>
    <s v="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
    <s v="許哲榮"/>
  </r>
  <r>
    <x v="1"/>
    <s v="1150420"/>
    <s v="T201278"/>
    <s v="510301-3204化學藥劑與實驗用品"/>
    <x v="37"/>
    <n v="14475"/>
    <s v="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
    <s v="許哲榮"/>
  </r>
  <r>
    <x v="1"/>
    <s v="1150420"/>
    <s v="T201278"/>
    <s v="510301-2401印刷及裝訂費"/>
    <x v="37"/>
    <n v="140"/>
    <s v="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
    <s v="許哲榮"/>
  </r>
  <r>
    <x v="1"/>
    <s v="1150420"/>
    <s v="T201278"/>
    <s v="510301-2807委託檢驗（定）試驗認證費"/>
    <x v="37"/>
    <n v="15140"/>
    <s v="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
    <s v="許哲榮"/>
  </r>
  <r>
    <x v="1"/>
    <s v="1150420"/>
    <s v="T201279"/>
    <s v="510301-2898其他"/>
    <x v="33"/>
    <n v="4919"/>
    <s v="工管系-黃瑞展老師Precise E-commerce Information Push Model Based on User Feature and Improved Stacking期刊論文投稿費及國外交易手續費(與D115002545分攤)※品名:期刊論文投稿費、國外交易手續費"/>
    <s v="黃瑞展"/>
  </r>
  <r>
    <x v="0"/>
    <s v="1150420"/>
    <s v="已審"/>
    <s v=""/>
    <x v="22"/>
    <n v="3936"/>
    <s v="製作專題實驗用耗材※品名:高精度移液槍、通用移液器吸頭...等"/>
    <s v="半導體工程系"/>
  </r>
  <r>
    <x v="0"/>
    <s v="1150420"/>
    <s v="已審"/>
    <s v=""/>
    <x v="22"/>
    <n v="5040"/>
    <s v="製作專題實驗用耗材※品名:瓷舟、薄膜聚氨酯板、二苯二硫醚...等"/>
    <s v="半導體工程系"/>
  </r>
  <r>
    <x v="0"/>
    <s v="1150420"/>
    <s v="未審"/>
    <s v=""/>
    <x v="2"/>
    <n v="2964"/>
    <s v="文具-支援研究資料整理提升研究效能※品名:文具(收納盒)"/>
    <s v="林聯發"/>
  </r>
  <r>
    <x v="0"/>
    <s v="1150420"/>
    <s v="未審"/>
    <s v=""/>
    <x v="2"/>
    <n v="524"/>
    <s v="文具-支援研究資料整理提升研究效能※品名:文具(收納盒)、文具(電池)"/>
    <s v="林聯發"/>
  </r>
  <r>
    <x v="1"/>
    <s v="1150421"/>
    <s v="T201292"/>
    <s v="510301-3204化學藥劑與實驗用品"/>
    <x v="9"/>
    <n v="85900"/>
    <s v="課程使用※品名:鋼纖維、運費"/>
    <s v="土木系"/>
  </r>
  <r>
    <x v="1"/>
    <s v="1150421"/>
    <s v="T300513"/>
    <s v="510301-271315工讀金"/>
    <x v="2"/>
    <n v="3181"/>
    <s v="協助系辦公室事務工作"/>
    <s v="張雲龍"/>
  </r>
  <r>
    <x v="1"/>
    <s v="1150421"/>
    <s v="T300521"/>
    <s v="510301-271315工讀金"/>
    <x v="10"/>
    <n v="4126"/>
    <s v="【躍升】應日系躍升3月工讀金1名_外籍人士（關口和樹）"/>
    <s v="外語學院應用日語系"/>
  </r>
  <r>
    <x v="1"/>
    <s v="1150421"/>
    <s v="T300522"/>
    <s v="510301-271315工讀金"/>
    <x v="10"/>
    <n v="16976"/>
    <s v="【躍升】應日系躍升3月工讀金2名（李禮吟、犬山宏之）"/>
    <s v="外語學院應用日語系"/>
  </r>
  <r>
    <x v="1"/>
    <s v="1150421"/>
    <s v="T300523"/>
    <s v="510301-271315工讀金"/>
    <x v="6"/>
    <n v="5385"/>
    <s v="114躍升計畫支應溫苓蓁工讀金"/>
    <s v="外語學院應用英語系"/>
  </r>
  <r>
    <x v="1"/>
    <s v="1150421"/>
    <s v="T300524"/>
    <s v="510301-271315工讀金"/>
    <x v="6"/>
    <n v="3729"/>
    <s v="114躍升計畫支應許庭瑄工讀金"/>
    <s v="外語學院應用英語系"/>
  </r>
  <r>
    <x v="1"/>
    <s v="1150421"/>
    <s v="T300525"/>
    <s v="510301-271315工讀金"/>
    <x v="6"/>
    <n v="4130"/>
    <s v="114躍升計畫支應黃正彥工讀金"/>
    <s v="外語學院應用英語系"/>
  </r>
  <r>
    <x v="1"/>
    <s v="1150421"/>
    <s v="T300526"/>
    <s v="510301-271315工讀金"/>
    <x v="6"/>
    <n v="10033"/>
    <s v="114躍升計畫支應陳學瑤工讀金"/>
    <s v="外語學院應用英語系"/>
  </r>
  <r>
    <x v="1"/>
    <s v="1150421"/>
    <s v="T300527"/>
    <s v="510301-271315工讀金"/>
    <x v="11"/>
    <n v="22235"/>
    <s v="報支劉子琳3月份工讀金"/>
    <s v="人資系"/>
  </r>
  <r>
    <x v="1"/>
    <s v="1150421"/>
    <s v="T300528"/>
    <s v="510301-271315工讀金"/>
    <x v="16"/>
    <n v="28416"/>
    <s v="智商系建工系辦115年3月協助交辦_x000a_工作辦理臨時人力工讀費核支(邱鈺荏,方以_x000a_撒等2人)"/>
    <s v="智慧商務系"/>
  </r>
  <r>
    <x v="1"/>
    <s v="1150421"/>
    <s v="T300529"/>
    <s v="510301-271315工讀金"/>
    <x v="16"/>
    <n v="59519"/>
    <s v="115年03月智慧商務系胡祐誠等10人燕巢校區工讀生薪資"/>
    <s v="智慧商務系"/>
  </r>
  <r>
    <x v="0"/>
    <s v="1150421"/>
    <s v="未審"/>
    <s v=""/>
    <x v="9"/>
    <n v="20000"/>
    <s v="蘇柏全等人參加國際研討會補助※品名:國際研討會"/>
    <s v="土木系"/>
  </r>
  <r>
    <x v="0"/>
    <s v="1150421"/>
    <s v="未審"/>
    <s v=""/>
    <x v="10"/>
    <n v="3000"/>
    <s v="參加國立臺灣大學舉辦「日語翻譯國際研討會」"/>
    <s v="黃愛玲"/>
  </r>
  <r>
    <x v="1"/>
    <s v="1150422"/>
    <s v="T201326"/>
    <s v="510301-720601獎助學員生給與"/>
    <x v="20"/>
    <n v="760"/>
    <s v="胡暄昀115年3月07日至台北參加2026台灣珊瑚礁學會&amp;水中攝影協會會員大會與環境講座"/>
    <s v="漁業科技與管理系"/>
  </r>
  <r>
    <x v="0"/>
    <s v="1150422"/>
    <s v="未審"/>
    <s v=""/>
    <x v="2"/>
    <n v="16010"/>
    <s v="支付碩士班學生協助撰寫程式與分析資料之工讀費用。115年5月。"/>
    <s v="鐘文鈺"/>
  </r>
  <r>
    <x v="0"/>
    <s v="1150422"/>
    <s v="未審"/>
    <s v=""/>
    <x v="2"/>
    <n v="16010"/>
    <s v="支付碩士班學生協助撰寫程式與分析資料之工讀費用。115年6月。"/>
    <s v="鐘文鈺"/>
  </r>
  <r>
    <x v="0"/>
    <s v="1150422"/>
    <s v="未審"/>
    <s v=""/>
    <x v="10"/>
    <n v="4000"/>
    <s v="邀請中山大學物理研究所張鼎張教授前來科技日語與口譯課程講授半導體概論之鐘點費"/>
    <s v="長安靜美"/>
  </r>
  <r>
    <x v="1"/>
    <s v="1150423"/>
    <s v="T201332"/>
    <s v="510301-3102物料"/>
    <x v="3"/>
    <n v="3500"/>
    <s v="工設系補助課程所需材料費(張祥唐)※品名:材料費"/>
    <s v="工業設計系"/>
  </r>
  <r>
    <x v="1"/>
    <s v="1150423"/>
    <s v="T201332"/>
    <s v="510301-3201辦公（事務）用品"/>
    <x v="6"/>
    <n v="349"/>
    <s v="114躍升計畫支應白堂隆老師購買教學研究所需收納箱※品名:收納箱"/>
    <s v="外語學院應用英語系"/>
  </r>
  <r>
    <x v="1"/>
    <s v="1150423"/>
    <s v="T201332"/>
    <s v="510301-2810電腦軟體服務費"/>
    <x v="6"/>
    <n v="3335"/>
    <s v="114躍升計畫(資料蒐集費)支應丘羽先老師訂閱CLAUDE AI(一個月)及SPSS(一個月)，因應教學研究需求※品名:CLAUDE AI、IBM SPSS"/>
    <s v="外語學院應用英語系"/>
  </r>
  <r>
    <x v="1"/>
    <s v="1150423"/>
    <s v="T201332"/>
    <s v="510301-3201辦公（事務）用品"/>
    <x v="6"/>
    <n v="3250"/>
    <s v="114躍升計畫支應白堂隆老師購買教學研究所需文具用品及滑鼠※品名:文具用品及滑鼠"/>
    <s v="外語學院應用英語系"/>
  </r>
  <r>
    <x v="1"/>
    <s v="1150423"/>
    <s v="T201332"/>
    <s v="510301-3201辦公（事務）用品"/>
    <x v="6"/>
    <n v="3600"/>
    <s v="114躍升計畫支應白堂隆老師購買印表機補充墨水※品名:四色墨水組"/>
    <s v="外語學院應用英語系"/>
  </r>
  <r>
    <x v="1"/>
    <s v="1150423"/>
    <s v="T201332"/>
    <s v="510301-3201辦公（事務）用品"/>
    <x v="6"/>
    <n v="2950"/>
    <s v="114躍升計畫支應吳怡萍老師汰換電腦螢幕，因應教學研究需求※品名:電腦螢幕"/>
    <s v="外語學院應用英語系"/>
  </r>
  <r>
    <x v="1"/>
    <s v="1150423"/>
    <s v="T201332"/>
    <s v="510301-2201郵費"/>
    <x v="10"/>
    <n v="450"/>
    <s v="郵寄赴日本王子飯店申請簽證資料之郵資。_x000a_實習生:施亭妤、郭盈杏、林邑蓁、林佩璇※品名:郵資"/>
    <s v="陳佩君"/>
  </r>
  <r>
    <x v="1"/>
    <s v="1150423"/>
    <s v="T201332"/>
    <s v="510301-3102物料"/>
    <x v="32"/>
    <n v="10000"/>
    <s v="115年3月份林家民老師實驗耗材※品名:甲醇、手套NBR、離心管2ml"/>
    <s v="林家民"/>
  </r>
  <r>
    <x v="1"/>
    <s v="1150423"/>
    <s v="T201332"/>
    <s v="510301-3204化學藥劑與實驗用品"/>
    <x v="32"/>
    <n v="2000"/>
    <s v="實驗課用藥品(化學品單號S26030900002)※品名:石油醚"/>
    <s v="謝淑玲"/>
  </r>
  <r>
    <x v="1"/>
    <s v="1150423"/>
    <s v="T201332"/>
    <s v="510301-3102物料"/>
    <x v="32"/>
    <n v="5720"/>
    <s v="計畫用-材料費※品名:芝麻醬、絞肉、麥片、調味醬、腸衣、器具"/>
    <s v="李憶甄"/>
  </r>
  <r>
    <x v="1"/>
    <s v="1150423"/>
    <s v="T201332"/>
    <s v="510301-3102物料"/>
    <x v="32"/>
    <n v="1524"/>
    <s v="計畫用-材料費※品名:絞肉"/>
    <s v="李憶甄"/>
  </r>
  <r>
    <x v="1"/>
    <s v="1150423"/>
    <s v="T201332"/>
    <s v="510301-3102物料"/>
    <x v="32"/>
    <n v="3316"/>
    <s v="計畫用-材料費※品名:酵母、芝士丁、特砂、薑黃粉、香芹粉、朝天椒粉、中筋麵粉、糯米粉、在來米粉、蔥頭酥、黑糖、荳蔻粉、鋁箔紙、沙拉油、醬油、碎菜脯"/>
    <s v="李憶甄"/>
  </r>
  <r>
    <x v="1"/>
    <s v="1150423"/>
    <s v="T201354"/>
    <s v="510301-2898其他"/>
    <x v="20"/>
    <n v="6000"/>
    <s v="115年度漁管系執行改質躍升改善空間之遮陽棚帆布、工資費※品名:如發票"/>
    <s v="漁業科技與管理系"/>
  </r>
  <r>
    <x v="1"/>
    <s v="1150423"/>
    <s v="T201372"/>
    <s v="510301-3204化學藥劑與實驗用品"/>
    <x v="32"/>
    <n v="16000"/>
    <s v="計畫用耗材※品名:2ml無菌細胞凍管、VivaSpin Turbo15蛋白質濃縮管、200ul 吸管尖"/>
    <s v="黃俊勇"/>
  </r>
  <r>
    <x v="1"/>
    <s v="1150423"/>
    <s v="T201390"/>
    <s v="510301-3102物料"/>
    <x v="7"/>
    <n v="58000"/>
    <s v="受款人：葳豐企業有限公司，銲接實習工廠新工作間所需之工具箱及相關工具配備，共20組※品名:萬能鉗11R(C型附檔片)、鐵鎚(2磅)、敲渣鎚(鐵製，尖頭及平頭)、鋼絲刷(彎型，塑膠柄)、直鋼尺(300mm白鐵)、尖嘴鉗6&quot;、火鉗10&quot;、鏨子、工具箱(鐵製，藍色)、AC 600A交流勾錶"/>
    <s v="造船及海洋工程系"/>
  </r>
  <r>
    <x v="1"/>
    <s v="1150423"/>
    <s v="T201396"/>
    <s v="510301-3204化學藥劑與實驗用品"/>
    <x v="32"/>
    <n v="11500"/>
    <s v="實驗用藥品※品名:牛血清蛋白"/>
    <s v="謝淑玲"/>
  </r>
  <r>
    <x v="1"/>
    <s v="1150423"/>
    <s v="T201397"/>
    <s v="510301-3204化學藥劑與實驗用品"/>
    <x v="32"/>
    <n v="10600"/>
    <s v="實驗用PVDF轉漬膜※品名:PVDF轉漬膜"/>
    <s v="謝淑玲"/>
  </r>
  <r>
    <x v="1"/>
    <s v="1150423"/>
    <s v="T201398"/>
    <s v="510301-3204化學藥劑與實驗用品"/>
    <x v="32"/>
    <n v="17500"/>
    <s v="實驗課用藥品試劑套組※品名:Glutathione Colorimetric Detection Kit檢驗試劑盒"/>
    <s v="謝淑玲"/>
  </r>
  <r>
    <x v="1"/>
    <s v="1150423"/>
    <s v="T201402"/>
    <s v="510301-3102物料"/>
    <x v="7"/>
    <n v="13930"/>
    <s v="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
    <s v="造船及海洋工程系"/>
  </r>
  <r>
    <x v="1"/>
    <s v="1150423"/>
    <s v="T201403"/>
    <s v="510301-3201辦公（事務）用品"/>
    <x v="37"/>
    <n v="19980"/>
    <s v="執行計畫-實驗資料儲存、成果發表練習使用(環境有機分析實驗室)※品名:行動SSD硬碟1TB、羅技專業無線簡報筆、羅技靜音無線鍵盤"/>
    <s v="海洋環境工程系"/>
  </r>
  <r>
    <x v="1"/>
    <s v="1150423"/>
    <s v="T201404"/>
    <s v="510301-3102物料"/>
    <x v="37"/>
    <n v="28300"/>
    <s v="執行計畫:維護大信樓5樓海洋共同實驗室之教學空間維修保養。(無財編)※品名:活性碳濾片、龍頭閥芯、塑膠落水頭"/>
    <s v="王琳麒"/>
  </r>
  <r>
    <x v="0"/>
    <s v="1150423"/>
    <s v="已審"/>
    <s v=""/>
    <x v="29"/>
    <n v="3019"/>
    <s v="學生陳苡瑄參加日本春季水產年會註冊費"/>
    <s v="海洋生物技術系"/>
  </r>
  <r>
    <x v="0"/>
    <s v="1150423"/>
    <s v="已審"/>
    <s v=""/>
    <x v="29"/>
    <n v="3016"/>
    <s v="學生蔡旻倫前往日本參加春季水產年會註冊費"/>
    <s v="海洋生物技術系"/>
  </r>
  <r>
    <x v="1"/>
    <s v="1150424"/>
    <s v="T201429"/>
    <s v="510301-4402車租"/>
    <x v="14"/>
    <n v="2400"/>
    <s v="1150325校外教學參訪車資及保險(連淑君)※品名:車資、保險費"/>
    <s v="航運管理系[楠梓|旗津"/>
  </r>
  <r>
    <x v="1"/>
    <s v="1150424"/>
    <s v="T201429"/>
    <s v="510301-2698其他保險費"/>
    <x v="14"/>
    <n v="1804"/>
    <s v="1150325校外教學參訪車資及保險(連淑君)※品名:車資、保險費"/>
    <s v="航運管理系[楠梓|旗津"/>
  </r>
  <r>
    <x v="1"/>
    <s v="1150424"/>
    <s v="T201429"/>
    <s v="510301-2808委託考選訓練費"/>
    <x v="1"/>
    <n v="2000"/>
    <s v="【躍升計畫】補助學生參加EST2026研討會發表論文註冊費(簡敬庭)-實支※品名:註冊費"/>
    <s v="資訊管理系[第一]"/>
  </r>
  <r>
    <x v="1"/>
    <s v="1150424"/>
    <s v="T201429"/>
    <s v="510301-2401印刷及裝訂費"/>
    <x v="11"/>
    <n v="2270"/>
    <s v="報支躍升計畫印刷費※品名:印刷費"/>
    <s v="人資系"/>
  </r>
  <r>
    <x v="1"/>
    <s v="1150424"/>
    <s v="T201429"/>
    <s v="510301-2810電腦軟體服務費"/>
    <x v="11"/>
    <n v="1262"/>
    <s v="報支黃佳純老師執行躍升計畫＿教學研究用1-2月ChatGpt使用費※品名:1月份ChatGpt、2月份ChatGpt"/>
    <s v="人資系"/>
  </r>
  <r>
    <x v="1"/>
    <s v="1150424"/>
    <s v="T201430"/>
    <s v="510301-720601獎助學員生給與"/>
    <x v="1"/>
    <n v="2660"/>
    <s v="【躍升計畫】補助學生參加EST2026研討會發表論文交通費(簡敬庭)-高鐵左營站-桃園站來回(非當日來回)"/>
    <s v="資訊管理系[第一]"/>
  </r>
  <r>
    <x v="1"/>
    <s v="1150424"/>
    <s v="T201430"/>
    <s v="510301-239801其他旅運費"/>
    <x v="7"/>
    <n v="180"/>
    <s v="115年3月31日專題演講陳世明研究員交通費"/>
    <s v="造船及海洋工程系"/>
  </r>
  <r>
    <x v="1"/>
    <s v="1150424"/>
    <s v="T201430"/>
    <s v="510301-239801其他旅運費"/>
    <x v="7"/>
    <n v="2980"/>
    <s v="115年3月17日專題演講黃友麟教授交通費"/>
    <s v="造船及海洋工程系"/>
  </r>
  <r>
    <x v="1"/>
    <s v="1150424"/>
    <s v="T201432"/>
    <s v="510301-3204化學藥劑與實驗用品"/>
    <x v="36"/>
    <n v="23000"/>
    <s v="執行躍升計畫研究實驗用零件※品名:溫度感測器等"/>
    <s v="電子工程系[第一]"/>
  </r>
  <r>
    <x v="1"/>
    <s v="1150424"/>
    <s v="T201433"/>
    <s v="510301-3204化學藥劑與實驗用品"/>
    <x v="34"/>
    <n v="994"/>
    <s v="實驗室用品※品名:手電筒、AB膠、接著劑、清潔刷"/>
    <s v="郭仲文"/>
  </r>
  <r>
    <x v="1"/>
    <s v="1150424"/>
    <s v="T201433"/>
    <s v="510301-3204化學藥劑與實驗用品"/>
    <x v="34"/>
    <n v="999"/>
    <s v="實驗室用品※品名:鋼刷電銅、計時器、便利貼、鋼絲鉗、磁鐵"/>
    <s v="郭仲文"/>
  </r>
  <r>
    <x v="1"/>
    <s v="1150424"/>
    <s v="T201433"/>
    <s v="510301-3204化學藥劑與實驗用品"/>
    <x v="34"/>
    <n v="545"/>
    <s v="實驗室用品※品名:複合板手、塑膠容器、六支起子"/>
    <s v="郭仲文"/>
  </r>
  <r>
    <x v="1"/>
    <s v="1150424"/>
    <s v="T201433"/>
    <s v="510301-3204化學藥劑與實驗用品"/>
    <x v="34"/>
    <n v="800"/>
    <s v="實驗室用品※品名:玻璃樣品瓶20ml"/>
    <s v="郭仲文"/>
  </r>
  <r>
    <x v="1"/>
    <s v="1150424"/>
    <s v="T201433"/>
    <s v="510301-3204化學藥劑與實驗用品"/>
    <x v="34"/>
    <n v="1800"/>
    <s v="實驗室用品※品名:布式漏斗"/>
    <s v="郭仲文"/>
  </r>
  <r>
    <x v="1"/>
    <s v="1150424"/>
    <s v="T201433"/>
    <s v="510301-3206食品"/>
    <x v="3"/>
    <n v="1200"/>
    <s v="工設系討論躍升計畫資本門使用分配所需餐費(1150414，中午1200-1330，共計10人次)※品名:餐費"/>
    <s v="工業設計系"/>
  </r>
  <r>
    <x v="1"/>
    <s v="1150424"/>
    <s v="T201433"/>
    <s v="510301-3298其他"/>
    <x v="5"/>
    <n v="3000"/>
    <s v="航技系2026航海實務論壇用※品名:紅布條"/>
    <s v="航運技術系"/>
  </r>
  <r>
    <x v="1"/>
    <s v="1150424"/>
    <s v="T201433"/>
    <s v="510301-3201辦公（事務）用品"/>
    <x v="15"/>
    <n v="5627"/>
    <s v="旗津校區/海資系/執行計畫用文具用品※品名:文具用品(詳如發票)"/>
    <s v="海事資訊科技系"/>
  </r>
  <r>
    <x v="1"/>
    <s v="1150424"/>
    <s v="T201433"/>
    <s v="510301-3201辦公（事務）用品"/>
    <x v="15"/>
    <n v="1682"/>
    <s v="旗津校區/海資系/執行計畫用電腦耗材※品名:POJUN PJ02粉白色 機械式鍵盤"/>
    <s v="海事資訊科技系"/>
  </r>
  <r>
    <x v="1"/>
    <s v="1150424"/>
    <s v="T201433"/>
    <s v="510301-2810電腦軟體服務費"/>
    <x v="4"/>
    <n v="1903"/>
    <s v="付觀光系-張雪楓老師配合躍升計畫AI教學工作坊所需之ChatGPT Plus Subscription費用。(核銷期間115年1月、2月、3月)。※品名:ChatGPT Plus Subscription"/>
    <s v="觀光系"/>
  </r>
  <r>
    <x v="1"/>
    <s v="1150424"/>
    <s v="T201433"/>
    <s v="510301-7102學術團體會費"/>
    <x v="4"/>
    <n v="1000"/>
    <s v="付觀光系－張雪楓老師執行躍升計畫所需之115年中華觀光管理學會會費。※品名:2026年常年會費"/>
    <s v="觀光系"/>
  </r>
  <r>
    <x v="1"/>
    <s v="1150424"/>
    <s v="T300562"/>
    <s v="510301-280501講課鐘點、稿費、出席審查及查詢費"/>
    <x v="14"/>
    <n v="4084"/>
    <s v="1150331航空實務專題演講-李承峻(許筑婷)"/>
    <s v="航運管理系[楠梓|旗津"/>
  </r>
  <r>
    <x v="1"/>
    <s v="1150424"/>
    <s v="T300562"/>
    <s v="510301-280501講課鐘點、稿費、出席審查及查詢費"/>
    <x v="14"/>
    <n v="4084"/>
    <s v="1150330專題講座-散雜貨運輸實務操作-洪瑞君演講費"/>
    <s v="航運管理系[楠梓|旗津"/>
  </r>
  <r>
    <x v="1"/>
    <s v="1150424"/>
    <s v="T300562"/>
    <s v="510301-280501講課鐘點、稿費、出席審查及查詢費"/>
    <x v="15"/>
    <n v="2042"/>
    <s v="旗津校區/海資系/邀請周佳毅協理演講費(銓日儀企業有限公司)(時間:115.04.08 15:30－17:20)(講題:海床淘刷現像及研討)"/>
    <s v="海事資訊科技系"/>
  </r>
  <r>
    <x v="1"/>
    <s v="1150424"/>
    <s v="T300562"/>
    <s v="510301-280501講課鐘點、稿費、出席審查及查詢費"/>
    <x v="15"/>
    <n v="2042"/>
    <s v="旗津校區/海資系/邀請周佳毅協理演講費(銓日儀企業有限公司)(時間:115.04.08 18:30－20:30)(講題:海床淘刷現像及研討)"/>
    <s v="海事資訊科技系"/>
  </r>
  <r>
    <x v="1"/>
    <s v="1150424"/>
    <s v="T300562"/>
    <s v="510301-280501講課鐘點、稿費、出席審查及查詢費"/>
    <x v="7"/>
    <n v="4084"/>
    <s v="115年3月24日專題演講吳書恆組長鐘點費"/>
    <s v="造船及海洋工程系"/>
  </r>
  <r>
    <x v="1"/>
    <s v="1150424"/>
    <s v="T300562"/>
    <s v="510301-280501講課鐘點、稿費、出席審查及查詢費"/>
    <x v="7"/>
    <n v="4084"/>
    <s v="115年3月17日專題演講黃友麟教授鐘點費"/>
    <s v="造船及海洋工程系"/>
  </r>
  <r>
    <x v="1"/>
    <s v="1150424"/>
    <s v="T300562"/>
    <s v="510301-280501講課鐘點、稿費、出席審查及查詢費"/>
    <x v="7"/>
    <n v="4084"/>
    <s v="115年3月31日專題演講陳世明研究員鐘點費"/>
    <s v="造船及海洋工程系"/>
  </r>
  <r>
    <x v="1"/>
    <s v="1150424"/>
    <s v="T300562"/>
    <s v="510301-280501講課鐘點、稿費、出席審查及查詢費"/>
    <x v="3"/>
    <n v="3063"/>
    <s v="工設系114-2學期專題演講講師鐘點費(115/4/1，13：30-15：30曾令理)"/>
    <s v="工業設計系"/>
  </r>
  <r>
    <x v="1"/>
    <s v="1150424"/>
    <s v="T300562"/>
    <s v="510301-280501講課鐘點、稿費、出席審查及查詢費"/>
    <x v="3"/>
    <n v="3063"/>
    <s v="工設系114-2學期專題演講講師鐘點費(115/4/8，13：30-15：30 林鉦翔"/>
    <s v="工業設計系"/>
  </r>
  <r>
    <x v="0"/>
    <s v="1150424"/>
    <s v="未審"/>
    <s v=""/>
    <x v="30"/>
    <n v="2980"/>
    <s v="實驗量測用不斷電系統UPS※品名:不斷電系統UPS"/>
    <s v="劉淑白"/>
  </r>
  <r>
    <x v="0"/>
    <s v="1150425"/>
    <s v="未審"/>
    <s v=""/>
    <x v="33"/>
    <n v="2120"/>
    <s v="購買錄製數位課程之多功能擴充埠※品名:Satechi 多功能擴充埠"/>
    <s v="鍾毓驥"/>
  </r>
  <r>
    <x v="1"/>
    <s v="1150427"/>
    <s v="T201460"/>
    <s v="510301-2401印刷及裝訂費"/>
    <x v="37"/>
    <n v="752"/>
    <s v="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
    <s v="許哲榮"/>
  </r>
  <r>
    <x v="1"/>
    <s v="1150427"/>
    <s v="T201460"/>
    <s v="510301-3204化學藥劑與實驗用品"/>
    <x v="37"/>
    <n v="67055"/>
    <s v="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
    <s v="許哲榮"/>
  </r>
  <r>
    <x v="1"/>
    <s v="1150427"/>
    <s v="T201460"/>
    <s v="510301-7102學術團體會費"/>
    <x v="37"/>
    <n v="6164"/>
    <s v="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
    <s v="許哲榮"/>
  </r>
  <r>
    <x v="1"/>
    <s v="1150427"/>
    <s v="T201460"/>
    <s v="510301-2706佣金、匯費、經理費及手續費"/>
    <x v="37"/>
    <n v="92"/>
    <s v="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
    <s v="許哲榮"/>
  </r>
  <r>
    <x v="0"/>
    <s v="1150427"/>
    <s v="未審"/>
    <s v=""/>
    <x v="20"/>
    <n v="1368"/>
    <s v="1150421楠梓校區實驗室廢棄物清運費用※品名:實驗室廢棄物清運費"/>
    <s v="楊子賢"/>
  </r>
  <r>
    <x v="0"/>
    <s v="1150428"/>
    <s v="已審"/>
    <s v=""/>
    <x v="27"/>
    <n v="5106"/>
    <s v="配合躍升計畫執行, 115.04.25，13點30分至16點00分，邀請福和生鮮農產(股)公司董事長室陳永賢總顧問蒞校專題演講，共2.5小時，每小時2,000元。"/>
    <s v="企管系"/>
  </r>
  <r>
    <x v="0"/>
    <s v="1150428"/>
    <s v="未審"/>
    <s v=""/>
    <x v="34"/>
    <n v="2684"/>
    <s v="儀器使用費&amp;實驗室用品※品名:外接式電子顯微鏡、6尺延長線、鍍金使用費-中山、共同儀器使用費-高醫、國光特優級機油(實驗用)"/>
    <s v="黃政偉"/>
  </r>
  <r>
    <x v="0"/>
    <s v="1150428"/>
    <s v="未審"/>
    <s v=""/>
    <x v="6"/>
    <n v="16958"/>
    <s v="114躍升計畫支應陳翊欣工讀金(115年5月)"/>
    <s v="外語學院應用英語系"/>
  </r>
  <r>
    <x v="0"/>
    <s v="1150428"/>
    <s v="未審"/>
    <s v=""/>
    <x v="6"/>
    <n v="11709"/>
    <s v="114躍升計畫支應莊雅雁工讀金(115年5月)"/>
    <s v="外語學院應用英語系"/>
  </r>
  <r>
    <x v="0"/>
    <s v="1150429"/>
    <s v="未審"/>
    <s v=""/>
    <x v="10"/>
    <n v="9500"/>
    <s v="114TSD00-15:系所躍升計畫二期第二年(115/1/1-115/10/31)經費: 文具用品※品名:文具用品"/>
    <s v="陳志坪"/>
  </r>
  <r>
    <x v="0"/>
    <s v="1150430"/>
    <s v="未審"/>
    <s v=""/>
    <x v="2"/>
    <n v="15751"/>
    <s v="參加第四十三屆組合數學與計算理論研討會。115年4月24日至4月25日。國立陽明交通大學新竹校區。"/>
    <s v="鐘文鈺"/>
  </r>
  <r>
    <x v="0"/>
    <s v="1150430"/>
    <s v="未審"/>
    <s v=""/>
    <x v="15"/>
    <n v="2042"/>
    <s v="旗津校區/海資系/邀請劉嘉惠副教授演講費(國立虎尾科技大學電子工程系)(時間:115.03.04 18:30－20:30)(講題:AI與後量子時代的挑戰)"/>
    <s v="海事資訊科技系"/>
  </r>
  <r>
    <x v="0"/>
    <s v="1150430"/>
    <s v="未審"/>
    <s v=""/>
    <x v="15"/>
    <n v="2042"/>
    <s v="旗津校區/海資系/邀請建翊教授演講費(國立彰化師範大學地理學系)(時間:115.04.29 18:30－20:30)(講題:暖化下的降水變化)"/>
    <s v="海事資訊科技系"/>
  </r>
  <r>
    <x v="1"/>
    <s v="1150501"/>
    <s v="T201477"/>
    <s v="510301-3201辦公（事務）用品"/>
    <x v="24"/>
    <n v="327420"/>
    <s v="財稅系教師教學實踐研究計畫並鼓勵學生取得專業證照輔導場域增設課桌椅※品名:學生可調升降課桌、新型學生可調昇降課椅、額外項"/>
    <s v="財政稅務系"/>
  </r>
  <r>
    <x v="1"/>
    <s v="1150501"/>
    <s v="T201489"/>
    <s v="510301-2301國內旅費"/>
    <x v="33"/>
    <n v="1980"/>
    <s v="差旅費:鍾毓驥老師 事由：【差假單編號:PE11501342】前往台中，收集研究用資料 (當日來回)"/>
    <s v="鍾毓驥"/>
  </r>
  <r>
    <x v="1"/>
    <s v="1150501"/>
    <s v="T201490"/>
    <s v="510301-3204化學藥劑與實驗用品"/>
    <x v="30"/>
    <n v="3315"/>
    <s v="電子材料費: 專題製作與材料課程實驗使用※品名:丙酮、乙二醇、無水酒精"/>
    <s v="劉志益"/>
  </r>
  <r>
    <x v="1"/>
    <s v="1150501"/>
    <s v="T201490"/>
    <s v="510301-3204化學藥劑與實驗用品"/>
    <x v="30"/>
    <n v="2600"/>
    <s v="電子材料費: 專題製作與材料課程實驗使用※品名:氫氟酸"/>
    <s v="劉志益"/>
  </r>
  <r>
    <x v="1"/>
    <s v="1150501"/>
    <s v="T201490"/>
    <s v="510301-3204化學藥劑與實驗用品"/>
    <x v="30"/>
    <n v="6299"/>
    <s v="實驗用高壓反應釜※品名:水熱高溫高壓反應器 反應釜"/>
    <s v="施惠鈞"/>
  </r>
  <r>
    <x v="1"/>
    <s v="1150501"/>
    <s v="T201490"/>
    <s v="510301-3204化學藥劑與實驗用品"/>
    <x v="30"/>
    <n v="210"/>
    <s v="實驗用※品名:PVA聚乙烯醇 BP-17 500g、運費"/>
    <s v="施惠鈞"/>
  </r>
  <r>
    <x v="1"/>
    <s v="1150501"/>
    <s v="T201490"/>
    <s v="510301-239801其他旅運費"/>
    <x v="13"/>
    <n v="2980"/>
    <s v="執行躍升計畫交通費115.4.8楊碩祐"/>
    <s v="游雅萍"/>
  </r>
  <r>
    <x v="1"/>
    <s v="1150501"/>
    <s v="T201490"/>
    <s v="510301-2808委託考選訓練費"/>
    <x v="20"/>
    <n v="600"/>
    <s v="115年3月7日2026台灣珊瑚礁學會&amp;水中攝影協會會員大會與環境講座之報名費(胡喧昀)※品名:報名費"/>
    <s v="漁業科技與管理系"/>
  </r>
  <r>
    <x v="1"/>
    <s v="1150501"/>
    <s v="T201508"/>
    <s v="510301-720601獎助學員生給與"/>
    <x v="14"/>
    <n v="15000"/>
    <s v="補助學生參與國際交流事務-學海展翅出國機票款(陳臆珊、陶姵希、童鈺婷)"/>
    <s v="航運管理系[楠梓|旗津"/>
  </r>
  <r>
    <x v="1"/>
    <s v="1150501"/>
    <s v="T300585"/>
    <s v="510301-280501講課鐘點、稿費、出席審查及查詢費"/>
    <x v="13"/>
    <n v="6127"/>
    <s v="執行躍升計畫鐘點費115.4.8楊碩祐"/>
    <s v="游雅萍"/>
  </r>
  <r>
    <x v="1"/>
    <s v="1150501"/>
    <s v="T300585"/>
    <s v="510301-280501講課鐘點、稿費、出席審查及查詢費"/>
    <x v="13"/>
    <n v="6127"/>
    <s v="執行躍升計畫鐘點費115.3.26林智勇"/>
    <s v="游雅萍"/>
  </r>
  <r>
    <x v="1"/>
    <s v="1150501"/>
    <s v="T300585"/>
    <s v="510301-280501講課鐘點、稿費、出席審查及查詢費"/>
    <x v="5"/>
    <n v="2000"/>
    <s v="航技系115年3月23號邀請中鋼運通黃芷君專案經理蒞校進行航運講座(講題內容:散裝商務操作分享)"/>
    <s v="航運技術系"/>
  </r>
  <r>
    <x v="1"/>
    <s v="1150501"/>
    <s v="T300585"/>
    <s v="510301-280501講課鐘點、稿費、出席審查及查詢費"/>
    <x v="27"/>
    <n v="5106"/>
    <s v="配合躍升計畫執行, 115.03.28，13點30分至16點00分，邀請立固不動產估價師事務所鄭清中所長蒞校專題演講，共2.5小時，每小時2,000元。"/>
    <s v="企管系"/>
  </r>
  <r>
    <x v="1"/>
    <s v="1150501"/>
    <s v="T300586"/>
    <s v="510301-271315工讀金"/>
    <x v="13"/>
    <n v="6231"/>
    <s v="執行躍升計畫工讀_陳沛芹3月"/>
    <s v="游雅萍"/>
  </r>
  <r>
    <x v="1"/>
    <s v="1150504"/>
    <s v="T201525"/>
    <s v="510301-3201辦公（事務）用品"/>
    <x v="21"/>
    <n v="7398"/>
    <s v="許軒老師 B511實驗室嗅覺設計之精油、香油※品名:精油"/>
    <s v="歐宗殷"/>
  </r>
  <r>
    <x v="1"/>
    <s v="1150504"/>
    <s v="T201525"/>
    <s v="510301-2810電腦軟體服務費"/>
    <x v="4"/>
    <n v="2024"/>
    <s v="付觀光系-林玠恒老師配合躍升計畫AI教學工作坊所需之ChatGPT Plus Subscription費用。(核銷期間115年1月、2月、3月)。※品名:ChatGPT Plus Subscription"/>
    <s v="觀光系"/>
  </r>
  <r>
    <x v="1"/>
    <s v="1150504"/>
    <s v="T201525"/>
    <s v="510301-2810電腦軟體服務費"/>
    <x v="4"/>
    <n v="2022"/>
    <s v="付觀光系-陳光華老師配合躍升計畫AI教學工作坊所需之ChatGPT Plus Subscription費用。(核銷期間115年1月、2月、3月)。※品名:ChatGPT Plus Subscription"/>
    <s v="觀光系"/>
  </r>
  <r>
    <x v="1"/>
    <s v="1150504"/>
    <s v="T201525"/>
    <s v="510301-2810電腦軟體服務費"/>
    <x v="30"/>
    <n v="1279"/>
    <s v="教學用硬碟分割管理軟體※品名:硬碟分割管理軟體、國外交易手續費"/>
    <s v="謝欽旭"/>
  </r>
  <r>
    <x v="1"/>
    <s v="1150504"/>
    <s v="T201534"/>
    <s v="510301-3204化學藥劑與實驗用品"/>
    <x v="9"/>
    <n v="3900"/>
    <s v="課程使用※品名:耐火泥"/>
    <s v="土木系"/>
  </r>
  <r>
    <x v="1"/>
    <s v="1150504"/>
    <s v="T201534"/>
    <s v="510301-3201辦公（事務）用品"/>
    <x v="9"/>
    <n v="400"/>
    <s v="教室使用※品名:影音切換器"/>
    <s v="土木系"/>
  </r>
  <r>
    <x v="1"/>
    <s v="1150504"/>
    <s v="T201534"/>
    <s v="510301-3202報章什誌"/>
    <x v="0"/>
    <n v="2985"/>
    <s v="本系擬透過躍升計畫建立AI教研實驗室，所購買書籍均與AI相關(雜支)※品名:書(詳發票明細)"/>
    <s v="金融資訊系"/>
  </r>
  <r>
    <x v="1"/>
    <s v="1150504"/>
    <s v="T201534"/>
    <s v="510301-3204化學藥劑與實驗用品"/>
    <x v="38"/>
    <n v="203"/>
    <s v="115年度模308材料實驗室核定之材料費※品名:EMO除濕王防潮石等四項"/>
    <s v="黃家瑞"/>
  </r>
  <r>
    <x v="1"/>
    <s v="1150504"/>
    <s v="T201534"/>
    <s v="510301-2810電腦軟體服務費"/>
    <x v="33"/>
    <n v="2648"/>
    <s v="Kahoot 服務租用費。Kahoot 是一個可用於課堂或演講限時問答的雲端平台，使用這個平台在課堂上設計即時問答的互動環境，提升同學的學習興趣。※品名:Kahoot 雲端平台服務租用費"/>
    <s v="鍾毓驥"/>
  </r>
  <r>
    <x v="1"/>
    <s v="1150504"/>
    <s v="T201534"/>
    <s v="510301-2810電腦軟體服務費"/>
    <x v="33"/>
    <n v="2965"/>
    <s v="GPT pro (2026/03/24-2026/04/24), _x000a_Gemini (2026/03/12-2026/04/12), _x000a_Colab (2026/03/21-2026/03/21) AI 服務訂閱費。使用雲端硬碟儲存研究用資料，AI 服務進行論文修改，模擬程式撰寫。※品名:ChatGPT 訂閱月費、Colab 租用費、Gemini 訂閱費"/>
    <s v="鍾毓驥"/>
  </r>
  <r>
    <x v="1"/>
    <s v="1150504"/>
    <s v="T201534"/>
    <s v="510301-2201郵費"/>
    <x v="33"/>
    <n v="212"/>
    <s v="郵寄產學合作資料費用※品名:郵寄費用"/>
    <s v="鍾毓驥"/>
  </r>
  <r>
    <x v="1"/>
    <s v="1150504"/>
    <s v="T201534"/>
    <s v="510301-3201辦公（事務）用品"/>
    <x v="33"/>
    <n v="1890"/>
    <s v="採購實驗室所需之平板支架※品名:平板支架"/>
    <s v="鍾毓驥"/>
  </r>
  <r>
    <x v="1"/>
    <s v="1150504"/>
    <s v="T201542"/>
    <s v="510301-2810電腦軟體服務費"/>
    <x v="0"/>
    <n v="639"/>
    <s v="購置AI軟體以利學習與研究_姜林杰祐※品名:ChatGPT訂閱(0318-0418)"/>
    <s v="金融資訊系"/>
  </r>
  <r>
    <x v="1"/>
    <s v="1150504"/>
    <s v="T201542"/>
    <s v="510301-3201辦公（事務）用品"/>
    <x v="0"/>
    <n v="598"/>
    <s v="建立AI教學與研究之輔助耗材_雜支※品名:藍牙鍵盤"/>
    <s v="金融資訊系"/>
  </r>
  <r>
    <x v="1"/>
    <s v="1150504"/>
    <s v="T201542"/>
    <s v="510301-3204化學藥劑與實驗用品"/>
    <x v="35"/>
    <n v="5870"/>
    <s v="研究實驗用之氧化鋅鍍膜材料與銅背板※品名:氧化鋅鍍膜材料、銅背板"/>
    <s v="陳道星"/>
  </r>
  <r>
    <x v="1"/>
    <s v="1150504"/>
    <s v="T201542"/>
    <s v="510301-2201郵費"/>
    <x v="35"/>
    <n v="60"/>
    <s v="計畫與教學實驗用之金剛石鋸片與郵資及五金和文具耗材※品名:金相燒結金剛石鋸片、郵資、文具耗材(詳如發票)、五金耗材(詳如發票)"/>
    <s v="陳道星"/>
  </r>
  <r>
    <x v="1"/>
    <s v="1150504"/>
    <s v="T201542"/>
    <s v="510301-3201辦公（事務）用品"/>
    <x v="35"/>
    <n v="81"/>
    <s v="計畫與教學實驗用之金剛石鋸片與郵資及五金和文具耗材※品名:金相燒結金剛石鋸片、郵資、文具耗材(詳如發票)、五金耗材(詳如發票)"/>
    <s v="陳道星"/>
  </r>
  <r>
    <x v="1"/>
    <s v="1150504"/>
    <s v="T201542"/>
    <s v="510301-3204化學藥劑與實驗用品"/>
    <x v="35"/>
    <n v="3374"/>
    <s v="計畫與教學實驗用之金剛石鋸片與郵資及五金和文具耗材※品名:金相燒結金剛石鋸片、郵資、文具耗材(詳如發票)、五金耗材(詳如發票)"/>
    <s v="陳道星"/>
  </r>
  <r>
    <x v="1"/>
    <s v="1150504"/>
    <s v="T201542"/>
    <s v="510301-2201郵費"/>
    <x v="35"/>
    <n v="64"/>
    <s v="計畫實驗用文具耗材與五金耗材及郵件傳遞之郵資※品名:文具耗材(詳如發票)、五金耗材(潤滑油)、五金耗材(鋁箔)、郵資"/>
    <s v="陳道星"/>
  </r>
  <r>
    <x v="1"/>
    <s v="1150504"/>
    <s v="T201542"/>
    <s v="510301-3201辦公（事務）用品"/>
    <x v="35"/>
    <n v="137"/>
    <s v="計畫實驗用文具耗材與五金耗材及郵件傳遞之郵資※品名:文具耗材(詳如發票)、五金耗材(潤滑油)、五金耗材(鋁箔)、郵資"/>
    <s v="陳道星"/>
  </r>
  <r>
    <x v="1"/>
    <s v="1150504"/>
    <s v="T201542"/>
    <s v="510301-3204化學藥劑與實驗用品"/>
    <x v="35"/>
    <n v="273"/>
    <s v="計畫實驗用文具耗材與五金耗材及郵件傳遞之郵資※品名:文具耗材(詳如發票)、五金耗材(潤滑油)、五金耗材(鋁箔)、郵資"/>
    <s v="陳道星"/>
  </r>
  <r>
    <x v="1"/>
    <s v="1150504"/>
    <s v="T201542"/>
    <s v="510301-2810電腦軟體服務費"/>
    <x v="4"/>
    <n v="1933"/>
    <s v="付觀光系-何秉燦老師配合躍升計畫AI教學工作坊所需之ChatGPT Plus Subscription費用。(核銷期間115年1月、2月、3月)。※品名:ChatGPT Plus Subscription"/>
    <s v="觀光系"/>
  </r>
  <r>
    <x v="1"/>
    <s v="1150504"/>
    <s v="T201542"/>
    <s v="510301-3201辦公（事務）用品"/>
    <x v="17"/>
    <n v="9830"/>
    <s v="執行教學與研究所購電腦周邊耗材一批※品名:耗材一批(行動SSD、簡報器、延長線)"/>
    <s v="陳育仁"/>
  </r>
  <r>
    <x v="1"/>
    <s v="1150504"/>
    <s v="T201542"/>
    <s v="510301-3201辦公（事務）用品"/>
    <x v="17"/>
    <n v="2150"/>
    <s v="114.2(燕巢會資系)-系辦代辦郝逸華老師-教學用※品名:碳粉匣"/>
    <s v="會計資訊系"/>
  </r>
  <r>
    <x v="1"/>
    <s v="1150504"/>
    <s v="T300591"/>
    <s v="510301-271303臨時工"/>
    <x v="16"/>
    <n v="22301"/>
    <s v="杜先蕙3月臨時工"/>
    <s v="李仕雄"/>
  </r>
  <r>
    <x v="1"/>
    <s v="1150504"/>
    <s v="T300592"/>
    <s v="510301-271315工讀金"/>
    <x v="20"/>
    <n v="10808"/>
    <s v="115年4月份臨時工資(陳櫛名)"/>
    <s v="漁業科技與管理系"/>
  </r>
  <r>
    <x v="1"/>
    <s v="1150504"/>
    <s v="T300595"/>
    <s v="510301-271315工讀金"/>
    <x v="21"/>
    <n v="6968"/>
    <s v="115年4月何銘儀工讀金"/>
    <s v="歐宗殷"/>
  </r>
  <r>
    <x v="1"/>
    <s v="1150504"/>
    <s v="T400489"/>
    <s v="510301-3201辦公（事務）用品"/>
    <x v="8"/>
    <n v="4170"/>
    <s v="躍升計畫-鼓勵教師申請計畫提升本系整體研究、產學量能_洪榮耀老師申請115學年度教學實踐計畫1件補助5000元。※品名:HP3003dw/3103fdn原廠黑色 碳粉匣"/>
    <s v="供應鏈管理系[楠梓|旗"/>
  </r>
  <r>
    <x v="1"/>
    <s v="1150505"/>
    <s v="T201551"/>
    <s v="510301-3201辦公（事務）用品"/>
    <x v="17"/>
    <n v="6186"/>
    <s v="114.2(燕巢會資系)-舉辦學術講座-文具一批※品名:文具"/>
    <s v="會計資訊系"/>
  </r>
  <r>
    <x v="1"/>
    <s v="1150505"/>
    <s v="T201551"/>
    <s v="510301-3201辦公（事務）用品"/>
    <x v="17"/>
    <n v="1991"/>
    <s v="114.2(燕巢會資系)-楊傑琪學生申請國科會大專學生研究計畫補助材料費※品名:文具"/>
    <s v="會計資訊系"/>
  </r>
  <r>
    <x v="1"/>
    <s v="1150505"/>
    <s v="T201551"/>
    <s v="510301-2201郵費"/>
    <x v="17"/>
    <n v="48"/>
    <s v="執行教學與研究所購郵資※品名:郵資"/>
    <s v="陳育仁"/>
  </r>
  <r>
    <x v="1"/>
    <s v="1150505"/>
    <s v="T201551"/>
    <s v="510301-3204化學藥劑與實驗用品"/>
    <x v="34"/>
    <n v="900"/>
    <s v="科研試劑※品名:液氮"/>
    <s v="倪偵翔"/>
  </r>
  <r>
    <x v="1"/>
    <s v="1150505"/>
    <s v="T201553"/>
    <s v="510301-2401印刷及裝訂費"/>
    <x v="3"/>
    <n v="36750"/>
    <s v="工設系補助學生參加競賽所需印刷費(大圖輸出、A0海報、小卡等)※品名:印刷費"/>
    <s v="工業設計系"/>
  </r>
  <r>
    <x v="1"/>
    <s v="1150505"/>
    <s v="T201555"/>
    <s v="510301-3204化學藥劑與實驗用品"/>
    <x v="38"/>
    <n v="11200"/>
    <s v="115年度模308材料實驗室材料費(教學使用)_※品名:低碳鋼、中碳鋼、白破布"/>
    <s v="黃家瑞"/>
  </r>
  <r>
    <x v="1"/>
    <s v="1150505"/>
    <s v="T201556"/>
    <s v="510301-3204化學藥劑與實驗用品"/>
    <x v="38"/>
    <n v="21830"/>
    <s v="115年度模308材料實驗室材料費(教學使用)※品名:不銹鋼杯附蓋、無塵擦拭紙、水砂紙#100、水砂紙#240、水砂紙#400、消毒液"/>
    <s v="黃家瑞"/>
  </r>
  <r>
    <x v="1"/>
    <s v="1150505"/>
    <s v="T201557"/>
    <s v="510301-280501講課鐘點、稿費、出席審查及查詢費"/>
    <x v="4"/>
    <n v="40000"/>
    <s v="付觀光系-何秉燦老師執行躍升計畫所需之期刊翻譯費。※品名:翻譯費"/>
    <s v="觀光系"/>
  </r>
  <r>
    <x v="1"/>
    <s v="1150505"/>
    <s v="T201565"/>
    <s v="510301-3102物料"/>
    <x v="9"/>
    <n v="25000"/>
    <s v="課程使用※品名:水泥、沙子"/>
    <s v="土木系"/>
  </r>
  <r>
    <x v="1"/>
    <s v="1150505"/>
    <s v="T201567"/>
    <s v="510301-3204化學藥劑與實驗用品"/>
    <x v="34"/>
    <n v="10300"/>
    <s v="科研藥品※品名:氯磺酸、丙酮、2-甲基啶"/>
    <s v="倪偵翔"/>
  </r>
  <r>
    <x v="1"/>
    <s v="1150505"/>
    <s v="T201628"/>
    <s v="510301-2401印刷及裝訂費"/>
    <x v="35"/>
    <n v="830"/>
    <s v="計畫用-影印費、ChatGPT Plus使用費(教師投稿就相關稿件加以撰擬、翻譯、編輯)、沖洗照片(實驗相關)、文具※品名:影印費、ChatGPT Plus使用費、沖洗照片、筆"/>
    <s v="黃靖謙"/>
  </r>
  <r>
    <x v="1"/>
    <s v="1150505"/>
    <s v="T201628"/>
    <s v="510301-3201辦公（事務）用品"/>
    <x v="35"/>
    <n v="285"/>
    <s v="計畫用-影印費、ChatGPT Plus使用費(教師投稿就相關稿件加以撰擬、翻譯、編輯)、沖洗照片(實驗相關)、文具※品名:影印費、ChatGPT Plus使用費、沖洗照片、筆"/>
    <s v="黃靖謙"/>
  </r>
  <r>
    <x v="1"/>
    <s v="1150505"/>
    <s v="T201628"/>
    <s v="510301-2810電腦軟體服務費"/>
    <x v="35"/>
    <n v="636"/>
    <s v="計畫用-影印費、ChatGPT Plus使用費(教師投稿就相關稿件加以撰擬、翻譯、編輯)、沖洗照片(實驗相關)、文具※品名:影印費、ChatGPT Plus使用費、沖洗照片、筆"/>
    <s v="黃靖謙"/>
  </r>
  <r>
    <x v="1"/>
    <s v="1150505"/>
    <s v="T201628"/>
    <s v="510301-2810電腦軟體服務費"/>
    <x v="11"/>
    <n v="1998"/>
    <s v="報支黃瓊慧老師執行躍升計畫＿教學研究用1-3月ChatGpt使用費※品名:1月份ChatGpt、2月份ChatGpt、3月份ChatGpt"/>
    <s v="人資系"/>
  </r>
  <r>
    <x v="1"/>
    <s v="1150505"/>
    <s v="T201628"/>
    <s v="510301-2810電腦軟體服務費"/>
    <x v="11"/>
    <n v="641"/>
    <s v="報支翁慈君老師執行躍升計畫＿教學研究用3月ChatGpt使用費※品名:3月份ChatGpt"/>
    <s v="人資系"/>
  </r>
  <r>
    <x v="1"/>
    <s v="1150505"/>
    <s v="T201628"/>
    <s v="510301-2401印刷及裝訂費"/>
    <x v="11"/>
    <n v="1125"/>
    <s v="報支躍升計畫活動用海報影印費及文具雜支※品名:海報、影印費、文件收納盒、書架、郵資"/>
    <s v="人資系"/>
  </r>
  <r>
    <x v="1"/>
    <s v="1150505"/>
    <s v="T201628"/>
    <s v="510301-2201郵費"/>
    <x v="11"/>
    <n v="92"/>
    <s v="報支躍升計畫活動用海報影印費及文具雜支※品名:海報、影印費、文件收納盒、書架、郵資"/>
    <s v="人資系"/>
  </r>
  <r>
    <x v="1"/>
    <s v="1150505"/>
    <s v="T201628"/>
    <s v="510301-3201辦公（事務）用品"/>
    <x v="11"/>
    <n v="1317"/>
    <s v="報支躍升計畫活動用海報影印費及文具雜支※品名:海報、影印費、文件收納盒、書架、郵資"/>
    <s v="人資系"/>
  </r>
  <r>
    <x v="1"/>
    <s v="1150505"/>
    <s v="T201628"/>
    <s v="510301-2810電腦軟體服務費"/>
    <x v="11"/>
    <n v="1997"/>
    <s v="報支執行躍升計畫教學用1-3月ChatGpt使用費※品名:1月份chat gpt、2月份chat gpt、3月份chat gpt"/>
    <s v="人資系"/>
  </r>
  <r>
    <x v="1"/>
    <s v="1150505"/>
    <s v="T201628"/>
    <s v="510301-3201辦公（事務）用品"/>
    <x v="11"/>
    <n v="3705"/>
    <s v="報支躍升計畫教學用文具一式※品名:文具"/>
    <s v="人資系"/>
  </r>
  <r>
    <x v="1"/>
    <s v="1150505"/>
    <s v="T201628"/>
    <s v="510301-3206食品"/>
    <x v="13"/>
    <n v="2200"/>
    <s v="115.4.14金融系躍升計畫討論會議便當中午12:00-13:30，共22人※品名:便當"/>
    <s v="游雅萍"/>
  </r>
  <r>
    <x v="1"/>
    <s v="1150505"/>
    <s v="T300612"/>
    <s v="510301-271315工讀金"/>
    <x v="0"/>
    <n v="30863"/>
    <s v="協助計畫執行臨時工作人員郭瑞傑115年4月工讀金"/>
    <s v="金融資訊系"/>
  </r>
  <r>
    <x v="4"/>
    <s v="1150506"/>
    <s v="T100282"/>
    <s v="110704-1001預付基金費用"/>
    <x v="10"/>
    <n v="-89901"/>
    <s v="預借繳回-付應用德語系辦理2026年中華民國德語文學者暨教師協會年會外國講者所需之住宿費及補助機票。※品名:住宿費、機票費"/>
    <s v="外語學院應用德語系"/>
  </r>
  <r>
    <x v="1"/>
    <s v="1150506"/>
    <s v="T201658"/>
    <s v="510301-3204化學藥劑與實驗用品"/>
    <x v="22"/>
    <n v="20000"/>
    <s v="製作專題實驗用耗材※品名:1/4白鐵三通接頭、加熱絲"/>
    <s v="半導體工程系"/>
  </r>
  <r>
    <x v="1"/>
    <s v="1150506"/>
    <s v="T201666"/>
    <s v="510301-2502一般房屋修護費"/>
    <x v="39"/>
    <n v="32802"/>
    <s v="教學課程使用(執行計畫)F129及F146教學教室空間修繕※品名:教室修繕費"/>
    <s v="營建工程系[第一]"/>
  </r>
  <r>
    <x v="1"/>
    <s v="1150506"/>
    <s v="T201670"/>
    <s v="510301-3204化學藥劑與實驗用品"/>
    <x v="29"/>
    <n v="19405"/>
    <s v="許德賢老師實驗室教學用品※品名:許德賢老師實驗室教學用品"/>
    <s v="海洋生物技術系"/>
  </r>
  <r>
    <x v="1"/>
    <s v="1150506"/>
    <s v="T201681"/>
    <s v="510301-3201辦公（事務）用品"/>
    <x v="14"/>
    <n v="5500"/>
    <s v="教學環境改善項目-2203教室連線投影及白板槽施作※品名:電視機(含分配器+施工費)、白板槽施作"/>
    <s v="航運管理系[楠梓|旗津"/>
  </r>
  <r>
    <x v="1"/>
    <s v="1150506"/>
    <s v="T201691"/>
    <s v="510301-4302機械及設備租金"/>
    <x v="22"/>
    <n v="20000"/>
    <s v="製作專題實驗用※品名:儀器設備使用費"/>
    <s v="半導體工程系"/>
  </r>
  <r>
    <x v="1"/>
    <s v="1150506"/>
    <s v="T201710"/>
    <s v="510301-3201辦公（事務）用品"/>
    <x v="36"/>
    <n v="5976"/>
    <s v="計畫所需之電腦周邊※品名:ASUS 電腦螢幕"/>
    <s v="陳俊吉"/>
  </r>
  <r>
    <x v="1"/>
    <s v="1150506"/>
    <s v="T201710"/>
    <s v="510301-3102物料"/>
    <x v="30"/>
    <n v="3660"/>
    <s v="電子材料費: 專題製作與材料課程實驗使用※品名:氧化鋁坩堝、氧化鋁板"/>
    <s v="劉志益"/>
  </r>
  <r>
    <x v="1"/>
    <s v="1150506"/>
    <s v="T201710"/>
    <s v="510301-3201辦公（事務）用品"/>
    <x v="2"/>
    <n v="1180"/>
    <s v="研究計畫使用※品名:充電線1M、電源轉接器20W"/>
    <s v="張雲龍"/>
  </r>
  <r>
    <x v="1"/>
    <s v="1150506"/>
    <s v="T201714"/>
    <s v="510301-3102物料"/>
    <x v="7"/>
    <n v="14385"/>
    <s v="受款人：詠鑫企業社，造船一甲、造船一乙、造船進修一工廠實習課程材料費※品名:電焊條"/>
    <s v="造船及海洋工程系"/>
  </r>
  <r>
    <x v="1"/>
    <s v="1150506"/>
    <s v="T201716"/>
    <s v="510301-3102物料"/>
    <x v="7"/>
    <n v="103000"/>
    <s v="受款人：源斌行邱垂達，造船一甲、造船一乙、造船進修一工廠實習課程材料費※品名:電焊皮衣L-906、電焊皮手套5指A、曲柄鋼絲刷12PC、鋼板9mm*150mm*150mm、鋼板9mm*150mm*75mm、鋼板9mm*150mm*32mm"/>
    <s v="造船及海洋工程系"/>
  </r>
  <r>
    <x v="1"/>
    <s v="1150506"/>
    <s v="T201717"/>
    <s v="510301-3201辦公（事務）用品"/>
    <x v="11"/>
    <n v="6336"/>
    <s v="申購躍升計畫教學用黑色碳粉夾一個※品名:黑色碳粉"/>
    <s v="人資系"/>
  </r>
  <r>
    <x v="1"/>
    <s v="1150506"/>
    <s v="T300629"/>
    <s v="510301-271315工讀金"/>
    <x v="7"/>
    <n v="4555"/>
    <s v="造船系115年4月工讀(張子怡)"/>
    <s v="造船及海洋工程系"/>
  </r>
  <r>
    <x v="1"/>
    <s v="1150506"/>
    <s v="T300630"/>
    <s v="510301-271315工讀金"/>
    <x v="8"/>
    <n v="7368"/>
    <s v="115年4月躍升計畫-工讀費_協助系所辦理各類活動(學生1名:劉芊逸)"/>
    <s v="供應鏈管理系[楠梓|旗"/>
  </r>
  <r>
    <x v="1"/>
    <s v="1150506"/>
    <s v="T300631"/>
    <s v="510301-271315工讀金"/>
    <x v="14"/>
    <n v="8241"/>
    <s v="1150424海空運研討會工讀金"/>
    <s v="航運管理系[楠梓|旗津"/>
  </r>
  <r>
    <x v="1"/>
    <s v="1150506"/>
    <s v="T300634"/>
    <s v="510301-271315工讀金"/>
    <x v="13"/>
    <n v="12823"/>
    <s v="執行躍升計畫工讀_吳珮綺4月"/>
    <s v="游雅萍"/>
  </r>
  <r>
    <x v="1"/>
    <s v="1150506"/>
    <s v="T300635"/>
    <s v="510301-271315工讀金"/>
    <x v="13"/>
    <n v="6322"/>
    <s v="執行躍升計畫工讀_朱晏萱4月"/>
    <s v="游雅萍"/>
  </r>
  <r>
    <x v="1"/>
    <s v="1150506"/>
    <s v="T300639"/>
    <s v="510301-271315工讀金"/>
    <x v="30"/>
    <n v="1237"/>
    <s v="人員：蕭延庭、陳韋諠。協助計畫相關臨時性業務資料整理及資料彙整包含活動臨時專業人力"/>
    <s v="謝慶發"/>
  </r>
  <r>
    <x v="0"/>
    <s v="1150506"/>
    <s v="未審"/>
    <s v=""/>
    <x v="35"/>
    <n v="10000"/>
    <s v="實驗論文投稿※品名:論文投稿"/>
    <s v="鄭宗杰"/>
  </r>
  <r>
    <x v="1"/>
    <s v="1150507"/>
    <s v="T201737"/>
    <s v="510301-3201辦公（事務）用品"/>
    <x v="34"/>
    <n v="686"/>
    <s v="事務雜項※品名:夾鏈袋、充電線"/>
    <s v="張健桂"/>
  </r>
  <r>
    <x v="1"/>
    <s v="1150507"/>
    <s v="T201738"/>
    <s v="510301-3102物料"/>
    <x v="28"/>
    <n v="2000"/>
    <s v="114/2學期日四技三實務專題材料費(郭佳燁.江博.李笙愷.陳廷睿)-魏宏哲老師-實支2000元※品名:USB自動對焦攝影鏡頭模組、ESP32-S2微控制器"/>
    <s v="電訊工程系"/>
  </r>
  <r>
    <x v="1"/>
    <s v="1150507"/>
    <s v="T201738"/>
    <s v="510301-3102物料"/>
    <x v="32"/>
    <n v="4401"/>
    <s v="計畫用-材料費※品名:冷凍大比目魚、冷凍鯖魚、稅額"/>
    <s v="李憶甄"/>
  </r>
  <r>
    <x v="1"/>
    <s v="1150507"/>
    <s v="T201738"/>
    <s v="510301-3102物料"/>
    <x v="32"/>
    <n v="2560"/>
    <s v="計畫用-材料費※品名:生鮮肉品(旗魚肉)"/>
    <s v="李憶甄"/>
  </r>
  <r>
    <x v="1"/>
    <s v="1150507"/>
    <s v="T201739"/>
    <s v="510301-720601獎助學員生給與"/>
    <x v="8"/>
    <n v="500"/>
    <s v="躍升計畫_鼓勵學生參加英文考試補助-C112190117 林妤謙報考多益英語證照考試，系上補助部分報名費500元"/>
    <s v="供應鏈管理系[楠梓|旗"/>
  </r>
  <r>
    <x v="1"/>
    <s v="1150507"/>
    <s v="T201739"/>
    <s v="510301-239801其他旅運費"/>
    <x v="10"/>
    <n v="4240"/>
    <s v="付應用德語系辦理2026年中華民國德語文學者暨教師協會年會補助校外教授擔任主持人所需之交通費。"/>
    <s v="外語學院應用德語系"/>
  </r>
  <r>
    <x v="1"/>
    <s v="1150507"/>
    <s v="T201739"/>
    <s v="510301-239801其他旅運費"/>
    <x v="3"/>
    <n v="2400"/>
    <s v="工設系114-2學期專題演講講師交通費(115/4/1，13：30-15：30曾令理，新左營-新竹)"/>
    <s v="工業設計系"/>
  </r>
  <r>
    <x v="1"/>
    <s v="1150507"/>
    <s v="T201739"/>
    <s v="510301-239801其他旅運費"/>
    <x v="3"/>
    <n v="1580"/>
    <s v="工設系114-2學期專題演講講師交通費(115/4/8，13：30-15：30林鉦翔，新左營-臺中)"/>
    <s v="工業設計系"/>
  </r>
  <r>
    <x v="1"/>
    <s v="1150507"/>
    <s v="T300644"/>
    <s v="510301-280501講課鐘點、稿費、出席審查及查詢費"/>
    <x v="14"/>
    <n v="6127"/>
    <s v="1150428航空站經營專題講座-綠色智慧機場分享(朱文忠)"/>
    <s v="航運管理系[楠梓|旗津"/>
  </r>
  <r>
    <x v="1"/>
    <s v="1150507"/>
    <s v="T300644"/>
    <s v="510301-280501講課鐘點、稿費、出席審查及查詢費"/>
    <x v="13"/>
    <n v="6127"/>
    <s v="執行躍升計畫鐘點費115.4.15尤素珍"/>
    <s v="游雅萍"/>
  </r>
  <r>
    <x v="1"/>
    <s v="1150507"/>
    <s v="T300644"/>
    <s v="510301-280501講課鐘點、稿費、出席審查及查詢費"/>
    <x v="15"/>
    <n v="2042"/>
    <s v="旗津校區/海資系/邀請莊偉良副教授演講費(中山大學海洋環境及工程學系)(時間:115.04.15 15:30－17:20)(講題:無人飛行系統於海洋環境智慧監測之創新技術)"/>
    <s v="海事資訊科技系"/>
  </r>
  <r>
    <x v="1"/>
    <s v="1150507"/>
    <s v="T300644"/>
    <s v="510301-280501講課鐘點、稿費、出席審查及查詢費"/>
    <x v="15"/>
    <n v="2042"/>
    <s v="旗津校區/海資系/邀請莊偉良副教授演講費(中山大學海洋環境及工程學系)(時間:115.04.15 18:30－20:30)(講題:無人飛行系統於海洋環境智慧監測之創新技術)"/>
    <s v="海事資訊科技系"/>
  </r>
  <r>
    <x v="1"/>
    <s v="1150507"/>
    <s v="T300644"/>
    <s v="510301-280501講課鐘點、稿費、出席審查及查詢費"/>
    <x v="5"/>
    <n v="2000"/>
    <s v="航技系115年4月14日邀請長榮航運公司督導陳馬力船長蒞校進行航運講座(講題內容:碰撞議題)"/>
    <s v="航運技術系"/>
  </r>
  <r>
    <x v="1"/>
    <s v="1150507"/>
    <s v="T300644"/>
    <s v="510301-2808委託考選訓練費"/>
    <x v="7"/>
    <n v="2000"/>
    <s v="受款人:曾冠霖，第三十八屆中國造船暨輪機工程研討會，學生發表論文研討會註冊費※品名:註冊費"/>
    <s v="造船及海洋工程系"/>
  </r>
  <r>
    <x v="1"/>
    <s v="1150507"/>
    <s v="T300644"/>
    <s v="510301-2808委託考選訓練費"/>
    <x v="7"/>
    <n v="2000"/>
    <s v="受款人:黃揚傑，第三十八屆中國造船暨輪機工程研討會，學生發表論文研討會註冊費※品名:註冊費"/>
    <s v="造船及海洋工程系"/>
  </r>
  <r>
    <x v="2"/>
    <s v="1150507"/>
    <s v="已審"/>
    <s v=""/>
    <x v="36"/>
    <n v="13733"/>
    <s v="執行躍升計畫實驗及研究資料輸出用(B509實驗室)※品名:HP 3303fdw/3203dw 原廠黑色碳粉匣等"/>
    <s v="電子工程系[第一]"/>
  </r>
  <r>
    <x v="0"/>
    <s v="1150507"/>
    <s v="未審"/>
    <s v=""/>
    <x v="22"/>
    <n v="3850"/>
    <s v="參與專題競賽及發表用海報印刷※品名:印刷品、大圖"/>
    <s v="半導體工程系"/>
  </r>
  <r>
    <x v="0"/>
    <s v="1150507"/>
    <s v="未審"/>
    <s v=""/>
    <x v="10"/>
    <n v="2000"/>
    <s v="教學研究使用之文具※品名:文具"/>
    <s v="齋美智子"/>
  </r>
  <r>
    <x v="1"/>
    <s v="1150508"/>
    <s v="T201754"/>
    <s v="510301-3201辦公（事務）用品"/>
    <x v="7"/>
    <n v="1640"/>
    <s v="受款人：王治平，工程基礎實驗(二)材料費※品名:游標卡尺"/>
    <s v="造船及海洋工程系"/>
  </r>
  <r>
    <x v="1"/>
    <s v="1150508"/>
    <s v="T201754"/>
    <s v="510301-3102物料"/>
    <x v="32"/>
    <n v="5468"/>
    <s v="計畫用-材料費※品名:燒杯500ml、鐵台附鐵棒、滴定管50ml"/>
    <s v="李憶甄"/>
  </r>
  <r>
    <x v="1"/>
    <s v="1150508"/>
    <s v="T201754"/>
    <s v="510301-239801其他旅運費"/>
    <x v="13"/>
    <n v="110"/>
    <s v="執行躍升計畫交通費115.4.15尤素珍"/>
    <s v="游雅萍"/>
  </r>
  <r>
    <x v="1"/>
    <s v="1150508"/>
    <s v="T201754"/>
    <s v="510301-2B01推展費"/>
    <x v="23"/>
    <n v="6667"/>
    <s v="115年3月科法所meta廣告行銷服務費用※品名:meta廣告費代付服務費"/>
    <s v="科技法律研究所[第一]"/>
  </r>
  <r>
    <x v="1"/>
    <s v="1150508"/>
    <s v="T201754"/>
    <s v="510301-3206食品"/>
    <x v="11"/>
    <n v="1675"/>
    <s v="執行躍升計畫召開系務會議午餐費用1675元※品名:便當(葷)、便當(素)"/>
    <s v="人資系"/>
  </r>
  <r>
    <x v="1"/>
    <s v="1150508"/>
    <s v="T201754"/>
    <s v="510301-2898其他"/>
    <x v="34"/>
    <n v="1050"/>
    <s v="教學實驗用※品名:氣體管路檢測"/>
    <s v="李建良"/>
  </r>
  <r>
    <x v="1"/>
    <s v="1150508"/>
    <s v="T201756"/>
    <s v="510301-3204化學藥劑與實驗用品"/>
    <x v="22"/>
    <n v="331"/>
    <s v="製作專題實驗用耗材※品名:抽取式抹布、邊角清潔刷、濾水網...等"/>
    <s v="半導體工程系"/>
  </r>
  <r>
    <x v="1"/>
    <s v="1150508"/>
    <s v="T201756"/>
    <s v="510301-3204化學藥劑與實驗用品"/>
    <x v="22"/>
    <n v="1302"/>
    <s v="進無塵室製作專題使用耗材※品名:拋棄式鞋墊、耐高溫鋁箔"/>
    <s v="半導體工程系"/>
  </r>
  <r>
    <x v="1"/>
    <s v="1150508"/>
    <s v="T201756"/>
    <s v="510301-3202報章什誌"/>
    <x v="22"/>
    <n v="2809"/>
    <s v="執行計畫用書籍※品名:電路學、電子電路學..等、超圖解電子電路學、電子電路超入門...等"/>
    <s v="半導體工程系"/>
  </r>
  <r>
    <x v="1"/>
    <s v="1150508"/>
    <s v="T201756"/>
    <s v="510301-2810電腦軟體服務費"/>
    <x v="11"/>
    <n v="639"/>
    <s v="報支黃佳純老師執行躍升計畫＿教學研究用3月ChatGpt使用費※品名:3月份ChatGpt"/>
    <s v="人資系"/>
  </r>
  <r>
    <x v="1"/>
    <s v="1150508"/>
    <s v="T201756"/>
    <s v="510301-3298其他"/>
    <x v="3"/>
    <n v="207"/>
    <s v="工設系補助課程(進階產品模型製作)所需耗材費(吸水布巾)※品名:耗材費"/>
    <s v="工業設計系"/>
  </r>
  <r>
    <x v="1"/>
    <s v="1150508"/>
    <s v="T201756"/>
    <s v="510301-3201辦公（事務）用品"/>
    <x v="27"/>
    <n v="1090"/>
    <s v="執行躍升計畫, 登打資料之無線滑鼠※品名:無線滑鼠"/>
    <s v="企管系"/>
  </r>
  <r>
    <x v="1"/>
    <s v="1150508"/>
    <s v="T201756"/>
    <s v="510301-2810電腦軟體服務費"/>
    <x v="6"/>
    <n v="635"/>
    <s v="114躍升計畫(資料蒐集費)支應丘羽先老師訂閱CLAUDE AI(一個月)，因應教學研究需求※品名:CLAUDE AI"/>
    <s v="外語學院應用英語系"/>
  </r>
  <r>
    <x v="1"/>
    <s v="1150508"/>
    <s v="T201756"/>
    <s v="510301-2810電腦軟體服務費"/>
    <x v="4"/>
    <n v="1932"/>
    <s v="付觀光系-劉志興老師配合躍升計畫AI教學工作坊所需之ChatGPT Plus Subscription費用。(核銷期間115年1月、2月、3月)。※品名:ChatGPT Plus Subscription"/>
    <s v="觀光系"/>
  </r>
  <r>
    <x v="1"/>
    <s v="1150508"/>
    <s v="T201756"/>
    <s v="510301-2401印刷及裝訂費"/>
    <x v="13"/>
    <n v="1200"/>
    <s v="執行躍升計畫海報※品名:海報"/>
    <s v="游雅萍"/>
  </r>
  <r>
    <x v="1"/>
    <s v="1150508"/>
    <s v="T201756"/>
    <s v="510301-3201辦公（事務）用品"/>
    <x v="8"/>
    <n v="5000"/>
    <s v="躍升計畫-鼓勵教師申請計畫提升本系整體研究、產學量能_黃彥登老師申請115學年度大專生國科會計畫1件補助5000元。※品名:傳輸線及延長線"/>
    <s v="供應鏈管理系[楠梓|旗"/>
  </r>
  <r>
    <x v="1"/>
    <s v="1150508"/>
    <s v="T201756"/>
    <s v="510301-2401印刷及裝訂費"/>
    <x v="7"/>
    <n v="235"/>
    <s v="受款人：睿朱數位電商股份有限公司，執行計畫用※品名:彩色影印費"/>
    <s v="造船及海洋工程系"/>
  </r>
  <r>
    <x v="1"/>
    <s v="1150508"/>
    <s v="T201756"/>
    <s v="510301-2808委託考選訓練費"/>
    <x v="7"/>
    <n v="2000"/>
    <s v="受款人:黃思詞，第三十八屆中國造船暨輪機工程研討會，學生發表論文研討會註冊費※品名:註冊費"/>
    <s v="造船及海洋工程系"/>
  </r>
  <r>
    <x v="0"/>
    <s v="1150508"/>
    <s v="已審"/>
    <s v=""/>
    <x v="30"/>
    <n v="1250"/>
    <s v="實驗室研究與開發所需之電子模組與控制元件，用於課程與實驗測試。(電子材料費)※品名:PH計"/>
    <s v="謝慶發"/>
  </r>
  <r>
    <x v="0"/>
    <s v="1150508"/>
    <s v="未審"/>
    <s v=""/>
    <x v="38"/>
    <n v="17000"/>
    <s v="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
    <s v="王心德"/>
  </r>
  <r>
    <x v="0"/>
    <s v="1150508"/>
    <s v="未審"/>
    <s v=""/>
    <x v="17"/>
    <n v="3290"/>
    <s v="陳育仁教授115/05/07台北產學合作洽談"/>
    <s v="陳育仁"/>
  </r>
  <r>
    <x v="1"/>
    <s v="1150511"/>
    <s v="T201779"/>
    <s v="510301-2898其他"/>
    <x v="31"/>
    <n v="77812"/>
    <s v="Aｃｔａ　Ｐｓｙｃｈｏｌｏｇｉｃａ　論文※品名:論文、手續費"/>
    <s v="張剛鳴"/>
  </r>
  <r>
    <x v="1"/>
    <s v="1150511"/>
    <s v="T201784"/>
    <s v="510301-3102物料"/>
    <x v="7"/>
    <n v="15600"/>
    <s v="受款人：源斌行邱垂達，銲接輔導班上課所需之鋼板※品名:鋼板9mm*150mm*150mm、鋼板6mm*25mm*170mm"/>
    <s v="造船及海洋工程系"/>
  </r>
  <r>
    <x v="1"/>
    <s v="1150511"/>
    <s v="T201789"/>
    <s v="510301-7102學術團體會費"/>
    <x v="4"/>
    <n v="2000"/>
    <s v="付觀光系－何秉燦主任執行躍升計畫所需之115年中華觀光管理學會會費。※品名:2026年常年會費"/>
    <s v="觀光系"/>
  </r>
  <r>
    <x v="1"/>
    <s v="1150511"/>
    <s v="T201789"/>
    <s v="510301-3204化學藥劑與實驗用品"/>
    <x v="22"/>
    <n v="5820"/>
    <s v="製作專題實驗用耗材※品名:繼電器、MEMS氣體感測器、AI空氣品質環境感測器、二甲基甲醯胺、純水機濾心"/>
    <s v="半導體工程系"/>
  </r>
  <r>
    <x v="1"/>
    <s v="1150511"/>
    <s v="T201789"/>
    <s v="510301-3204化學藥劑與實驗用品"/>
    <x v="22"/>
    <n v="848"/>
    <s v="製作專題實驗用耗材※品名:感測器模組"/>
    <s v="半導體工程系"/>
  </r>
  <r>
    <x v="1"/>
    <s v="1150511"/>
    <s v="T201789"/>
    <s v="510301-3204化學藥劑與實驗用品"/>
    <x v="22"/>
    <n v="1647"/>
    <s v="製作專題實驗用耗材※品名:玻纖雙面感光板、氫氧化鈉罐、蝕刻劑、感光電路板...等、空氣機油、空氣濾芯等"/>
    <s v="半導體工程系"/>
  </r>
  <r>
    <x v="1"/>
    <s v="1150511"/>
    <s v="T201789"/>
    <s v="510301-3204化學藥劑與實驗用品"/>
    <x v="22"/>
    <n v="7622"/>
    <s v="製作專題實驗用耗材※品名:陶瓷保險絲、公文封、酒精、無水溶劑、尿嘧啶...等、六甲基二異氰酸"/>
    <s v="半導體工程系"/>
  </r>
  <r>
    <x v="1"/>
    <s v="1150511"/>
    <s v="T201789"/>
    <s v="510301-3204化學藥劑與實驗用品"/>
    <x v="22"/>
    <n v="5642"/>
    <s v="製作專題實驗用耗材※品名:濾心、聚乙二醇、異丙醇、丙酮..等、鑽床虎潛、鑽床萬力SKC-307A..等、雙由令球閥"/>
    <s v="半導體工程系"/>
  </r>
  <r>
    <x v="1"/>
    <s v="1150511"/>
    <s v="T201789"/>
    <s v="510301-3204化學藥劑與實驗用品"/>
    <x v="22"/>
    <n v="1388"/>
    <s v="製作專題實驗用耗材※品名:UV膠、直流電機彈簧碳刷、二氧化碳"/>
    <s v="半導體工程系"/>
  </r>
  <r>
    <x v="1"/>
    <s v="1150511"/>
    <s v="T201789"/>
    <s v="510301-2401印刷及裝訂費"/>
    <x v="22"/>
    <n v="600"/>
    <s v="執行計畫用資料印刷※品名:印刷"/>
    <s v="半導體工程系"/>
  </r>
  <r>
    <x v="1"/>
    <s v="1150511"/>
    <s v="T201789"/>
    <s v="510301-3201辦公（事務）用品"/>
    <x v="30"/>
    <n v="67"/>
    <s v="計畫教學用耗材※品名:TP-Link UB500 微型USB藍芽接收器、LOGI BOLT USB接收器+無線滑鼠"/>
    <s v="謝欽旭"/>
  </r>
  <r>
    <x v="1"/>
    <s v="1150511"/>
    <s v="T201789"/>
    <s v="510301-2401印刷及裝訂費"/>
    <x v="30"/>
    <n v="3800"/>
    <s v="教學用文件印刷費※品名:印刷費"/>
    <s v="洪盟峰"/>
  </r>
  <r>
    <x v="1"/>
    <s v="1150511"/>
    <s v="T201789"/>
    <s v="510301-2898其他"/>
    <x v="33"/>
    <n v="5000"/>
    <s v="研究資料檢索:旋律式驗證技術演進分析報告※品名:研究資料檢索:旋律式驗證技術演進分析報告"/>
    <s v="薛明憲"/>
  </r>
  <r>
    <x v="1"/>
    <s v="1150511"/>
    <s v="T201789"/>
    <s v="510301-2201郵費"/>
    <x v="33"/>
    <n v="80"/>
    <s v="郵寄產學合作費用※品名:郵寄費用"/>
    <s v="鍾毓驥"/>
  </r>
  <r>
    <x v="1"/>
    <s v="1150511"/>
    <s v="T201789"/>
    <s v="510301-2810電腦軟體服務費"/>
    <x v="33"/>
    <n v="9500"/>
    <s v="購買 Azure API 使用費，進行學術研究※品名:Azure 微軟認知服務 API 使用費"/>
    <s v="鍾毓驥"/>
  </r>
  <r>
    <x v="1"/>
    <s v="1150511"/>
    <s v="T201789"/>
    <s v="510301-3201辦公（事務）用品"/>
    <x v="24"/>
    <n v="1395"/>
    <s v="財稅系老師教學研究使用※品名:商品如明細所示"/>
    <s v="財政稅務系"/>
  </r>
  <r>
    <x v="1"/>
    <s v="1150511"/>
    <s v="T201791"/>
    <s v="510301-2505機械及設備修護費"/>
    <x v="40"/>
    <n v="5565"/>
    <s v="受款人：潘婕玉｜養殖設備維護查修※品名:鼓風機維修(管線查修、管線修復)"/>
    <s v="潘婕玉"/>
  </r>
  <r>
    <x v="1"/>
    <s v="1150511"/>
    <s v="T201791"/>
    <s v="510301-2810電腦軟體服務費"/>
    <x v="11"/>
    <n v="629"/>
    <s v="報支翁慈君老師執行躍升計畫＿教學研究用4月ChatGpt使用費※品名:4月份ChatGpt"/>
    <s v="人資系"/>
  </r>
  <r>
    <x v="1"/>
    <s v="1150511"/>
    <s v="T201791"/>
    <s v="510301-3204化學藥劑與實驗用品"/>
    <x v="34"/>
    <n v="9800"/>
    <s v="實驗藥品※品名:十二烷基硫酸鈉"/>
    <s v="李建良"/>
  </r>
  <r>
    <x v="1"/>
    <s v="1150511"/>
    <s v="T201791"/>
    <s v="510301-2810電腦軟體服務費"/>
    <x v="0"/>
    <n v="639"/>
    <s v="購置AI軟體以利學習與研究_鄭智陽※品名:ChatGPT訂閱(0318-0418)"/>
    <s v="金融資訊系"/>
  </r>
  <r>
    <x v="1"/>
    <s v="1150511"/>
    <s v="T201791"/>
    <s v="510301-3201辦公（事務）用品"/>
    <x v="21"/>
    <n v="9900"/>
    <s v="許軒老師 智慧美學體驗研究室品牌語音、聽覺體驗設計之體驗與播放測試使用※品名:藍牙喇叭"/>
    <s v="歐宗殷"/>
  </r>
  <r>
    <x v="1"/>
    <s v="1150511"/>
    <s v="T201791"/>
    <s v="510301-3206食品"/>
    <x v="15"/>
    <n v="1320"/>
    <s v="旗津校區/海資系/1150420(12:00~13:00)召開執行計畫會議之誤餐費，共11人。※品名:便當"/>
    <s v="海事資訊科技系"/>
  </r>
  <r>
    <x v="1"/>
    <s v="1150511"/>
    <s v="T201791"/>
    <s v="510301-2401印刷及裝訂費"/>
    <x v="15"/>
    <n v="2716"/>
    <s v="旗津校區/海資系/執行計畫用影印費※品名:影印"/>
    <s v="海事資訊科技系"/>
  </r>
  <r>
    <x v="1"/>
    <s v="1150511"/>
    <s v="T201812"/>
    <s v="510301-2898其他"/>
    <x v="21"/>
    <n v="18000"/>
    <s v="智能防衛系統發明專利代辦費※品名:代辦費"/>
    <s v="歐宗殷"/>
  </r>
  <r>
    <x v="1"/>
    <s v="1150511"/>
    <s v="T201827"/>
    <s v="510301-2507什項設備修護費"/>
    <x v="13"/>
    <n v="12500"/>
    <s v="114-2執行躍升計畫金融系教室數位講桌維修費用(財產編號5010301-01B 3000761)※品名:數位講桌維修"/>
    <s v="游雅萍"/>
  </r>
  <r>
    <x v="1"/>
    <s v="1150511"/>
    <s v="T300653"/>
    <s v="510301-720601獎助學員生給與"/>
    <x v="1"/>
    <n v="2000"/>
    <s v="【躍升計畫】補助學生參加EST2026研討會發表論文註冊費(陳仕航)-實支※品名:註冊費"/>
    <s v="資訊管理系[第一]"/>
  </r>
  <r>
    <x v="1"/>
    <s v="1150511"/>
    <s v="T300653"/>
    <s v="510301-720601獎助學員生給與"/>
    <x v="26"/>
    <n v="4000"/>
    <s v="輪機系_補助陳家立-吳勇翰同學赴台南參加第38屆中國造船暨輪機工程研討會，個別補助報名費用2000元總額4000元。※品名:研討會註冊費"/>
    <s v="輪機工程系"/>
  </r>
  <r>
    <x v="1"/>
    <s v="1150511"/>
    <s v="T300653"/>
    <s v="510301-2808委託考選訓練費"/>
    <x v="7"/>
    <n v="2000"/>
    <s v="受款人:指導教授李子宜，第三十八屆中國造船暨輪機工程研討會，學生李芳昇發表論文研討會註冊費※品名:註冊費"/>
    <s v="造船及海洋工程系"/>
  </r>
  <r>
    <x v="1"/>
    <s v="1150511"/>
    <s v="T300653"/>
    <s v="510301-2808委託考選訓練費"/>
    <x v="7"/>
    <n v="2000"/>
    <s v="受款人:指導教授李子宜，第三十八屆中國造船暨輪機工程研討會，學生葉鎧均發表論文研討會註冊費※品名:註冊費"/>
    <s v="造船及海洋工程系"/>
  </r>
  <r>
    <x v="1"/>
    <s v="1150512"/>
    <s v="T201846"/>
    <s v="510301-2698其他保險費"/>
    <x v="34"/>
    <n v="10956"/>
    <s v="受款人：陳永忠／針對操作危險實驗之學生增購特定意外傷害保險，以降低研發過程之風險損害 ／※品名:團體傷害保險"/>
    <s v="陳永忠"/>
  </r>
  <r>
    <x v="1"/>
    <s v="1150512"/>
    <s v="T300658"/>
    <s v="510301-280501講課鐘點、稿費、出席審查及查詢費"/>
    <x v="13"/>
    <n v="6127"/>
    <s v="執行躍升計畫鐘點費115.4.29陳漢恩"/>
    <s v="游雅萍"/>
  </r>
  <r>
    <x v="1"/>
    <s v="1150512"/>
    <s v="T300668"/>
    <s v="510301-271315工讀金"/>
    <x v="0"/>
    <n v="14100"/>
    <s v="協助計畫執行臨時工作人員劉睿堉、許宸瑞115年4月工讀金"/>
    <s v="金融資訊系"/>
  </r>
  <r>
    <x v="1"/>
    <s v="1150512"/>
    <s v="T300669"/>
    <s v="510301-280501講課鐘點、稿費、出席審查及查詢費"/>
    <x v="0"/>
    <n v="6127"/>
    <s v="金資專題講座-蕭世玟115.4.28鐘點費"/>
    <s v="金融資訊系"/>
  </r>
  <r>
    <x v="1"/>
    <s v="1150512"/>
    <s v="T300672"/>
    <s v="510301-271315工讀金"/>
    <x v="11"/>
    <n v="29505"/>
    <s v="報支陳思穎4月份兼任助理薪資"/>
    <s v="人資系"/>
  </r>
  <r>
    <x v="1"/>
    <s v="1150512"/>
    <s v="T300673"/>
    <s v="510301-271315工讀金"/>
    <x v="10"/>
    <n v="61512"/>
    <s v="【躍升】應日系躍升4月工讀金5名（李禮吟、陳紀慈、陳心怡、鄭名淇、蔡沛晴）"/>
    <s v="外語學院應用日語系"/>
  </r>
  <r>
    <x v="1"/>
    <s v="1150512"/>
    <s v="T300674"/>
    <s v="510301-271315工讀金"/>
    <x v="10"/>
    <n v="4157"/>
    <s v="【躍升】應日系躍升4月工讀金1名_外籍人士（島袋里里花）"/>
    <s v="外語學院應用日語系"/>
  </r>
  <r>
    <x v="1"/>
    <s v="1150512"/>
    <s v="T300675"/>
    <s v="510301-271315工讀金"/>
    <x v="10"/>
    <n v="12698"/>
    <s v="【躍升】應日系躍升4月工讀金1名(黃品儒)"/>
    <s v="外語學院應用日語系"/>
  </r>
  <r>
    <x v="1"/>
    <s v="1150512"/>
    <s v="T400540"/>
    <s v="510301-239801其他旅運費"/>
    <x v="10"/>
    <n v="103829"/>
    <s v="付應用德語系辦理2026年中華民國德語文學者暨教師協會年會外國講者所需之機票費。"/>
    <s v="外語學院應用德語系"/>
  </r>
  <r>
    <x v="4"/>
    <s v="1150512"/>
    <s v="T400540"/>
    <s v="110704-1001預付基金費用"/>
    <x v="10"/>
    <n v="-103829"/>
    <s v="付應用德語系辦理2026年中華民國德語文學者暨教師協會年會外國講者所需之機票費。"/>
    <s v="外語學院應用德語系"/>
  </r>
  <r>
    <x v="0"/>
    <s v="1150512"/>
    <s v="已審"/>
    <s v=""/>
    <x v="18"/>
    <n v="2042"/>
    <s v="3/26專家諮詢費-國立陽明交通大學林智勇教授"/>
    <s v="財務管理系"/>
  </r>
  <r>
    <x v="0"/>
    <s v="1150512"/>
    <s v="已審"/>
    <s v=""/>
    <x v="27"/>
    <n v="5106"/>
    <s v="配合躍升計畫執行, 115.05.09，13點30分至16點00分，邀請鼎玉家族辦公室林群賢執行長蒞校專題演講，共2.5小時，每小時2,000元。"/>
    <s v="企管系"/>
  </r>
  <r>
    <x v="0"/>
    <s v="1150512"/>
    <s v="未審"/>
    <s v=""/>
    <x v="41"/>
    <n v="1"/>
    <s v=""/>
    <s v="國企系"/>
  </r>
  <r>
    <x v="0"/>
    <s v="1150512"/>
    <s v="未審"/>
    <s v=""/>
    <x v="36"/>
    <n v="500"/>
    <s v="參加研討會所需海報※品名:A0海報"/>
    <s v="郭永超"/>
  </r>
  <r>
    <x v="1"/>
    <s v="1150513"/>
    <s v="T201884"/>
    <s v="510301-2401印刷及裝訂費"/>
    <x v="11"/>
    <n v="4523"/>
    <s v="報支躍升計畫活動用折頁印刷費※品名:折頁印刷"/>
    <s v="人資系"/>
  </r>
  <r>
    <x v="1"/>
    <s v="1150513"/>
    <s v="T201884"/>
    <s v="510301-3204化學藥劑與實驗用品"/>
    <x v="34"/>
    <n v="903"/>
    <s v="實驗用※品名:磨砂夾、三角燒瓶"/>
    <s v="張健桂"/>
  </r>
  <r>
    <x v="1"/>
    <s v="1150513"/>
    <s v="T201884"/>
    <s v="510301-3204化學藥劑與實驗用品"/>
    <x v="34"/>
    <n v="998"/>
    <s v="實驗用※品名:苛性鉀"/>
    <s v="張健桂"/>
  </r>
  <r>
    <x v="1"/>
    <s v="1150513"/>
    <s v="T201884"/>
    <s v="510301-2201郵費"/>
    <x v="35"/>
    <n v="28"/>
    <s v="計畫用-實驗耗材、寄件郵資※品名:無水酒精 (做實驗所需之水電器用品耗材)、寄件郵資 (學生參加比賽所需之寄件雜支費用)"/>
    <s v="黃靖謙"/>
  </r>
  <r>
    <x v="1"/>
    <s v="1150513"/>
    <s v="T201884"/>
    <s v="510301-3204化學藥劑與實驗用品"/>
    <x v="35"/>
    <n v="2160"/>
    <s v="計畫用-實驗耗材、寄件郵資※品名:無水酒精 (做實驗所需之水電器用品耗材)、寄件郵資 (學生參加比賽所需之寄件雜支費用)"/>
    <s v="黃靖謙"/>
  </r>
  <r>
    <x v="1"/>
    <s v="1150513"/>
    <s v="T201884"/>
    <s v="510301-3201辦公（事務）用品"/>
    <x v="8"/>
    <n v="5000"/>
    <s v="躍升計畫-鼓勵教師申請計畫提升本系整體研究、產學量能_徐賢斌老師申請115學年度國科會專題研究計畫1件補助5000元。※品名:文具一批(如發票明細)"/>
    <s v="供應鏈管理系[楠梓|旗"/>
  </r>
  <r>
    <x v="1"/>
    <s v="1150513"/>
    <s v="T201884"/>
    <s v="510301-3201辦公（事務）用品"/>
    <x v="8"/>
    <n v="5000"/>
    <s v="躍升計畫-鼓勵教師申請計畫提升本系整體研究、產學量能_徐賢斌老師申請115年大專生國科會計畫1件補助5000元。※品名:文具(資料夾)"/>
    <s v="供應鏈管理系[楠梓|旗"/>
  </r>
  <r>
    <x v="1"/>
    <s v="1150513"/>
    <s v="T201884"/>
    <s v="510301-3102物料"/>
    <x v="32"/>
    <n v="7011"/>
    <s v="計畫用-材料費※品名:雞肉、地瓜、南瓜、鳳梨、豆腐盒、烤模、稅額、椰漿(實支592元)"/>
    <s v="李憶甄"/>
  </r>
  <r>
    <x v="1"/>
    <s v="1150513"/>
    <s v="T201885"/>
    <s v="510301-3102物料"/>
    <x v="28"/>
    <n v="500"/>
    <s v="114/2學期日四技三實務專題材料費(董嘉侑)-陸瑞漢老師※品名:感光電路板"/>
    <s v="電訊工程系"/>
  </r>
  <r>
    <x v="1"/>
    <s v="1150513"/>
    <s v="T201885"/>
    <s v="510301-2898其他"/>
    <x v="0"/>
    <n v="6499"/>
    <s v="英文論文編修費_何姍嬬老師※品名:論文編修費"/>
    <s v="金融資訊系"/>
  </r>
  <r>
    <x v="1"/>
    <s v="1150513"/>
    <s v="T201885"/>
    <s v="510301-2810電腦軟體服務費"/>
    <x v="0"/>
    <n v="2656"/>
    <s v="購置AI軟體以利學習與研究_王聖文※品名:ChatGPT訂閱(0102-00202)、ChatGPT訂閱(0202-00302)、ChatGPT訂閱(0302-00402)、ChatGPT訂閱(0402-00502)"/>
    <s v="金融資訊系"/>
  </r>
  <r>
    <x v="1"/>
    <s v="1150513"/>
    <s v="T201885"/>
    <s v="510301-2810電腦軟體服務費"/>
    <x v="0"/>
    <n v="674"/>
    <s v="購置AI軟體以利學習與研究_何姍嬬※品名:ChatGPT訂閱(0316-0416)"/>
    <s v="金融資訊系"/>
  </r>
  <r>
    <x v="1"/>
    <s v="1150513"/>
    <s v="T201885"/>
    <s v="510301-3102物料"/>
    <x v="3"/>
    <n v="1100"/>
    <s v="工設系補助學生參加競賽所需材料費(壓克力品)※品名:材料費"/>
    <s v="工業設計系"/>
  </r>
  <r>
    <x v="1"/>
    <s v="1150513"/>
    <s v="T201885"/>
    <s v="510301-2201郵費"/>
    <x v="27"/>
    <n v="390"/>
    <s v="配合躍升計畫, 與法國凱致商學院簽訂MOA紙本寄送法國之郵資※品名:郵資"/>
    <s v="企管系"/>
  </r>
  <r>
    <x v="1"/>
    <s v="1150513"/>
    <s v="T300688"/>
    <s v="510301-280501講課鐘點、稿費、出席審查及查詢費"/>
    <x v="15"/>
    <n v="2042"/>
    <s v="旗津校區/海資系/邀請邵仁中主任演講費(高雄市市立凱旋醫院職業安全衛生室)(時間:115.04.29 15:30－17:20)(講題:AI與綠能科技產業)"/>
    <s v="海事資訊科技系"/>
  </r>
  <r>
    <x v="0"/>
    <s v="1150513"/>
    <s v="已審"/>
    <s v=""/>
    <x v="15"/>
    <n v="2042"/>
    <s v="旗津校區/海資系/邀請林家宏教授演講費(國立勤益科技大學電機工程系)(時間:115.05.13 18:30－20:30)(講題:淺談資訊安全)(碩專班)"/>
    <s v="海事資訊科技系"/>
  </r>
  <r>
    <x v="0"/>
    <s v="1150513"/>
    <s v="已審"/>
    <s v=""/>
    <x v="14"/>
    <n v="1225"/>
    <s v="1150513旅運中心教學參訪導覽-郝培宏"/>
    <s v="航運管理系[楠梓|旗津"/>
  </r>
  <r>
    <x v="0"/>
    <s v="1150513"/>
    <s v="已審"/>
    <s v=""/>
    <x v="1"/>
    <n v="1018"/>
    <s v="【躍升計畫】補助學生參加2026資訊管理暨電子商務經營管理研討會發表論文交通費(陳宥諺)-台鐵自強號新左營站-臺東站來回(非當日來回)-實支(僅核銷一般座艙票價)"/>
    <s v="資訊管理系[第一]"/>
  </r>
  <r>
    <x v="0"/>
    <s v="1150513"/>
    <s v="未審"/>
    <s v=""/>
    <x v="30"/>
    <n v="10000"/>
    <s v="耗材※品名:耗材"/>
    <s v="廖幸園"/>
  </r>
  <r>
    <x v="0"/>
    <s v="1150513"/>
    <s v="未審"/>
    <s v=""/>
    <x v="36"/>
    <n v="1160"/>
    <s v="實驗室耗材※品名:修正內帶5mm"/>
    <s v="郭永超"/>
  </r>
  <r>
    <x v="0"/>
    <s v="1150513"/>
    <s v="未審"/>
    <s v=""/>
    <x v="36"/>
    <n v="384"/>
    <s v="購買實驗室耗材※品名:可變電阻、實驗室耗材"/>
    <s v="郭永超"/>
  </r>
  <r>
    <x v="0"/>
    <s v="1150513"/>
    <s v="未審"/>
    <s v=""/>
    <x v="30"/>
    <n v="3200"/>
    <s v="至新竹參加第六屆奈米元件電路與技術研討會暨聯合開發計畫成果發表會"/>
    <s v="劉淑白"/>
  </r>
  <r>
    <x v="0"/>
    <s v="1150513"/>
    <s v="未審"/>
    <s v=""/>
    <x v="10"/>
    <n v="2342"/>
    <s v="執行躍升計畫之師生研究討論之餐費及教學研究所購買之用品。※品名:十銓隨身碟　USB3、除塵補充包、日本區域研究 師生研究討論餐敘 費用報銷"/>
    <s v="小堀和彥"/>
  </r>
  <r>
    <x v="0"/>
    <s v="1150513"/>
    <s v="未審"/>
    <s v=""/>
    <x v="8"/>
    <n v="500"/>
    <s v="躍升計畫_鼓勵學生參加英文考試補助-  C112190124 幼禎報考多益英語證照考試，系上補助部分報名費500元"/>
    <s v="供應鏈管理系[楠梓|旗"/>
  </r>
  <r>
    <x v="1"/>
    <s v="1150514"/>
    <s v="T201906"/>
    <s v="510301-720601獎助學員生給與"/>
    <x v="8"/>
    <n v="500"/>
    <s v="躍升計畫_鼓勵學生參加英文考試補助- C112190149賴農鈞報考多益英語證照考試，系上補助部分報名費500元"/>
    <s v="供應鏈管理系[楠梓|旗"/>
  </r>
  <r>
    <x v="1"/>
    <s v="1150514"/>
    <s v="T201906"/>
    <s v="510301-239801其他旅運費"/>
    <x v="13"/>
    <n v="280"/>
    <s v="執行躍升計畫交通費115.4.29陳漢恩"/>
    <s v="游雅萍"/>
  </r>
  <r>
    <x v="1"/>
    <s v="1150514"/>
    <s v="T201906"/>
    <s v="510301-720601獎助學員生給與"/>
    <x v="1"/>
    <n v="3795"/>
    <s v="【躍升計畫】補助學生參加「2026 Best AI Awards 智慧創新大賞」決賽交通費(林竣翔、簡家鴻、林修同)-高鐵台北站-左營站(回程)"/>
    <s v="資訊管理系[第一]"/>
  </r>
  <r>
    <x v="1"/>
    <s v="1150514"/>
    <s v="T201906"/>
    <s v="510301-720601獎助學員生給與"/>
    <x v="1"/>
    <n v="5960"/>
    <s v="【躍升計畫】補助學生參加「第23屆育秀盃創意獎」決賽交通費(劉政承、舒宣凱)-高鐵左營站-台北站來回(非當日來回)"/>
    <s v="資訊管理系[第一]"/>
  </r>
  <r>
    <x v="1"/>
    <s v="1150514"/>
    <s v="T201906"/>
    <s v="510301-720601獎助學員生給與"/>
    <x v="1"/>
    <n v="2950"/>
    <s v="【躍升計畫】補助學生參加「第23屆育秀盃創意獎」決賽交通費(陳亮彤)-去程高鐵左營站-板橋站；回程高鐵台北站-左營站(非當日來回)"/>
    <s v="資訊管理系[第一]"/>
  </r>
  <r>
    <x v="1"/>
    <s v="1150514"/>
    <s v="T201906"/>
    <s v="510301-720601獎助學員生給與"/>
    <x v="1"/>
    <n v="1170"/>
    <s v="【躍升計畫】補助學生參加EST2026研討會發表論文交通費(陳仕航)-高鐵左營站-桃園站(去程)"/>
    <s v="資訊管理系[第一]"/>
  </r>
  <r>
    <x v="1"/>
    <s v="1150514"/>
    <s v="T201907"/>
    <s v="510301-3204化學藥劑與實驗用品"/>
    <x v="9"/>
    <n v="31520"/>
    <s v="課程使用※品名:250CC水泥比重瓶、水分計燈泡、砂飽和比重瓶、土壤壓密透水石"/>
    <s v="土木系"/>
  </r>
  <r>
    <x v="1"/>
    <s v="1150514"/>
    <s v="T201913"/>
    <s v="510301-3206食品"/>
    <x v="3"/>
    <n v="1200"/>
    <s v="工設系討論課程規劃所需餐費(1150430中午1200-1300，共計10人)※品名:便當"/>
    <s v="工業設計系"/>
  </r>
  <r>
    <x v="1"/>
    <s v="1150514"/>
    <s v="T201913"/>
    <s v="510301-720601獎助學員生給與"/>
    <x v="1"/>
    <n v="3900"/>
    <s v="【躍升計畫】補助學生參加「2026 Best AI Awards 智慧創新大賞」住宿費(林竣翔)※品名:住宿費"/>
    <s v="資訊管理系[第一]"/>
  </r>
  <r>
    <x v="1"/>
    <s v="1150514"/>
    <s v="T201914"/>
    <s v="510301-2808委託考選訓練費"/>
    <x v="7"/>
    <n v="2000"/>
    <s v="受款人:潘虹岐，第三十八屆中國造船暨輪機工程研討會，學生發表論文研討會註冊費※品名:註冊費"/>
    <s v="造船及海洋工程系"/>
  </r>
  <r>
    <x v="1"/>
    <s v="1150514"/>
    <s v="T201915"/>
    <s v="510301-720601獎助學員生給與"/>
    <x v="26"/>
    <n v="4016"/>
    <s v="輪機系_115年4月18-19日吳勇瀚同學赴台南參加第38屆中國造船暨輪機工程研討會，補助差旅費用4016元。"/>
    <s v="輪機工程系"/>
  </r>
  <r>
    <x v="1"/>
    <s v="1150514"/>
    <s v="T201915"/>
    <s v="510301-720601獎助學員生給與"/>
    <x v="26"/>
    <n v="3887"/>
    <s v="輪機系_115年4月18-19日陳家立同學赴台南參加第38屆中國造船暨輪機工程研討會，補助差旅費用3887元。"/>
    <s v="輪機工程系"/>
  </r>
  <r>
    <x v="1"/>
    <s v="1150514"/>
    <s v="T201915"/>
    <s v="510301-2301國內旅費"/>
    <x v="1"/>
    <n v="4400"/>
    <s v="【差假單編號:PE11502714】帶領所指導之專題生參加「23屆育秀盃創意獎」總決賽與「2026 Best AI Awards 智慧創新大賞」決賽。"/>
    <s v="資訊管理系[第一]"/>
  </r>
  <r>
    <x v="1"/>
    <s v="1150514"/>
    <s v="T201937"/>
    <s v="510301-3102物料"/>
    <x v="36"/>
    <n v="10517"/>
    <s v="實驗室量測IC使用(支出分攤114TSD00-15$10517元，DUD2-1$583元.)※品名:實驗室IC麵包板(併D115004093)"/>
    <s v="陳俊吉"/>
  </r>
  <r>
    <x v="0"/>
    <s v="1150514"/>
    <s v="未審"/>
    <s v=""/>
    <x v="8"/>
    <n v="500"/>
    <s v="躍升計畫_鼓勵學生參加英文考試補助- C112190131周姵妤報考多益英語證照考試，系上補助部分報名費500元"/>
    <s v="供應鏈管理系[楠梓|旗"/>
  </r>
  <r>
    <x v="0"/>
    <s v="1150514"/>
    <s v="未審"/>
    <s v=""/>
    <x v="28"/>
    <n v="18000"/>
    <s v="鼓勵教師參加研討會並發表論文補助註冊費(吳佳老師)"/>
    <s v="電訊工程系"/>
  </r>
  <r>
    <x v="1"/>
    <s v="1150515"/>
    <s v="T201951"/>
    <s v="510301-2810電腦軟體服務費"/>
    <x v="33"/>
    <n v="2931"/>
    <s v="GPT pro (2026/04/24-2026/05/24), _x000a_Gemini (2026/04/12-2026/05/12), _x000a_Colab (2026/04/21-2026/05/21) AI 服務訂閱費。使用雲端硬碟儲存研究用資料，AI 服務進行論文修改，模擬程式撰寫。※品名:ChatGPT 訂閱月費、Colab 租用費、Gemini 訂閱費"/>
    <s v="鍾毓驥"/>
  </r>
  <r>
    <x v="1"/>
    <s v="1150515"/>
    <s v="T201953"/>
    <s v="510301-2301國內旅費"/>
    <x v="17"/>
    <n v="3290"/>
    <s v="差旅費:陳育仁老師 事由：115/03/30台北產學合作洽談"/>
    <s v="陳育仁"/>
  </r>
  <r>
    <x v="1"/>
    <s v="1150515"/>
    <s v="T400570"/>
    <s v="510301-4201一般房屋租金"/>
    <x v="10"/>
    <n v="6270"/>
    <s v="付應用德語系辦理2026年中華民國德語文學者暨教師協會年會外國講者共一人所需之住宿費。※品名:住宿費"/>
    <s v="外語學院應用德語系"/>
  </r>
  <r>
    <x v="4"/>
    <s v="1150515"/>
    <s v="T400570"/>
    <s v="110704-1001預付基金費用"/>
    <x v="10"/>
    <n v="-6270"/>
    <s v="付應用德語系辦理2026年中華民國德語文學者暨教師協會年會外國講者共一人所需之住宿費。※品名:住宿費"/>
    <s v="外語學院應用德語系"/>
  </r>
  <r>
    <x v="0"/>
    <s v="1150515"/>
    <s v="已審"/>
    <s v=""/>
    <x v="30"/>
    <n v="4764"/>
    <s v="115/04/18 演講鐘點費_陳盈銓，演講題目：網站探查技術"/>
    <s v="謝欽旭"/>
  </r>
  <r>
    <x v="0"/>
    <s v="1150515"/>
    <s v="已審"/>
    <s v=""/>
    <x v="14"/>
    <n v="4084"/>
    <s v="1150515海商法與航運職涯-思辨學能力的培養-張志清(于惠蓉)"/>
    <s v="航運管理系[楠梓|旗津"/>
  </r>
  <r>
    <x v="0"/>
    <s v="1150515"/>
    <s v="未審"/>
    <s v=""/>
    <x v="22"/>
    <n v="2085"/>
    <s v="115年5月14日參加第六屆奈米元件電路與技術研討會暨高階人才養成計畫成果發表會交通費-張勝博老師"/>
    <s v="半導體工程系"/>
  </r>
  <r>
    <x v="0"/>
    <s v="1150515"/>
    <s v="未審"/>
    <s v=""/>
    <x v="30"/>
    <n v="3000"/>
    <s v="※品名:研討會報名費"/>
    <s v="劉淑白"/>
  </r>
  <r>
    <x v="0"/>
    <s v="1150515"/>
    <s v="未審"/>
    <s v=""/>
    <x v="38"/>
    <n v="3173"/>
    <s v="教學與專題實驗用※品名:橡膠車輪.馬達驅動模組.減速馬達.繼電器模組等、伺服馬達、ps2車套件、原木條.珍珠板等、飛機木、白色珍珠板.飛機木片等、飛機木片.圓木條、原木壓舌棒.原木冰棒棍、PVC警示膠帶"/>
    <s v="黃條嵩"/>
  </r>
  <r>
    <x v="0"/>
    <s v="1150515"/>
    <s v="未審"/>
    <s v=""/>
    <x v="38"/>
    <n v="305"/>
    <s v="教學與專題實驗用※品名:五金-螺絲、鋁線、洋眼4吋、電白華司.螺帽等、洋眼10吋、白鐵木捻"/>
    <s v="黃條嵩"/>
  </r>
  <r>
    <x v="0"/>
    <s v="1150515"/>
    <s v="未審"/>
    <s v=""/>
    <x v="6"/>
    <n v="5684"/>
    <s v="(未)114躍升計畫支應吳慧君工讀金(115年6月)"/>
    <s v="外語學院應用英語系"/>
  </r>
  <r>
    <x v="0"/>
    <s v="1150515"/>
    <s v="未審"/>
    <s v=""/>
    <x v="4"/>
    <n v="1000"/>
    <s v="付觀光系－何秉燦主任執行躍升計畫所需之115年台灣服務科學學會會費。※品名:2026年常年會費"/>
    <s v="觀光系"/>
  </r>
  <r>
    <x v="0"/>
    <s v="1150515"/>
    <s v="未審"/>
    <s v=""/>
    <x v="25"/>
    <n v="4901"/>
    <s v="5/15學術演講-就業創業皆公司(江珊如律師)"/>
    <s v="運籌管理系[第一]"/>
  </r>
  <r>
    <x v="0"/>
    <s v="1150515"/>
    <s v="未審"/>
    <s v=""/>
    <x v="25"/>
    <n v="2660"/>
    <s v="5/15學術演講交通費補助(江珊如律師)"/>
    <s v="運籌管理系[第一]"/>
  </r>
  <r>
    <x v="0"/>
    <s v="1150515"/>
    <s v="未審"/>
    <s v=""/>
    <x v="8"/>
    <n v="500"/>
    <s v="躍升計畫_鼓勵學生參加英文考試補助- C112190148倪翊皓報考多益英語證照考試，系上補助部分報名費500元"/>
    <s v="供應鏈管理系[楠梓|旗"/>
  </r>
  <r>
    <x v="0"/>
    <s v="1150516"/>
    <s v="未審"/>
    <s v=""/>
    <x v="30"/>
    <n v="685"/>
    <s v="實驗室研究與開發所需之電子模組與控制元件，用於課程與實驗測試。(電子材料費)※品名:電子材料"/>
    <s v="謝慶發"/>
  </r>
  <r>
    <x v="0"/>
    <s v="1150517"/>
    <s v="未審"/>
    <s v=""/>
    <x v="36"/>
    <n v="23000"/>
    <s v="執行躍升計畫實驗研究用※品名:4GBOSDIMM記憶體(5060)"/>
    <s v="許耀文"/>
  </r>
  <r>
    <x v="1"/>
    <s v="1150518"/>
    <s v="T201967"/>
    <s v="510301-3201辦公（事務）用品"/>
    <x v="27"/>
    <n v="7276"/>
    <s v="配合躍升計畫, 舉辦活動所需用之文具用品※品名:文具用品○詳如銷貨明細○○"/>
    <s v="企管系"/>
  </r>
  <r>
    <x v="1"/>
    <s v="1150518"/>
    <s v="T201967"/>
    <s v="510301-2810電腦軟體服務費"/>
    <x v="11"/>
    <n v="2760"/>
    <s v="報支執行躍升計畫教學用陳必碩老師2-5月ChatGpt使用費※品名:2月份chat gpt、3月份chat gpt、4月份chat gpt、5月份chat gpt"/>
    <s v="人資系"/>
  </r>
  <r>
    <x v="1"/>
    <s v="1150518"/>
    <s v="T201967"/>
    <s v="510301-2401印刷及裝訂費"/>
    <x v="28"/>
    <n v="300"/>
    <s v="114學年第2學期專題競賽統計票數海報※品名:噴圖"/>
    <s v="電訊工程系"/>
  </r>
  <r>
    <x v="1"/>
    <s v="1150518"/>
    <s v="T201967"/>
    <s v="510301-3102物料"/>
    <x v="28"/>
    <n v="840"/>
    <s v="114/2學期日四技三實務專題材料費(張捷安.蔡凱圳.黃彥凱.王綸中)-張玉雯老師※品名:木材一批(木板)"/>
    <s v="電訊工程系"/>
  </r>
  <r>
    <x v="1"/>
    <s v="1150518"/>
    <s v="T201967"/>
    <s v="510301-3201辦公（事務）用品"/>
    <x v="8"/>
    <n v="5000"/>
    <s v="躍升計畫-鼓勵教師申請計畫提升本系整體研究、產學量能_徐賢斌老師申請115年教育部教學實踐研究計畫1件補助5000元。※品名:文具(筆記本)"/>
    <s v="供應鏈管理系[楠梓|旗"/>
  </r>
  <r>
    <x v="1"/>
    <s v="1150518"/>
    <s v="T201972"/>
    <s v="510301-2401印刷及裝訂費"/>
    <x v="2"/>
    <n v="21986"/>
    <s v="印刷費、原廠碳粉、3C產品等※品名:拉布網(印刷品)、原廠碳粉匣與3C產品"/>
    <s v="陳俊豪"/>
  </r>
  <r>
    <x v="1"/>
    <s v="1150518"/>
    <s v="T201983"/>
    <s v="510301-4402車租"/>
    <x v="14"/>
    <n v="12575"/>
    <s v="1150506赴桃園遠雄自貿港區教學參訪※品名:租賃車資"/>
    <s v="航運管理系[楠梓|旗津"/>
  </r>
  <r>
    <x v="1"/>
    <s v="1150518"/>
    <s v="T300712"/>
    <s v="510301-280501講課鐘點、稿費、出席審查及查詢費"/>
    <x v="14"/>
    <n v="4084"/>
    <s v="1150506邀請學長姐返校班會專題講座-張裕國"/>
    <s v="航運管理系[楠梓|旗津"/>
  </r>
  <r>
    <x v="1"/>
    <s v="1150518"/>
    <s v="T300713"/>
    <s v="510301-280501講課鐘點、稿費、出席審查及查詢費"/>
    <x v="13"/>
    <n v="6127"/>
    <s v="執行躍升計畫鐘點費115.5.6戴良安"/>
    <s v="游雅萍"/>
  </r>
  <r>
    <x v="0"/>
    <s v="1150518"/>
    <s v="已審"/>
    <s v=""/>
    <x v="0"/>
    <n v="700"/>
    <s v="提升教師研究用雜項用品(雜支)※品名:連接線"/>
    <s v="金融資訊系"/>
  </r>
  <r>
    <x v="0"/>
    <s v="1150518"/>
    <s v="已審"/>
    <s v=""/>
    <x v="34"/>
    <n v="27044"/>
    <s v="受款人:友和貿易股份有限公司/27044/實驗用途※品名:1-Bromohexane、二甲基亞石風、氯化銨、丁基羥基甲苯、丙酮、乙酸乙酯、己烷"/>
    <s v="陳永忠"/>
  </r>
  <r>
    <x v="0"/>
    <s v="1150518"/>
    <s v="已審"/>
    <s v=""/>
    <x v="30"/>
    <n v="4460"/>
    <s v="資訊耗材※品名:無線鍵盤滑鼠組、USB網路卡"/>
    <s v="劉炳宏"/>
  </r>
  <r>
    <x v="0"/>
    <s v="1150518"/>
    <s v="未審"/>
    <s v=""/>
    <x v="35"/>
    <n v="933"/>
    <s v="實驗室用之文具用品及五金耗材(棉紗手套及沾膠手套)※品名:文具耗材(詳如發票)、五金耗材(詳如發票)"/>
    <s v="陳道星"/>
  </r>
  <r>
    <x v="0"/>
    <s v="1150518"/>
    <s v="未審"/>
    <s v=""/>
    <x v="33"/>
    <n v="100721"/>
    <s v="研究資料收集與分析:ESG揭露與GRI V.S. TCFD V.S. SASB V.S. ISSB V.S. IFRS整合※品名:研究資料收集與分析:ESG揭露與GRI V.S. TCFD V.S. SASB V.S. ISSB V.S. IFRS整合"/>
    <s v="薛明憲"/>
  </r>
  <r>
    <x v="0"/>
    <s v="1150518"/>
    <s v="未審"/>
    <s v=""/>
    <x v="28"/>
    <n v="239"/>
    <s v="114學年第2學期專題競賽獎狀影印費※品名:影印"/>
    <s v="電訊工程系"/>
  </r>
  <r>
    <x v="1"/>
    <s v="1150519"/>
    <s v="T300718"/>
    <s v="510301-271315工讀金"/>
    <x v="16"/>
    <n v="31315"/>
    <s v="115年04月智慧商務系胡祐誠等6人燕巢校區工讀生薪資"/>
    <s v="智慧商務系"/>
  </r>
  <r>
    <x v="1"/>
    <s v="1150519"/>
    <s v="T300719"/>
    <s v="510301-280501講課鐘點、稿費、出席審查及查詢費"/>
    <x v="3"/>
    <n v="3063"/>
    <s v="工設系114-2學期專題演講講師鐘點費(115/4/29，13：30-15：30 張恆毅)"/>
    <s v="工業設計系"/>
  </r>
  <r>
    <x v="0"/>
    <s v="1150519"/>
    <s v="已審"/>
    <s v=""/>
    <x v="14"/>
    <n v="684"/>
    <s v="1150513登泰國際物流公司教學參訪保險費實支684元(于惠蓉)※品名:保費"/>
    <s v="航運管理系[楠梓|旗津"/>
  </r>
  <r>
    <x v="0"/>
    <s v="1150519"/>
    <s v="已審"/>
    <s v=""/>
    <x v="1"/>
    <n v="2980"/>
    <s v="【差假單編號:PE11503327】至台北商業大學探討AI產學合作後續事宜"/>
    <s v="資訊管理系[第一]"/>
  </r>
  <r>
    <x v="0"/>
    <s v="1150519"/>
    <s v="未審"/>
    <s v=""/>
    <x v="31"/>
    <n v="97633"/>
    <s v="電通系電腦教室軟體使用※品名:軟體使用費"/>
    <s v="電腦與通訊工程系[第"/>
  </r>
  <r>
    <x v="0"/>
    <s v="1150519"/>
    <s v="未審"/>
    <s v=""/>
    <x v="21"/>
    <n v="6968"/>
    <s v="115年5月何銘儀工讀金"/>
    <s v="歐宗殷"/>
  </r>
  <r>
    <x v="0"/>
    <s v="1150519"/>
    <s v="未審"/>
    <s v=""/>
    <x v="8"/>
    <n v="500"/>
    <s v="躍升計畫_鼓勵學生參加英文考試補助- C112190123陳奕琁報考多益英語證照考試，系上補助部分報名費500元"/>
    <s v="供應鏈管理系[楠梓|旗"/>
  </r>
  <r>
    <x v="0"/>
    <s v="1150519"/>
    <s v="未審"/>
    <s v=""/>
    <x v="8"/>
    <n v="7368"/>
    <s v="115年5月躍升計畫-工讀費_協助系所辦理各類活動(學生1名:劉芊逸)"/>
    <s v="供應鏈管理系[楠梓|旗"/>
  </r>
  <r>
    <x v="0"/>
    <s v="1150519"/>
    <s v="未審"/>
    <s v=""/>
    <x v="29"/>
    <n v="81300"/>
    <s v="田野實驗耗材※品名:石斑魚苗(田野實驗)、魚隻運費、打氣石、打氣管、魚飼料"/>
    <s v="蘇豐傑"/>
  </r>
  <r>
    <x v="1"/>
    <s v="1150520"/>
    <s v="T202052"/>
    <s v="510301-239801其他旅運費"/>
    <x v="27"/>
    <n v="1580"/>
    <s v="配合躍升計畫執行, 115.05.09，13點30分至16點00分，邀請鼎玉家族辦公室林群賢執行長蒞校專題演講，台中-高雄高鐵來回"/>
    <s v="企管系"/>
  </r>
  <r>
    <x v="1"/>
    <s v="1150520"/>
    <s v="T202052"/>
    <s v="510301-239801其他旅運費"/>
    <x v="13"/>
    <n v="2980"/>
    <s v="執行躍升計畫交通費115.5.6戴良安"/>
    <s v="游雅萍"/>
  </r>
  <r>
    <x v="1"/>
    <s v="1150520"/>
    <s v="T202071"/>
    <s v="510301-2301國內旅費"/>
    <x v="17"/>
    <n v="3290"/>
    <s v="差旅費:陳育仁教授 事由：115/04/09台北產學合作洽談"/>
    <s v="陳育仁"/>
  </r>
  <r>
    <x v="1"/>
    <s v="1150520"/>
    <s v="T300722"/>
    <s v="510301-271315工讀金"/>
    <x v="42"/>
    <n v="17516"/>
    <s v="協助執行計畫4月份工讀金(陳冠和、謝宏謙、鄭珮瑩、李姿逸)"/>
    <s v="風險管理與保險系"/>
  </r>
  <r>
    <x v="1"/>
    <s v="1150520"/>
    <s v="T300723"/>
    <s v="510301-271315工讀金"/>
    <x v="42"/>
    <n v="19987"/>
    <s v="協助執行計畫4月份工讀金(葉小豪、蘇昱文、蔡承祐、陳昱丞)"/>
    <s v="風險管理與保險系"/>
  </r>
  <r>
    <x v="1"/>
    <s v="1150520"/>
    <s v="T300724"/>
    <s v="510301-271315工讀金"/>
    <x v="19"/>
    <n v="32261"/>
    <s v="(楠梓-躍升計畫-商資系)115年4月份工讀金(郭巧玲、錢家敏、吳宜秦)"/>
    <s v="商務資訊應用系"/>
  </r>
  <r>
    <x v="1"/>
    <s v="1150520"/>
    <s v="T300726"/>
    <s v="510301-280501講課鐘點、稿費、出席審查及查詢費"/>
    <x v="14"/>
    <n v="4084"/>
    <s v="1150429邀請外國學者演講-Maritime Transit Fees(Alexander)"/>
    <s v="航運管理系[楠梓|旗津"/>
  </r>
  <r>
    <x v="0"/>
    <s v="1150520"/>
    <s v="已審"/>
    <s v=""/>
    <x v="16"/>
    <n v="1500"/>
    <s v="智慧商務系 MA211教室 網路施工維修※品名:網路施工"/>
    <s v="智慧商務系"/>
  </r>
  <r>
    <x v="0"/>
    <s v="1150520"/>
    <s v="已審"/>
    <s v=""/>
    <x v="1"/>
    <n v="2980"/>
    <s v="【差假單編號:PE11503328】至台北商業大學探討AI產學合作後續事宜"/>
    <s v="資訊管理系[第一]"/>
  </r>
  <r>
    <x v="0"/>
    <s v="1150520"/>
    <s v="未審"/>
    <s v=""/>
    <x v="41"/>
    <n v="4084"/>
    <s v="執行躍升計畫-教師社群專題演講費。"/>
    <s v="國企系"/>
  </r>
  <r>
    <x v="0"/>
    <s v="1150520"/>
    <s v="未審"/>
    <s v=""/>
    <x v="41"/>
    <n v="4084"/>
    <s v="執行躍升計畫-教師社群專題演講費。吳孟珍"/>
    <s v="國企系"/>
  </r>
  <r>
    <x v="0"/>
    <s v="1150520"/>
    <s v="未審"/>
    <s v=""/>
    <x v="34"/>
    <n v="1089"/>
    <s v="實驗用※品名:口罩、充電線、口罩、夾鏈袋、墊片"/>
    <s v="張健桂"/>
  </r>
  <r>
    <x v="0"/>
    <s v="1150520"/>
    <s v="未審"/>
    <s v=""/>
    <x v="38"/>
    <n v="11340"/>
    <s v="115年度模308材料實驗室核定之材料費--採購8&quot;拋光布※品名:Kemet 鑽石液用8&quot;拋光布"/>
    <s v="黃家瑞"/>
  </r>
  <r>
    <x v="0"/>
    <s v="1150520"/>
    <s v="未審"/>
    <s v=""/>
    <x v="39"/>
    <n v="14700"/>
    <s v="教學課程使用(執行計畫)F210教學教室空間修繕※品名:修繕費"/>
    <s v="營建工程系[第一]"/>
  </r>
  <r>
    <x v="0"/>
    <s v="1150520"/>
    <s v="未審"/>
    <s v=""/>
    <x v="3"/>
    <n v="3063"/>
    <s v="工設系114-2學期專題演講講師鐘點費(115/05/13，13：30-15：30 謝玉鈴)"/>
    <s v="工業設計系"/>
  </r>
  <r>
    <x v="0"/>
    <s v="1150520"/>
    <s v="未審"/>
    <s v=""/>
    <x v="3"/>
    <n v="1580"/>
    <s v="工設系114-2學期專題演講講師交通費(115/05/13，13：30-15：30 謝玉鈴，新左營-臺中)"/>
    <s v="工業設計系"/>
  </r>
  <r>
    <x v="0"/>
    <s v="1150520"/>
    <s v="未審"/>
    <s v=""/>
    <x v="29"/>
    <n v="9949"/>
    <s v="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
    <s v="林家豪"/>
  </r>
  <r>
    <x v="0"/>
    <s v="1150520"/>
    <s v="未審"/>
    <s v=""/>
    <x v="29"/>
    <n v="9848"/>
    <s v="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
    <s v="林家豪"/>
  </r>
  <r>
    <x v="1"/>
    <s v="1150521"/>
    <s v="T202088"/>
    <s v="510301-3204化學藥劑與實驗用品"/>
    <x v="34"/>
    <n v="3658"/>
    <s v="實驗用※品名:氣體交換層、陰離子交換膜、試管塞、運費"/>
    <s v="李建良"/>
  </r>
  <r>
    <x v="1"/>
    <s v="1150521"/>
    <s v="T202088"/>
    <s v="510301-2201郵費"/>
    <x v="35"/>
    <n v="32"/>
    <s v="實驗用之不銹鋼棒五金耗材及實驗室用之文具耗材及郵件傳遞之郵資※品名:五金耗材(詳如發票)、文具耗材(詳如發票)、郵資"/>
    <s v="陳道星"/>
  </r>
  <r>
    <x v="1"/>
    <s v="1150521"/>
    <s v="T202088"/>
    <s v="510301-3201辦公（事務）用品"/>
    <x v="35"/>
    <n v="1708"/>
    <s v="實驗用之不銹鋼棒五金耗材及實驗室用之文具耗材及郵件傳遞之郵資※品名:五金耗材(詳如發票)、文具耗材(詳如發票)、郵資"/>
    <s v="陳道星"/>
  </r>
  <r>
    <x v="1"/>
    <s v="1150521"/>
    <s v="T202088"/>
    <s v="510301-3102物料"/>
    <x v="35"/>
    <n v="525"/>
    <s v="實驗用之不銹鋼棒五金耗材及實驗室用之文具耗材及郵件傳遞之郵資※品名:五金耗材(詳如發票)、文具耗材(詳如發票)、郵資"/>
    <s v="陳道星"/>
  </r>
  <r>
    <x v="1"/>
    <s v="1150521"/>
    <s v="T202089"/>
    <s v="510301-2401印刷及裝訂費"/>
    <x v="36"/>
    <n v="8524"/>
    <s v="執行躍升計畫-相關AI資料文件印製、裝訂※品名:影印/裝訂"/>
    <s v="張簡嘉壬"/>
  </r>
  <r>
    <x v="1"/>
    <s v="1150521"/>
    <s v="T202090"/>
    <s v="510301-2401印刷及裝訂費"/>
    <x v="34"/>
    <n v="130"/>
    <s v="研究與教學用※品名:國立中山大學貴儀使用費、國立成功大學貴儀使用費、磁力攪拌電熱套、運費、印刷"/>
    <s v="李建良"/>
  </r>
  <r>
    <x v="1"/>
    <s v="1150521"/>
    <s v="T202090"/>
    <s v="510301-4302機械及設備租金"/>
    <x v="34"/>
    <n v="7410"/>
    <s v="研究與教學用※品名:國立中山大學貴儀使用費、國立成功大學貴儀使用費、磁力攪拌電熱套、運費、印刷"/>
    <s v="李建良"/>
  </r>
  <r>
    <x v="1"/>
    <s v="1150521"/>
    <s v="T202090"/>
    <s v="510301-3204化學藥劑與實驗用品"/>
    <x v="34"/>
    <n v="5117"/>
    <s v="研究與教學用※品名:國立中山大學貴儀使用費、國立成功大學貴儀使用費、磁力攪拌電熱套、運費、印刷"/>
    <s v="李建良"/>
  </r>
  <r>
    <x v="1"/>
    <s v="1150521"/>
    <s v="T202093"/>
    <s v="510301-2808委託考選訓練費"/>
    <x v="17"/>
    <n v="2000"/>
    <s v="研習教育訓練費※品名:研習教育訓練費"/>
    <s v="林靜香"/>
  </r>
  <r>
    <x v="1"/>
    <s v="1150521"/>
    <s v="T202093"/>
    <s v="510301-3201辦公（事務）用品"/>
    <x v="37"/>
    <n v="1107"/>
    <s v="計畫用-實驗室及課堂教學用品一批購買※品名:鎖式紮帶2.5_120mm、O-rang橡膠環、DOUBLE A 影印紙A3、668雙面膠帶1/2&quot;、鉛筆芯C205-2B、油性筆 圓頭N851(藍)、油性筆 平頭N861(黑)、油性筆 圓頭N851(黑)、油性筆 圓頭N851(紅)、油性筆 平頭N861(紅)、OPP膠帶2&quot;、油性筆 平頭N861(藍)"/>
    <s v="許哲榮"/>
  </r>
  <r>
    <x v="1"/>
    <s v="1150521"/>
    <s v="T202093"/>
    <s v="510301-2502一般房屋修護費"/>
    <x v="40"/>
    <n v="2000"/>
    <s v="受款人：一六八環保企業社｜楠梓校區樂群樓4樓魚病實驗室水槽水管之查修維護※品名:通水管"/>
    <s v="潘婕玉"/>
  </r>
  <r>
    <x v="0"/>
    <s v="1150521"/>
    <s v="未審"/>
    <s v=""/>
    <x v="0"/>
    <n v="664"/>
    <s v="購置AI軟體以利學習與研究_何姍嬬※品名:ChatGPT訂閱(0416-0516)"/>
    <s v="金融資訊系"/>
  </r>
  <r>
    <x v="0"/>
    <s v="1150521"/>
    <s v="未審"/>
    <s v=""/>
    <x v="30"/>
    <n v="820"/>
    <s v="台灣半導體研究中心研討會報名費(老師*1+學生*2)※品名:研討會報名費"/>
    <s v="劉淑白"/>
  </r>
  <r>
    <x v="0"/>
    <s v="1150521"/>
    <s v="未審"/>
    <s v=""/>
    <x v="30"/>
    <n v="457"/>
    <s v="計畫教學用耗材※品名:無線藍芽滑鼠"/>
    <s v="洪盟峰"/>
  </r>
  <r>
    <x v="0"/>
    <s v="1150521"/>
    <s v="未審"/>
    <s v=""/>
    <x v="3"/>
    <n v="2920"/>
    <s v="工設系執行計畫所需工讀費(邱俊睿，14H)"/>
    <s v="工業設計系"/>
  </r>
  <r>
    <x v="0"/>
    <s v="1150521"/>
    <s v="未審"/>
    <s v=""/>
    <x v="3"/>
    <n v="1200"/>
    <s v="工設系討論課程規劃所需餐費(1150521中午1200-1330，共計10人次)※品名:餐費"/>
    <s v="工業設計系"/>
  </r>
  <r>
    <x v="0"/>
    <s v="1150521"/>
    <s v="未審"/>
    <s v=""/>
    <x v="1"/>
    <n v="2000"/>
    <s v="【躍升計畫】補助學生參加ICIM2026研討會發表論文註冊費(張珈薰)-實支※品名:註冊費"/>
    <s v="資訊管理系[第一]"/>
  </r>
  <r>
    <x v="0"/>
    <s v="1150521"/>
    <s v="未審"/>
    <s v=""/>
    <x v="1"/>
    <n v="2980"/>
    <s v="【躍升計畫】補助學生參加ICIM2026研討會發表論文交通費(張珈薰)-高鐵左營站-台北站來回"/>
    <s v="資訊管理系[第一]"/>
  </r>
  <r>
    <x v="0"/>
    <s v="1150521"/>
    <s v="未審"/>
    <s v=""/>
    <x v="1"/>
    <n v="2000"/>
    <s v="【躍升計畫】補助學生參加ICIM2026研討會發表論文註冊費(陳彥廷)-實支※品名:註冊費"/>
    <s v="資訊管理系[第一]"/>
  </r>
  <r>
    <x v="0"/>
    <s v="1150521"/>
    <s v="未審"/>
    <s v=""/>
    <x v="1"/>
    <n v="2980"/>
    <s v="【躍升計畫】補助學生參加ICIM2026研討會發表論文交通費(陳彥廷)-高鐵左營站-台北站來回"/>
    <s v="資訊管理系[第一]"/>
  </r>
  <r>
    <x v="0"/>
    <s v="1150521"/>
    <s v="未審"/>
    <s v=""/>
    <x v="23"/>
    <n v="10000"/>
    <s v="執行系所躍升計畫採購之月旦醫事法報告(115/1-115/12)※品名:月旦醫事法報告"/>
    <s v="科技法律研究所[第一]"/>
  </r>
  <r>
    <x v="0"/>
    <s v="1150521"/>
    <s v="未審"/>
    <s v=""/>
    <x v="14"/>
    <n v="3696"/>
    <s v="1150521二乙小港機場教學參訪交通費※品名:捷運團體票"/>
    <s v="航運管理系[楠梓|旗津"/>
  </r>
  <r>
    <x v="0"/>
    <s v="1150521"/>
    <s v="未審"/>
    <s v=""/>
    <x v="14"/>
    <n v="1836"/>
    <s v="1150521二乙小港機場教學參訪保費※品名:保費"/>
    <s v="航運管理系[楠梓|旗津"/>
  </r>
  <r>
    <x v="1"/>
    <s v="1150522"/>
    <s v="T202117"/>
    <s v="510301-3204化學藥劑與實驗用品"/>
    <x v="34"/>
    <n v="9000"/>
    <s v="為研究所需，採購實驗所需耗材。※品名:磷酸釩鈉、手套、無塵紙"/>
    <s v="潘俊仁"/>
  </r>
  <r>
    <x v="1"/>
    <s v="1150522"/>
    <s v="T202117"/>
    <s v="510301-2401印刷及裝訂費"/>
    <x v="0"/>
    <n v="4500"/>
    <s v="研習/講座等講義印刷費※品名:印刷費"/>
    <s v="金融資訊系"/>
  </r>
  <r>
    <x v="1"/>
    <s v="1150522"/>
    <s v="T202117"/>
    <s v="510301-2810電腦軟體服務費"/>
    <x v="0"/>
    <n v="630"/>
    <s v="購置AI軟體以利學習與研究_鄭智陽※品名:ChatGPT訂閱(0418-0518)"/>
    <s v="金融資訊系"/>
  </r>
  <r>
    <x v="0"/>
    <s v="1150522"/>
    <s v="未審"/>
    <s v=""/>
    <x v="34"/>
    <n v="1835"/>
    <s v="實驗、辦公室與教學用※品名:血糖試紙、鑰匙、郵寄費、快乾水性筆、耳機用耳罩"/>
    <s v="李建良"/>
  </r>
  <r>
    <x v="0"/>
    <s v="1150522"/>
    <s v="未審"/>
    <s v=""/>
    <x v="25"/>
    <n v="7137"/>
    <s v="執行計畫用墨水匣(吳偉銘老師)※品名:墨水匣"/>
    <s v="運籌管理系[第一]"/>
  </r>
  <r>
    <x v="0"/>
    <s v="1150522"/>
    <s v="未審"/>
    <s v=""/>
    <x v="14"/>
    <n v="1160"/>
    <s v="1150513二甲乙高雄港教學參訪交通費※品名:捷運團體票"/>
    <s v="航運管理系[楠梓|旗津"/>
  </r>
  <r>
    <x v="0"/>
    <s v="1150522"/>
    <s v="未審"/>
    <s v=""/>
    <x v="14"/>
    <n v="3115"/>
    <s v="1150513二甲乙高雄港教學參訪交通費※品名:保費"/>
    <s v="航運管理系[楠梓|旗津"/>
  </r>
  <r>
    <x v="0"/>
    <s v="1150522"/>
    <s v="未審"/>
    <s v=""/>
    <x v="12"/>
    <n v="4084"/>
    <s v="2026講座鐘點費"/>
    <s v="戴堯種"/>
  </r>
  <r>
    <x v="0"/>
    <s v="1150522"/>
    <s v="未審"/>
    <s v=""/>
    <x v="18"/>
    <n v="6126"/>
    <s v="5/11專家諮詢費-中山大學王昭文教授等3人"/>
    <s v="財務管理系"/>
  </r>
  <r>
    <x v="0"/>
    <s v="1150523"/>
    <s v="未審"/>
    <s v=""/>
    <x v="20"/>
    <n v="6000"/>
    <s v="生分實驗室清運處理※品名:垃圾處理"/>
    <s v="漁業科技與管理系"/>
  </r>
  <r>
    <x v="1"/>
    <s v="1150525"/>
    <s v="T202147"/>
    <s v="510301-3201辦公（事務）用品"/>
    <x v="18"/>
    <n v="12000"/>
    <s v="執行計畫用電腦週邊用品※品名:雷射專用亮面紙、電腦標籤紙"/>
    <s v="財務管理系"/>
  </r>
  <r>
    <x v="1"/>
    <s v="1150525"/>
    <s v="T202148"/>
    <s v="510301-4402車租"/>
    <x v="14"/>
    <n v="32100"/>
    <s v="1150507二甲乙東森國際物流公司教學參訪車資※品名:租賃車資"/>
    <s v="航運管理系[楠梓|旗津"/>
  </r>
  <r>
    <x v="1"/>
    <s v="1150525"/>
    <s v="T202149"/>
    <s v="510301-3201辦公（事務）用品"/>
    <x v="37"/>
    <n v="14513"/>
    <s v="執行計畫-實驗資料數據等儲存、野外樣品數據採集使用(環境有機分析實驗室)※品名:OTG隨身碟、記憶卡"/>
    <s v="海洋環境工程系"/>
  </r>
  <r>
    <x v="1"/>
    <s v="1150525"/>
    <s v="T300740"/>
    <s v="510301-280501講課鐘點、稿費、出席審查及查詢費"/>
    <x v="15"/>
    <n v="2042"/>
    <s v="旗津校區/海資系/邀請林家宏教授演講費(國立勤益科技大學電機工程系)(時間:115.05.13 15:30－17:20)(講題:淺談資訊安全)(碩士班)"/>
    <s v="海事資訊科技系"/>
  </r>
  <r>
    <x v="1"/>
    <s v="1150525"/>
    <s v="T300740"/>
    <s v="510301-280504顧問諮詢費"/>
    <x v="18"/>
    <n v="6126"/>
    <s v="4/20專家諮詢費-王昭文、林智勇、何柏欣等3位教授"/>
    <s v="財務管理系"/>
  </r>
  <r>
    <x v="1"/>
    <s v="1150525"/>
    <s v="T300740"/>
    <s v="510301-280501講課鐘點、稿費、出席審查及查詢費"/>
    <x v="0"/>
    <n v="6127"/>
    <s v="金資專題講座-林奕儒115.5.4鐘點費"/>
    <s v="金融資訊系"/>
  </r>
  <r>
    <x v="1"/>
    <s v="1150525"/>
    <s v="T300740"/>
    <s v="510301-280501講課鐘點、稿費、出席審查及查詢費"/>
    <x v="0"/>
    <n v="6127"/>
    <s v="金資專題講座-林奕儒115.5.5鐘點費"/>
    <s v="金融資訊系"/>
  </r>
  <r>
    <x v="0"/>
    <s v="1150525"/>
    <s v="未審"/>
    <s v=""/>
    <x v="22"/>
    <n v="1399"/>
    <s v="製作專題實驗用器材※品名:無線鍵盤"/>
    <s v="半導體工程系"/>
  </r>
  <r>
    <x v="0"/>
    <s v="1150525"/>
    <s v="未審"/>
    <s v=""/>
    <x v="6"/>
    <n v="6000"/>
    <s v="114躍升計畫補助林依寧參加國際研討會發表論文交通費(5/15-5/18)"/>
    <s v="外語學院應用英語系"/>
  </r>
  <r>
    <x v="0"/>
    <s v="1150525"/>
    <s v="未審"/>
    <s v=""/>
    <x v="1"/>
    <n v="7980"/>
    <s v="【躍升計畫】補助學生參加「2026第四屆統一超商關係企業商業競賽」決賽交通費(鐘宇翔、傅勻貞、吳沛樺)-高鐵左營站-桃園站來回"/>
    <s v="資訊管理系[第一]"/>
  </r>
  <r>
    <x v="0"/>
    <s v="1150525"/>
    <s v="未審"/>
    <s v=""/>
    <x v="1"/>
    <n v="2020"/>
    <s v="【躍升計畫】補助學生參加「2026第四屆統一超商關係企業商業競賽」決賽交通費(陳昱良)-去程高鐵左營站-桃園站；回程高鐵桃園站-台南站(實支)"/>
    <s v="資訊管理系[第一]"/>
  </r>
  <r>
    <x v="0"/>
    <s v="1150525"/>
    <s v="未審"/>
    <s v=""/>
    <x v="25"/>
    <n v="15860"/>
    <s v="115年05月份李能安等協助計畫執行費用"/>
    <s v="運籌管理系[第一]"/>
  </r>
  <r>
    <x v="0"/>
    <s v="1150525"/>
    <s v="未審"/>
    <s v=""/>
    <x v="8"/>
    <n v="5830"/>
    <s v="躍升計畫_鼓勵教師申請計畫費-洪榮耀老師投稿期刊之投稿費補助(5/22臺灣銀行美金即期買入為31.47元，投稿費為220*31.47=6924元，含手續費共實支6958元，申請計畫兩件含上次核銷餘額本次可補助5830元)※品名:期刊投稿費"/>
    <s v="供應鏈管理系[楠梓|旗"/>
  </r>
  <r>
    <x v="0"/>
    <s v="1150525"/>
    <s v="未審"/>
    <s v=""/>
    <x v="13"/>
    <n v="2640"/>
    <s v="115.6.3金融系躍升計畫討論會議便當中午12:00-13:30，共22人※品名:便當"/>
    <s v="游雅萍"/>
  </r>
  <r>
    <x v="0"/>
    <s v="1150525"/>
    <s v="未審"/>
    <s v=""/>
    <x v="26"/>
    <n v="4000"/>
    <s v="輪機系_林存國執行躍升計畫_參加2026第24界精密機械與製造科技研討會論文集_支付註冊費用$4000。※品名:註冊費"/>
    <s v="輪機工程系"/>
  </r>
  <r>
    <x v="1"/>
    <s v="1150526"/>
    <s v="T202218"/>
    <s v="510301-2301國內旅費"/>
    <x v="10"/>
    <n v="2980"/>
    <s v="【躍升】黃愛玲教師參加台大日本語文學系舉辦之「2026年度國際學術研討會:日語翻譯研究最前線」所使用之交通費。"/>
    <s v="外語學院應用日語系"/>
  </r>
  <r>
    <x v="1"/>
    <s v="1150526"/>
    <s v="T202242"/>
    <s v="510301-3201辦公（事務）用品"/>
    <x v="33"/>
    <n v="748"/>
    <s v="購買實驗室文具 (長尾夾，修正帶，鋼珠筆，指示標籤…等) 及USB轉接頭※品名:文具一批、USB轉接頭"/>
    <s v="鍾毓驥"/>
  </r>
  <r>
    <x v="1"/>
    <s v="1150526"/>
    <s v="T202242"/>
    <s v="510301-3202報章什誌"/>
    <x v="33"/>
    <n v="1674"/>
    <s v="購買研究教學用書 (Vibe Coding 50 道零程式碼開發，Gemini API, Vibe Coding 聖經)※品名:書籍一批"/>
    <s v="鍾毓驥"/>
  </r>
  <r>
    <x v="1"/>
    <s v="1150526"/>
    <s v="T202242"/>
    <s v="510301-2808委託考選訓練費"/>
    <x v="33"/>
    <n v="2800"/>
    <s v="教師增能課程報名費 (AI 時代的 PM 新技能：語音化工作流程設計實戰)※品名:增能課程報名費: AI 時代的 PM 新技能：語音化工作流程設計實戰"/>
    <s v="鍾毓驥"/>
  </r>
  <r>
    <x v="1"/>
    <s v="1150526"/>
    <s v="T202242"/>
    <s v="510301-3201辦公（事務）用品"/>
    <x v="30"/>
    <n v="233"/>
    <s v="樣品保存與包裝用耗材※品名:大九九購物袋、收納盒、置物盒、4號夾鏈袋、3號夾鏈袋"/>
    <s v="施惠鈞"/>
  </r>
  <r>
    <x v="1"/>
    <s v="1150526"/>
    <s v="T202242"/>
    <s v="510301-2810電腦軟體服務費"/>
    <x v="36"/>
    <n v="6507"/>
    <s v="計畫所需之AI訂閱※品名:AI (Claude)訂閱"/>
    <s v="陳俊吉"/>
  </r>
  <r>
    <x v="1"/>
    <s v="1150526"/>
    <s v="T202242"/>
    <s v="510301-3201辦公（事務）用品"/>
    <x v="36"/>
    <n v="999"/>
    <s v="執行躍升計畫實驗用※品名:路由器"/>
    <s v="陳銘志"/>
  </r>
  <r>
    <x v="1"/>
    <s v="1150526"/>
    <s v="T202242"/>
    <s v="510301-3204化學藥劑與實驗用品"/>
    <x v="22"/>
    <n v="6000"/>
    <s v="製作專題實驗用耗材※品名:感測器模組"/>
    <s v="半導體工程系"/>
  </r>
  <r>
    <x v="1"/>
    <s v="1150526"/>
    <s v="T202242"/>
    <s v="510301-3204化學藥劑與實驗用品"/>
    <x v="22"/>
    <n v="3200"/>
    <s v="製作專題實驗用耗材※品名:單晶片電路板"/>
    <s v="半導體工程系"/>
  </r>
  <r>
    <x v="1"/>
    <s v="1150526"/>
    <s v="T202242"/>
    <s v="510301-3204化學藥劑與實驗用品"/>
    <x v="22"/>
    <n v="5975"/>
    <s v="製作專題實驗用※品名:NBR手套、精密拭鏡紙等"/>
    <s v="半導體工程系"/>
  </r>
  <r>
    <x v="1"/>
    <s v="1150526"/>
    <s v="T202242"/>
    <s v="510301-2807委託檢驗（定）試驗認證費"/>
    <x v="22"/>
    <n v="3150"/>
    <s v="製作專題實驗用※品名:實驗室使用費-材料分析(中山大學材光系)、儀器使用費(中山大學儀器服務收入)"/>
    <s v="半導體工程系"/>
  </r>
  <r>
    <x v="1"/>
    <s v="1150526"/>
    <s v="T202242"/>
    <s v="510301-3204化學藥劑與實驗用品"/>
    <x v="35"/>
    <n v="5930"/>
    <s v="研究實驗用之靶材及其加工費※品名:靶材加工費、靶材"/>
    <s v="陳道星"/>
  </r>
  <r>
    <x v="1"/>
    <s v="1150526"/>
    <s v="T202242"/>
    <s v="510301-3204化學藥劑與實驗用品"/>
    <x v="35"/>
    <n v="5360"/>
    <s v="計畫實驗用之靶材及銅背板※品名:靶材、銅背板"/>
    <s v="陳道星"/>
  </r>
  <r>
    <x v="1"/>
    <s v="1150526"/>
    <s v="T202242"/>
    <s v="510301-3204化學藥劑與實驗用品"/>
    <x v="30"/>
    <n v="1020"/>
    <s v="購買實驗與清潔用耗材※品名:氫氧化鈉、95%酒精（乙醇）、99.9% IPA（異丙醇）、它項 運費"/>
    <s v="施惠鈞"/>
  </r>
  <r>
    <x v="1"/>
    <s v="1150526"/>
    <s v="T202249"/>
    <s v="510301-2898其他"/>
    <x v="0"/>
    <n v="83855"/>
    <s v="論文投稿費_王聖文※品名:論文投稿費、國外交易授權結匯手續費"/>
    <s v="金融資訊系"/>
  </r>
  <r>
    <x v="1"/>
    <s v="1150526"/>
    <s v="T202257"/>
    <s v="510301-2898其他"/>
    <x v="37"/>
    <n v="94948"/>
    <s v="執行計畫-陳建志老師期刊文章發表費。※品名:文章發表費及手續費"/>
    <s v="陳建志"/>
  </r>
  <r>
    <x v="1"/>
    <s v="1150526"/>
    <s v="T202257"/>
    <s v="510301-2706佣金、匯費、經理費及手續費"/>
    <x v="37"/>
    <n v="1424"/>
    <s v="執行計畫-陳建志老師期刊文章發表費。※品名:文章發表費及手續費"/>
    <s v="陳建志"/>
  </r>
  <r>
    <x v="1"/>
    <s v="1150526"/>
    <s v="T202266"/>
    <s v="510301-3201辦公（事務）用品"/>
    <x v="33"/>
    <n v="6865"/>
    <s v="工管系-楊富強老師研究用外接硬碟、隨身碟、證書夾(與D115004388分攤)※品名:外接硬碟、隨身碟、證書夾"/>
    <s v="楊富強"/>
  </r>
  <r>
    <x v="1"/>
    <s v="1150526"/>
    <s v="T300786"/>
    <s v="510301-271315工讀金"/>
    <x v="14"/>
    <n v="2556"/>
    <s v="114-2學期林佳柔TA工讀金"/>
    <s v="航運管理系[楠梓|旗津"/>
  </r>
  <r>
    <x v="0"/>
    <s v="1150526"/>
    <s v="未審"/>
    <s v=""/>
    <x v="0"/>
    <n v="3380"/>
    <s v="姜林杰祐115.5.23出席系友交誼會交流職涯發展與實務經驗"/>
    <s v="金融資訊系"/>
  </r>
  <r>
    <x v="0"/>
    <s v="1150526"/>
    <s v="未審"/>
    <s v=""/>
    <x v="0"/>
    <n v="3380"/>
    <s v="鄭智陽115.5.23出席系友交誼會交流職涯發展與實務經驗"/>
    <s v="金融資訊系"/>
  </r>
  <r>
    <x v="0"/>
    <s v="1150526"/>
    <s v="未審"/>
    <s v=""/>
    <x v="2"/>
    <n v="28805"/>
    <s v="Claude AI-AI開發工具，協助程式開發使用。※品名:Claude AI 使用費(含國外交易服務費)"/>
    <s v="林威成"/>
  </r>
  <r>
    <x v="0"/>
    <s v="1150526"/>
    <s v="未審"/>
    <s v=""/>
    <x v="34"/>
    <n v="13000"/>
    <s v="實驗室用器材※品名:無線鍵鼠組、充電電池 2500 mAh、藍芽耳機麥克風、隨身碟 256 GB"/>
    <s v="高立衡"/>
  </r>
  <r>
    <x v="0"/>
    <s v="1150526"/>
    <s v="未審"/>
    <s v=""/>
    <x v="30"/>
    <n v="2000"/>
    <s v="代墊人:張萬榮_台灣機器人學會_研討會註冊費※品名:研討會註冊費"/>
    <s v="張萬榮"/>
  </r>
  <r>
    <x v="0"/>
    <s v="1150526"/>
    <s v="未審"/>
    <s v=""/>
    <x v="30"/>
    <n v="3000"/>
    <s v="(待送出，等閔昱收據)代墊人:張萬榮_第二十四屆離島資訊技術與應用研討會_註冊費※品名:註冊費"/>
    <s v="張萬榮"/>
  </r>
  <r>
    <x v="0"/>
    <s v="1150526"/>
    <s v="未審"/>
    <s v=""/>
    <x v="38"/>
    <n v="15000"/>
    <s v="研討會論文發表費、實驗室耗品※品名:研討會論文發表費#55、研討會論文發表費#56、模具加工費用、電源線、廚房紙巾、酒精、洗手乳等、影印"/>
    <s v="林恆勝"/>
  </r>
  <r>
    <x v="0"/>
    <s v="1150526"/>
    <s v="未審"/>
    <s v=""/>
    <x v="6"/>
    <n v="6000"/>
    <s v="114躍升計畫補助徐暄詠參加國際研討會發表論文交通費(5/15-5/18)"/>
    <s v="外語學院應用英語系"/>
  </r>
  <r>
    <x v="0"/>
    <s v="1150526"/>
    <s v="未審"/>
    <s v=""/>
    <x v="18"/>
    <n v="2480"/>
    <s v="論文投稿費(informs)-林財印※品名:論文投稿費"/>
    <s v="財務管理系"/>
  </r>
  <r>
    <x v="0"/>
    <s v="1150526"/>
    <s v="未審"/>
    <s v=""/>
    <x v="18"/>
    <n v="16418"/>
    <s v="論文投稿費(RAST Journal)-林財印※品名:論文投稿費"/>
    <s v="財務管理系"/>
  </r>
  <r>
    <x v="0"/>
    <s v="1150526"/>
    <s v="未審"/>
    <s v=""/>
    <x v="29"/>
    <n v="3980"/>
    <s v="學生許銘倫、范育菱、陳品蓉、李紘宇等四人於5/11至5/13參加2026環境分析研討會之回程高鐵"/>
    <s v="蘇豐傑"/>
  </r>
  <r>
    <x v="0"/>
    <s v="1150526"/>
    <s v="未審"/>
    <s v=""/>
    <x v="20"/>
    <n v="4904"/>
    <s v="115年度漁管系執行改質躍升計畫用之碳粉夾※品名:碳粉夾"/>
    <s v="漁業科技與管理系"/>
  </r>
  <r>
    <x v="1"/>
    <s v="1150527"/>
    <s v="T202274"/>
    <s v="510301-2698其他保險費"/>
    <x v="14"/>
    <n v="3605"/>
    <s v="1150507二甲乙東森國際物流公司教學參訪保費※品名:保費"/>
    <s v="航運管理系[楠梓|旗津"/>
  </r>
  <r>
    <x v="1"/>
    <s v="1150527"/>
    <s v="T202274"/>
    <s v="510301-2698其他保險費"/>
    <x v="14"/>
    <n v="1715"/>
    <s v="1150512二甲小港機場教學參訪保費※品名:保費"/>
    <s v="航運管理系[楠梓|旗津"/>
  </r>
  <r>
    <x v="1"/>
    <s v="1150527"/>
    <s v="T202274"/>
    <s v="510301-4402車租"/>
    <x v="14"/>
    <n v="3740"/>
    <s v="1150512二甲小港機場教學參訪交通費※品名:捷運團體票"/>
    <s v="航運管理系[楠梓|旗津"/>
  </r>
  <r>
    <x v="1"/>
    <s v="1150527"/>
    <s v="T202274"/>
    <s v="510301-2698其他保險費"/>
    <x v="14"/>
    <n v="840"/>
    <s v="1150513碩博班旅運中心、台灣航業教學參訪保費※品名:保費"/>
    <s v="航運管理系[楠梓|旗津"/>
  </r>
  <r>
    <x v="1"/>
    <s v="1150527"/>
    <s v="T202274"/>
    <s v="510301-2506交通及運輸設備修護費"/>
    <x v="13"/>
    <n v="6150"/>
    <s v="114-2執行躍升計畫金融系E220教室廣播盒連接器維修費用(財產編號4050303-2405000047)※品名:廣播盒連接器維修"/>
    <s v="游雅萍"/>
  </r>
  <r>
    <x v="1"/>
    <s v="1150527"/>
    <s v="T202274"/>
    <s v="510301-3206食品"/>
    <x v="13"/>
    <n v="2640"/>
    <s v="115.5.13金融系躍升計畫討論會議便當中午12:00-13:30，共22人※品名:便當"/>
    <s v="游雅萍"/>
  </r>
  <r>
    <x v="1"/>
    <s v="1150527"/>
    <s v="T202274"/>
    <s v="510301-720601獎助學員生給與"/>
    <x v="1"/>
    <n v="2000"/>
    <s v="【躍升計畫】補助學生參加2026資訊管理暨電子商務經營管理研討會發表論文註冊費(陳宥諺)※品名:註冊費"/>
    <s v="資訊管理系[第一]"/>
  </r>
  <r>
    <x v="1"/>
    <s v="1150527"/>
    <s v="T202274"/>
    <s v="510301-3201辦公（事務）用品"/>
    <x v="15"/>
    <n v="1836"/>
    <s v="旗津校區/海資系/執行計畫用文具用品※品名:文具用品(詳如發票)"/>
    <s v="海事資訊科技系"/>
  </r>
  <r>
    <x v="1"/>
    <s v="1150527"/>
    <s v="T202274"/>
    <s v="510301-2898其他"/>
    <x v="18"/>
    <n v="7986"/>
    <s v="執行計畫用-論文投稿費※品名:論文投稿費"/>
    <s v="財務管理系"/>
  </r>
  <r>
    <x v="1"/>
    <s v="1150527"/>
    <s v="T202274"/>
    <s v="510301-3102物料"/>
    <x v="28"/>
    <n v="2077"/>
    <s v="114/2學期日四技三實務專題材料費(趙凱軒.張寓威.張凱量.劉姵昕.陳芮萱)-林秋欽老師※品名:電子材料一批(如明細)"/>
    <s v="電訊工程系"/>
  </r>
  <r>
    <x v="1"/>
    <s v="1150527"/>
    <s v="T202274"/>
    <s v="510301-3102物料"/>
    <x v="3"/>
    <n v="6000"/>
    <s v="工設系補助教師課程所需材料費(林龍吟，飛機墓、3D列印線、ABS板)※品名:材料費"/>
    <s v="工業設計系"/>
  </r>
  <r>
    <x v="1"/>
    <s v="1150527"/>
    <s v="T202274"/>
    <s v="510301-3201辦公（事務）用品"/>
    <x v="16"/>
    <n v="3870"/>
    <s v="智慧商務系購置墨水匣供海報印表機用※品名:墨水匣Epson T6922、墨水匣Epson T6925"/>
    <s v="智慧商務系"/>
  </r>
  <r>
    <x v="1"/>
    <s v="1150527"/>
    <s v="T202275"/>
    <s v="510301-3206食品"/>
    <x v="11"/>
    <n v="1320"/>
    <s v="報支躍升計畫用系教評會議便當費，會議日期:115.5.14中午12:00~13:00，參加人數:11人※品名:便當"/>
    <s v="人資系"/>
  </r>
  <r>
    <x v="1"/>
    <s v="1150527"/>
    <s v="T202275"/>
    <s v="510301-3201辦公（事務）用品"/>
    <x v="30"/>
    <n v="2500"/>
    <s v="計畫用印表機耗材※品名:碳粉匣HPCE410XC"/>
    <s v="謝欽旭"/>
  </r>
  <r>
    <x v="1"/>
    <s v="1150527"/>
    <s v="T202275"/>
    <s v="510301-2698其他保險費"/>
    <x v="10"/>
    <n v="300"/>
    <s v="付應德系學生參加全國萊茵盃德語競賽學生保險。※品名:保險費"/>
    <s v="外語學院應用德語系"/>
  </r>
  <r>
    <x v="1"/>
    <s v="1150527"/>
    <s v="T202275"/>
    <s v="510301-4402車租"/>
    <x v="14"/>
    <n v="3500"/>
    <s v="1150513碩博班旅運中心、台灣航業教學參訪交通費※品名:租賃車資"/>
    <s v="航運管理系[楠梓|旗津"/>
  </r>
  <r>
    <x v="1"/>
    <s v="1150527"/>
    <s v="T202275"/>
    <s v="510301-3298其他"/>
    <x v="14"/>
    <n v="3000"/>
    <s v="1150512航空貨運與倉儲智慧化職場體驗計畫企業參訪(許筑婷：2343空運管理資訊系統)※品名:航空貨運與倉儲智慧化職場體驗計畫企業參訪(許筑婷：2343空運管理資訊系統)"/>
    <s v="航運管理系[楠梓|旗津"/>
  </r>
  <r>
    <x v="1"/>
    <s v="1150527"/>
    <s v="T202275"/>
    <s v="510301-3298其他"/>
    <x v="14"/>
    <n v="3000"/>
    <s v="1150513航空貨運與倉儲智慧化職場體驗計畫企業參訪(許筑婷：2343空運管理資訊系統)※品名:航空貨運與倉儲智慧化職場體驗計畫企業參訪(許筑婷：2343空運管理資訊系統)"/>
    <s v="航運管理系[楠梓|旗津"/>
  </r>
  <r>
    <x v="1"/>
    <s v="1150527"/>
    <s v="T202280"/>
    <s v="510301-3201辦公（事務）用品"/>
    <x v="8"/>
    <n v="1290"/>
    <s v="躍升計畫-鼓勵教師申請計畫提升本系整體研究、產學量能_林義屏老師申請115年大專生國科會計畫1件補助5000元，購買麥克風實支1290元。※品名:麥克風"/>
    <s v="供應鏈管理系[楠梓|旗"/>
  </r>
  <r>
    <x v="1"/>
    <s v="1150527"/>
    <s v="T202280"/>
    <s v="510301-4402車租"/>
    <x v="4"/>
    <n v="7350"/>
    <s v="付觀光系115.05.06黃永全老師配合躍升計畫執行地方創生課程帶學生至高雄市小港區校外參訪所需之交通費用。※品名:車資"/>
    <s v="觀光系"/>
  </r>
  <r>
    <x v="1"/>
    <s v="1150527"/>
    <s v="T202280"/>
    <s v="510301-2898其他"/>
    <x v="1"/>
    <n v="2000"/>
    <s v="【躍升計畫】補助學生參加ICIM2026研討會發表論文註冊費(鄭裕庭)-實支※品名:註冊費"/>
    <s v="資訊管理系[第一]"/>
  </r>
  <r>
    <x v="1"/>
    <s v="1150527"/>
    <s v="T202280"/>
    <s v="510301-2898其他"/>
    <x v="1"/>
    <n v="2000"/>
    <s v="【躍升計畫】補助學生參加ICIM2026研討會發表論文註冊費(吳柏諭)-實支※品名:註冊費"/>
    <s v="資訊管理系[第一]"/>
  </r>
  <r>
    <x v="1"/>
    <s v="1150527"/>
    <s v="T202280"/>
    <s v="510301-2898其他"/>
    <x v="1"/>
    <n v="2000"/>
    <s v="【躍升計畫】補助學生參加ICIM2026研討會發表論文註冊費(曾靖捷)-實支※品名:註冊費"/>
    <s v="資訊管理系[第一]"/>
  </r>
  <r>
    <x v="1"/>
    <s v="1150527"/>
    <s v="T202280"/>
    <s v="510301-2898其他"/>
    <x v="1"/>
    <n v="2000"/>
    <s v="【躍升計畫】補助學生參加ICIM2026研討會發表論文註冊費(饒洺瑋)-實支※品名:註冊費"/>
    <s v="資訊管理系[第一]"/>
  </r>
  <r>
    <x v="1"/>
    <s v="1150527"/>
    <s v="T202280"/>
    <s v="510301-2898其他"/>
    <x v="1"/>
    <n v="2000"/>
    <s v="【躍升計畫】補助學生參加ICIM2026研討會發表論文註冊費(林聖哲)-實支※品名:註冊費"/>
    <s v="資訊管理系[第一]"/>
  </r>
  <r>
    <x v="1"/>
    <s v="1150527"/>
    <s v="T202280"/>
    <s v="510301-2898其他"/>
    <x v="1"/>
    <n v="2000"/>
    <s v="【躍升計畫】補助學生參加ICIM2026研討會發表論文註冊費(陳昱全)-實支※品名:註冊費"/>
    <s v="資訊管理系[第一]"/>
  </r>
  <r>
    <x v="1"/>
    <s v="1150527"/>
    <s v="T202280"/>
    <s v="510301-2401印刷及裝訂費"/>
    <x v="28"/>
    <n v="2150"/>
    <s v="114學年第2學期實務專題競賽補助學生海報(實支2150元)※品名:海報"/>
    <s v="電訊工程系"/>
  </r>
  <r>
    <x v="1"/>
    <s v="1150527"/>
    <s v="T202280"/>
    <s v="510301-3201辦公（事務）用品"/>
    <x v="18"/>
    <n v="4000"/>
    <s v="執行計畫用-文具用品※品名:資料夾、壓克力標示架"/>
    <s v="財務管理系"/>
  </r>
  <r>
    <x v="1"/>
    <s v="1150527"/>
    <s v="T202280"/>
    <s v="510301-3201辦公（事務）用品"/>
    <x v="17"/>
    <n v="6474"/>
    <s v="114.2(燕巢)4/30專業學術講座-事務用品※品名:文具"/>
    <s v="會計資訊系"/>
  </r>
  <r>
    <x v="1"/>
    <s v="1150527"/>
    <s v="T202280"/>
    <s v="510301-3201辦公（事務）用品"/>
    <x v="30"/>
    <n v="10000"/>
    <s v="電子零件設備一批※品名:六孔延長線2.7米、充電電池8顆、65W充電器、512GB行動SSD"/>
    <s v="李財福"/>
  </r>
  <r>
    <x v="1"/>
    <s v="1150527"/>
    <s v="T202280"/>
    <s v="510301-3201辦公（事務）用品"/>
    <x v="30"/>
    <n v="1390"/>
    <s v="計畫教學用網路攝影機※品名:羅技網路攝影機"/>
    <s v="謝欽旭"/>
  </r>
  <r>
    <x v="1"/>
    <s v="1150527"/>
    <s v="T202280"/>
    <s v="510301-2810電腦軟體服務費"/>
    <x v="0"/>
    <n v="630"/>
    <s v="購置AI軟體以利學習與研究_姜林杰祐※品名:ChatGPT訂閱(0418-0518)"/>
    <s v="金融資訊系"/>
  </r>
  <r>
    <x v="1"/>
    <s v="1150527"/>
    <s v="T202280"/>
    <s v="510301-3204化學藥劑與實驗用品"/>
    <x v="22"/>
    <n v="650"/>
    <s v="製作專題實驗用耗材※品名:電子零件-金屬皮膜電容、8腳IC座...等、可充電鋰電池、迷你搖頭開關...等、電子零件-小扁搖頭開關、高速二極體...等"/>
    <s v="半導體工程系"/>
  </r>
  <r>
    <x v="1"/>
    <s v="1150527"/>
    <s v="T202280"/>
    <s v="510301-2401印刷及裝訂費"/>
    <x v="22"/>
    <n v="360"/>
    <s v="製作專題實驗及競賽用耗材※品名:印刷品、氣閥轉接頭、快速接頭等、鈕扣電池充電器"/>
    <s v="半導體工程系"/>
  </r>
  <r>
    <x v="1"/>
    <s v="1150527"/>
    <s v="T202280"/>
    <s v="510301-3102物料"/>
    <x v="22"/>
    <n v="521"/>
    <s v="製作專題實驗及競賽用耗材※品名:印刷品、氣閥轉接頭、快速接頭等、鈕扣電池充電器"/>
    <s v="半導體工程系"/>
  </r>
  <r>
    <x v="1"/>
    <s v="1150527"/>
    <s v="T202280"/>
    <s v="510301-3204化學藥劑與實驗用品"/>
    <x v="22"/>
    <n v="883"/>
    <s v="製作專題實驗用耗材※品名:LED紅兩顆裝、文件夾、玻璃紙等、定時器、二極體等、電流計、能量收集器模組"/>
    <s v="半導體工程系"/>
  </r>
  <r>
    <x v="1"/>
    <s v="1150527"/>
    <s v="T202280"/>
    <s v="510301-3204化學藥劑與實驗用品"/>
    <x v="22"/>
    <n v="766"/>
    <s v="製作專題實驗用耗材※品名:碳鋅電池、電子零件-電容、IC座、熱縮管..等、電子零件-二極體、光敏電阻、熱縮管等、電子零件-轉接板、反向觸發器..等、電子零件-電容..等"/>
    <s v="半導體工程系"/>
  </r>
  <r>
    <x v="1"/>
    <s v="1150527"/>
    <s v="T202280"/>
    <s v="510301-2401印刷及裝訂費"/>
    <x v="22"/>
    <n v="886"/>
    <s v="製作專題實驗用耗材※品名:影印、轉接器"/>
    <s v="半導體工程系"/>
  </r>
  <r>
    <x v="1"/>
    <s v="1150527"/>
    <s v="T202280"/>
    <s v="510301-3204化學藥劑與實驗用品"/>
    <x v="22"/>
    <n v="995"/>
    <s v="製作專題實驗用耗材※品名:影印、轉接器"/>
    <s v="半導體工程系"/>
  </r>
  <r>
    <x v="1"/>
    <s v="1150527"/>
    <s v="T202280"/>
    <s v="510301-3201辦公（事務）用品"/>
    <x v="22"/>
    <n v="1200"/>
    <s v="製作專題實驗用耗材※品名:碳粉收集盒"/>
    <s v="半導體工程系"/>
  </r>
  <r>
    <x v="1"/>
    <s v="1150527"/>
    <s v="T202280"/>
    <s v="510301-2810電腦軟體服務費"/>
    <x v="11"/>
    <n v="690"/>
    <s v="報支執行躍升計畫教學用董玉娟老師5月ChatGpt使用費※品名:5月份chat gpt"/>
    <s v="人資系"/>
  </r>
  <r>
    <x v="1"/>
    <s v="1150527"/>
    <s v="T202280"/>
    <s v="510301-3201辦公（事務）用品"/>
    <x v="27"/>
    <n v="3476"/>
    <s v="配合躍升計畫, 儲存活動資料之行動硬碟※品名:1TB行動硬碟"/>
    <s v="企管系"/>
  </r>
  <r>
    <x v="1"/>
    <s v="1150527"/>
    <s v="T202281"/>
    <s v="510301-3201辦公（事務）用品"/>
    <x v="11"/>
    <n v="545"/>
    <s v="報支躍升計畫教學用文具一批※品名:文具"/>
    <s v="人資系"/>
  </r>
  <r>
    <x v="1"/>
    <s v="1150527"/>
    <s v="T202281"/>
    <s v="510301-3201辦公（事務）用品"/>
    <x v="25"/>
    <n v="1699"/>
    <s v="執行計畫用事務用品/文具用品(王亮云老師)※品名:事務用品、鹼性電池、A4補充頁、筆記本、文具]"/>
    <s v="運籌管理系[第一]"/>
  </r>
  <r>
    <x v="1"/>
    <s v="1150527"/>
    <s v="T202282"/>
    <s v="510301-720601獎助學員生給與"/>
    <x v="1"/>
    <n v="2935"/>
    <s v="【躍升計畫】補助學生參加ICIM2026研討會發表論文交通費(曾靖捷)-高鐵左營站-台北站來回(非當日來回)"/>
    <s v="資訊管理系[第一]"/>
  </r>
  <r>
    <x v="1"/>
    <s v="1150527"/>
    <s v="T202282"/>
    <s v="510301-720601獎助學員生給與"/>
    <x v="1"/>
    <n v="2980"/>
    <s v="【躍升計畫】補助學生參加ICIM2026研討會發表論文交通費(林聖哲)-高鐵左營站-台北站來回-實支(回程僅核銷台北站至左營站票價)"/>
    <s v="資訊管理系[第一]"/>
  </r>
  <r>
    <x v="1"/>
    <s v="1150527"/>
    <s v="T202282"/>
    <s v="510301-720601獎助學員生給與"/>
    <x v="1"/>
    <n v="2980"/>
    <s v="【躍升計畫】補助學生參加ICIM2026研討會發表論文交通費(陳昱全)-高鐵左營站-台北站來回-實支(回程僅核銷台北站至左營站票價)"/>
    <s v="資訊管理系[第一]"/>
  </r>
  <r>
    <x v="1"/>
    <s v="1150527"/>
    <s v="T202282"/>
    <s v="510301-720601獎助學員生給與"/>
    <x v="1"/>
    <n v="2980"/>
    <s v="【躍升計畫】補助學生參加ICIM2026研討會發表論文交通費(饒洺瑋)-高鐵左營站-台北站來回"/>
    <s v="資訊管理系[第一]"/>
  </r>
  <r>
    <x v="1"/>
    <s v="1150527"/>
    <s v="T202282"/>
    <s v="510301-720601獎助學員生給與"/>
    <x v="1"/>
    <n v="2980"/>
    <s v="【躍升計畫】補助學生參加ICIM2026研討會發表論文交通費(吳柏諭)-高鐵左營站-台北站來回"/>
    <s v="資訊管理系[第一]"/>
  </r>
  <r>
    <x v="1"/>
    <s v="1150527"/>
    <s v="T202282"/>
    <s v="510301-720601獎助學員生給與"/>
    <x v="1"/>
    <n v="2980"/>
    <s v="【躍升計畫】補助學生參加ICIM2026研討會發表論文交通費(鄭裕庭)-高鐵左營站-台北站來回-實支(回程僅核銷台北站至左營站票價)"/>
    <s v="資訊管理系[第一]"/>
  </r>
  <r>
    <x v="1"/>
    <s v="1150527"/>
    <s v="T202282"/>
    <s v="510301-4402車租"/>
    <x v="14"/>
    <n v="2337"/>
    <s v="1150513登泰國際物流公司教學參訪交通費(于惠蓉)※品名:交通費"/>
    <s v="航運管理系[楠梓|旗津"/>
  </r>
  <r>
    <x v="1"/>
    <s v="1150527"/>
    <s v="T202282"/>
    <s v="510301-3201辦公（事務）用品"/>
    <x v="17"/>
    <n v="1646"/>
    <s v="執行教學與研究所購文具一批※品名:文具一批(L型多功能A4文件夾, 強力磁鐵等)"/>
    <s v="陳育仁"/>
  </r>
  <r>
    <x v="1"/>
    <s v="1150527"/>
    <s v="T202282"/>
    <s v="510301-3201辦公（事務）用品"/>
    <x v="0"/>
    <n v="5390"/>
    <s v="提升教師研究用雜項用品(雜支)※品名:無線鍵鼠組"/>
    <s v="金融資訊系"/>
  </r>
  <r>
    <x v="1"/>
    <s v="1150527"/>
    <s v="T202286"/>
    <s v="510301-720602獎助學員生給與-國外旅費"/>
    <x v="29"/>
    <n v="19003"/>
    <s v="學生李德祥115年3/26至3/31前往日本東京參加日本春季水產年會之機票及會議註冊費"/>
    <s v="海洋生物技術系"/>
  </r>
  <r>
    <x v="1"/>
    <s v="1150527"/>
    <s v="T202304"/>
    <s v="510301-2301國內旅費"/>
    <x v="2"/>
    <n v="1980"/>
    <s v="差旅費:林威成老師 事由：115/04/16產學合作洽談事宜差旅費。"/>
    <s v="林威成"/>
  </r>
  <r>
    <x v="1"/>
    <s v="1150527"/>
    <s v="T202304"/>
    <s v="510301-2301國內旅費"/>
    <x v="6"/>
    <n v="3155"/>
    <s v="114躍升計畫支應羅雅芬老師參加2026 TaiwanCALL x GLoCALL 國際研討會交通費及住宿費(5/8-5/9)"/>
    <s v="外語學院應用英語系"/>
  </r>
  <r>
    <x v="0"/>
    <s v="1150527"/>
    <s v="未審"/>
    <s v=""/>
    <x v="38"/>
    <n v="2300"/>
    <s v="115年度多功能實習工廠核定之材料費※品名:SKS手絞絲攻M5*0.8、內六角螺絲"/>
    <s v="黃家瑞"/>
  </r>
  <r>
    <x v="0"/>
    <s v="1150527"/>
    <s v="未審"/>
    <s v=""/>
    <x v="3"/>
    <n v="3063"/>
    <s v="工設系114-2學期專題演講講師鐘點費(115/5/27，15：30-17：30 吳志富)"/>
    <s v="工業設計系"/>
  </r>
  <r>
    <x v="0"/>
    <s v="1150527"/>
    <s v="未審"/>
    <s v=""/>
    <x v="10"/>
    <n v="4000"/>
    <s v="推動躍升計畫，補助學生參與全國大專院校日語文聯合盃賽之車資。補助每人500元，8人共補助4000元。名單詳如附件。"/>
    <s v="陳佩君"/>
  </r>
  <r>
    <x v="0"/>
    <s v="1150527"/>
    <s v="未審"/>
    <s v=""/>
    <x v="1"/>
    <n v="1577"/>
    <s v="【躍升計畫】補助學生參加「2026第14屆師生創新圓夢計畫」決賽住宿費(盧宇恩)※品名:住宿費"/>
    <s v="資訊管理系[第一]"/>
  </r>
  <r>
    <x v="0"/>
    <s v="1150527"/>
    <s v="未審"/>
    <s v=""/>
    <x v="1"/>
    <n v="502"/>
    <s v="【躍升計畫】補助學生參加「2026第14屆師生創新圓夢計畫」決賽交通費(盧宇恩)-台鐵區間車楠梓站-斗六站來回(非當天來回)"/>
    <s v="資訊管理系[第一]"/>
  </r>
  <r>
    <x v="0"/>
    <s v="1150527"/>
    <s v="未審"/>
    <s v=""/>
    <x v="32"/>
    <n v="8587"/>
    <s v="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
    <s v="謝承哲"/>
  </r>
  <r>
    <x v="0"/>
    <s v="1150527"/>
    <s v="未審"/>
    <s v=""/>
    <x v="32"/>
    <n v="2039"/>
    <s v="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
    <s v="謝承哲"/>
  </r>
  <r>
    <x v="0"/>
    <s v="1150528"/>
    <s v="未審"/>
    <s v=""/>
    <x v="22"/>
    <n v="8076"/>
    <s v="製作專題實驗用耗材※品名:原廠高容量碳粉匣(黑色)、原廠高容量碳粉匣(黃色)"/>
    <s v="半導體工程系"/>
  </r>
  <r>
    <x v="0"/>
    <s v="1150528"/>
    <s v="未審"/>
    <s v=""/>
    <x v="0"/>
    <n v="632"/>
    <s v="購置AI軟體以利學習與研究_鄭智陽※品名:ChatGPT訂閱(0518-0618)"/>
    <s v="金融資訊系"/>
  </r>
  <r>
    <x v="0"/>
    <s v="1150528"/>
    <s v="未審"/>
    <s v=""/>
    <x v="34"/>
    <n v="300"/>
    <s v="專題競賽海報列印※品名:海報輸出、海報"/>
    <s v="高立衡"/>
  </r>
  <r>
    <x v="0"/>
    <s v="1150528"/>
    <s v="未審"/>
    <s v=""/>
    <x v="3"/>
    <n v="6126"/>
    <s v="工業設計系114學年度系諮詢委員會諮詢委員出席費(共計3人)"/>
    <s v="工業設計系"/>
  </r>
  <r>
    <x v="0"/>
    <s v="1150528"/>
    <s v="未審"/>
    <s v=""/>
    <x v="3"/>
    <n v="1680"/>
    <s v="工設系114學年度系諮詢委員會餐費(115/5/27，中午1200-1400，共計14人)※品名:便當"/>
    <s v="工業設計系"/>
  </r>
  <r>
    <x v="0"/>
    <s v="1150528"/>
    <s v="未審"/>
    <s v=""/>
    <x v="15"/>
    <n v="32702"/>
    <s v="旗津校區/海資系/執行計畫用耗材※品名:KONICA MINOLTA原廠原裝黑色碳粉匣、KONICA MINOLTA原廠原裝黃色碳粉匣、KONICA MINOLTA原廠原裝洋紅色碳粉匣、KONICA MINOLTA原廠原裝青色碳粉匣"/>
    <s v="海事資訊科技系"/>
  </r>
  <r>
    <x v="0"/>
    <s v="1150528"/>
    <s v="未審"/>
    <s v=""/>
    <x v="19"/>
    <n v="32261"/>
    <s v="(楠梓-躍升計畫-商資系)115年5月份工讀金(郭巧玲、錢家敏、吳宜秦)"/>
    <s v="商務資訊應用系"/>
  </r>
  <r>
    <x v="0"/>
    <s v="1150528"/>
    <s v="未審"/>
    <s v=""/>
    <x v="19"/>
    <n v="32741"/>
    <s v="(楠梓-躍升計畫-商資系)115年6月份工讀金(郭巧玲、錢家敏、吳宜秦)"/>
    <s v="商務資訊應用系"/>
  </r>
  <r>
    <x v="0"/>
    <s v="1150528"/>
    <s v="未審"/>
    <s v=""/>
    <x v="43"/>
    <n v="3282"/>
    <s v="海修"/>
    <s v="韓宜庭"/>
  </r>
  <r>
    <x v="0"/>
    <s v="1150529"/>
    <s v="未審"/>
    <s v=""/>
    <x v="0"/>
    <n v="2553"/>
    <s v="張李淑容2026金融科技研討會-主持人暨評論人"/>
    <s v="金融資訊系"/>
  </r>
  <r>
    <x v="0"/>
    <s v="1150529"/>
    <s v="未審"/>
    <s v=""/>
    <x v="35"/>
    <n v="4000"/>
    <s v="2026精密機械與製造科技研討會註冊費※品名:2026 精密機械與製造科技研討會註冊費"/>
    <s v="王民玟"/>
  </r>
  <r>
    <x v="0"/>
    <s v="1150529"/>
    <s v="未審"/>
    <s v=""/>
    <x v="35"/>
    <n v="1347"/>
    <s v="實驗室用※品名:網路線、郵費、電池、協飛無煙鹽酸"/>
    <s v="王民玟"/>
  </r>
  <r>
    <x v="0"/>
    <s v="1150529"/>
    <s v="未審"/>
    <s v=""/>
    <x v="10"/>
    <n v="13201"/>
    <s v="【躍升】應日系躍升5月工讀金1名(陳昕煒)"/>
    <s v="外語學院應用日語系"/>
  </r>
  <r>
    <x v="0"/>
    <s v="1150529"/>
    <s v="未審"/>
    <s v=""/>
    <x v="10"/>
    <n v="2700"/>
    <s v="【躍升】長安靜美教師參加115.4.25台大日本語文學系舉辦之「2026年度國際學術研討會:日語翻譯研究最前線」及4.26「2026年度國際學術研討會:翻譯新視界系列講座」所使用之交通費。"/>
    <s v="外語學院應用日語系"/>
  </r>
  <r>
    <x v="0"/>
    <s v="1150529"/>
    <s v="未審"/>
    <s v=""/>
    <x v="12"/>
    <n v="19755"/>
    <s v="工讀費184小時(13位8時、1位30小時、1位50小時)"/>
    <s v="戴堯種"/>
  </r>
  <r>
    <x v="0"/>
    <s v="1150529"/>
    <s v="未審"/>
    <s v=""/>
    <x v="18"/>
    <n v="20212"/>
    <s v="115年5月工讀金-陳珮珊"/>
    <s v="財務管理系"/>
  </r>
  <r>
    <x v="0"/>
    <s v="1150529"/>
    <s v="未審"/>
    <s v=""/>
    <x v="18"/>
    <n v="19503"/>
    <s v="115年5月工讀金-呂宥萲"/>
    <s v="財務管理系"/>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A6A9BA-E7EF-4E45-BC70-D5185F454065}" name="樞紐分析表4"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J1:K46" firstHeaderRow="1" firstDataRow="1" firstDataCol="1"/>
  <pivotFields count="8">
    <pivotField showAll="0">
      <items count="6">
        <item x="3"/>
        <item x="1"/>
        <item x="0"/>
        <item x="2"/>
        <item x="4"/>
        <item t="default"/>
      </items>
    </pivotField>
    <pivotField showAll="0"/>
    <pivotField showAll="0"/>
    <pivotField showAll="0"/>
    <pivotField axis="axisRow" showAll="0">
      <items count="45">
        <item x="43"/>
        <item x="11"/>
        <item x="9"/>
        <item x="3"/>
        <item x="33"/>
        <item x="34"/>
        <item x="32"/>
        <item x="22"/>
        <item x="27"/>
        <item x="21"/>
        <item x="8"/>
        <item x="0"/>
        <item x="13"/>
        <item x="23"/>
        <item x="42"/>
        <item x="29"/>
        <item x="12"/>
        <item x="15"/>
        <item x="37"/>
        <item x="5"/>
        <item x="14"/>
        <item x="24"/>
        <item x="18"/>
        <item x="19"/>
        <item x="41"/>
        <item x="7"/>
        <item x="16"/>
        <item x="17"/>
        <item x="2"/>
        <item x="1"/>
        <item x="25"/>
        <item x="30"/>
        <item x="36"/>
        <item x="28"/>
        <item x="31"/>
        <item x="20"/>
        <item x="38"/>
        <item x="26"/>
        <item x="40"/>
        <item x="35"/>
        <item x="6"/>
        <item x="10"/>
        <item x="39"/>
        <item x="4"/>
        <item t="default"/>
      </items>
    </pivotField>
    <pivotField dataField="1" numFmtId="3" showAll="0"/>
    <pivotField showAll="0"/>
    <pivotField showAll="0"/>
  </pivotFields>
  <rowFields count="1">
    <field x="4"/>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加總 - 金額"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經費用途" xr10:uid="{08C39942-CC3F-41E2-9E7C-87551C52DF76}" sourceName="經費用途">
  <pivotTables>
    <pivotTable tabId="2" name="樞紐分析表4"/>
  </pivotTables>
  <data>
    <tabular pivotCacheId="74457903">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經費用途" xr10:uid="{81105A98-61D1-4C88-900B-F72749D45B1D}" cache="Slicer_經費用途" caption="經費用途" rowHeight="222250"/>
</slicer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849"/>
  <sheetViews>
    <sheetView tabSelected="1" topLeftCell="A20" zoomScaleNormal="100" workbookViewId="0">
      <selection activeCell="A21" sqref="A21:XFD21"/>
    </sheetView>
  </sheetViews>
  <sheetFormatPr defaultColWidth="9" defaultRowHeight="16.2" x14ac:dyDescent="0.3"/>
  <cols>
    <col min="1" max="1" width="20.6640625" style="2" customWidth="1"/>
    <col min="2" max="3" width="18.6640625" style="2" customWidth="1"/>
    <col min="4" max="4" width="21" style="21" customWidth="1"/>
    <col min="5" max="5" width="20" style="7" customWidth="1"/>
    <col min="6" max="6" width="15.6640625" style="18" customWidth="1"/>
    <col min="7" max="8" width="15.6640625" style="10" customWidth="1"/>
    <col min="9" max="9" width="15.44140625" style="10" customWidth="1"/>
    <col min="10" max="10" width="20.6640625" style="10" customWidth="1"/>
    <col min="11" max="11" width="12.88671875" style="2" bestFit="1" customWidth="1"/>
    <col min="12" max="16384" width="9" style="2"/>
  </cols>
  <sheetData>
    <row r="1" spans="1:13" x14ac:dyDescent="0.3">
      <c r="A1" s="2" t="s">
        <v>0</v>
      </c>
      <c r="D1" s="7"/>
      <c r="F1" s="10"/>
    </row>
    <row r="2" spans="1:13" ht="28.2" x14ac:dyDescent="0.3">
      <c r="A2" s="51" t="s">
        <v>1</v>
      </c>
      <c r="B2" s="51"/>
      <c r="C2" s="51"/>
      <c r="D2" s="51"/>
      <c r="E2" s="51"/>
      <c r="F2" s="51"/>
      <c r="G2" s="51"/>
      <c r="H2" s="51"/>
      <c r="I2" s="51"/>
      <c r="J2" s="51"/>
    </row>
    <row r="3" spans="1:13" ht="28.2" x14ac:dyDescent="0.3">
      <c r="A3" s="51" t="s">
        <v>2</v>
      </c>
      <c r="B3" s="51"/>
      <c r="C3" s="51"/>
      <c r="D3" s="51"/>
      <c r="E3" s="51"/>
      <c r="F3" s="51"/>
      <c r="G3" s="51"/>
      <c r="H3" s="51"/>
      <c r="I3" s="51"/>
      <c r="J3" s="51"/>
    </row>
    <row r="4" spans="1:13" ht="48.6" x14ac:dyDescent="0.3">
      <c r="D4" s="2"/>
      <c r="E4" s="2"/>
      <c r="F4" s="2"/>
      <c r="G4" s="2"/>
      <c r="H4" s="2"/>
      <c r="I4" s="2"/>
      <c r="J4" s="13" t="s">
        <v>3</v>
      </c>
    </row>
    <row r="5" spans="1:13" x14ac:dyDescent="0.3">
      <c r="A5" s="8" t="s">
        <v>4</v>
      </c>
      <c r="B5" s="52" t="s">
        <v>5</v>
      </c>
      <c r="C5" s="52"/>
      <c r="D5" s="52"/>
      <c r="E5" s="52"/>
      <c r="F5" s="9" t="s">
        <v>6</v>
      </c>
      <c r="G5" s="52" t="s">
        <v>7</v>
      </c>
      <c r="H5" s="52"/>
      <c r="I5" s="52"/>
      <c r="J5" s="52"/>
    </row>
    <row r="6" spans="1:13" x14ac:dyDescent="0.3">
      <c r="A6" s="8" t="s">
        <v>8</v>
      </c>
      <c r="B6" s="53" t="s">
        <v>7</v>
      </c>
      <c r="C6" s="54"/>
      <c r="D6" s="54"/>
      <c r="E6" s="55"/>
      <c r="F6" s="9" t="s">
        <v>9</v>
      </c>
      <c r="G6" s="52" t="s">
        <v>10</v>
      </c>
      <c r="H6" s="52"/>
      <c r="I6" s="52"/>
      <c r="J6" s="52"/>
    </row>
    <row r="7" spans="1:13" x14ac:dyDescent="0.3">
      <c r="A7" s="48" t="s">
        <v>11</v>
      </c>
      <c r="B7" s="50" t="s">
        <v>12</v>
      </c>
      <c r="C7" s="50"/>
      <c r="D7" s="50"/>
      <c r="E7" s="50"/>
      <c r="F7" s="50"/>
      <c r="G7" s="50"/>
      <c r="H7" s="50"/>
      <c r="I7" s="50"/>
      <c r="J7" s="50"/>
    </row>
    <row r="8" spans="1:13" x14ac:dyDescent="0.3">
      <c r="A8" s="49"/>
      <c r="B8" s="50"/>
      <c r="C8" s="50"/>
      <c r="D8" s="50"/>
      <c r="E8" s="50"/>
      <c r="F8" s="50"/>
      <c r="G8" s="50"/>
      <c r="H8" s="50"/>
      <c r="I8" s="50"/>
      <c r="J8" s="50"/>
    </row>
    <row r="9" spans="1:13" x14ac:dyDescent="0.3">
      <c r="A9" s="8" t="s">
        <v>13</v>
      </c>
      <c r="B9" s="50" t="s">
        <v>14</v>
      </c>
      <c r="C9" s="50"/>
      <c r="D9" s="50"/>
      <c r="E9" s="50"/>
      <c r="F9" s="9" t="s">
        <v>15</v>
      </c>
      <c r="G9" s="52" t="s">
        <v>10</v>
      </c>
      <c r="H9" s="52"/>
      <c r="I9" s="52"/>
      <c r="J9" s="52"/>
    </row>
    <row r="10" spans="1:13" x14ac:dyDescent="0.3">
      <c r="A10" s="8" t="s">
        <v>16</v>
      </c>
      <c r="B10" s="8" t="s">
        <v>17</v>
      </c>
      <c r="C10" s="8" t="s">
        <v>18</v>
      </c>
      <c r="D10" s="6" t="s">
        <v>19</v>
      </c>
      <c r="E10" s="9" t="s">
        <v>20</v>
      </c>
      <c r="F10" s="9" t="s">
        <v>21</v>
      </c>
      <c r="G10" s="9" t="s">
        <v>22</v>
      </c>
      <c r="H10" s="9" t="s">
        <v>23</v>
      </c>
      <c r="I10" s="56" t="s">
        <v>24</v>
      </c>
      <c r="J10" s="58"/>
    </row>
    <row r="11" spans="1:13" ht="32.4" x14ac:dyDescent="0.3">
      <c r="A11" s="11" t="s">
        <v>25</v>
      </c>
      <c r="B11" s="4">
        <v>18739066</v>
      </c>
      <c r="C11" s="4">
        <v>5746423</v>
      </c>
      <c r="D11" s="4">
        <v>0</v>
      </c>
      <c r="E11" s="4">
        <v>1290591</v>
      </c>
      <c r="F11" s="4">
        <v>0</v>
      </c>
      <c r="G11" s="4">
        <v>257859</v>
      </c>
      <c r="H11" s="3">
        <f>B11-C11-D11-E11-F11-G11</f>
        <v>11444193</v>
      </c>
      <c r="I11" s="59">
        <f>IF(B11,(C11/B11)*100,0)</f>
        <v>30.665471800995846</v>
      </c>
      <c r="J11" s="60"/>
      <c r="K11" s="7">
        <f>B11-H11</f>
        <v>7294873</v>
      </c>
      <c r="L11" s="33">
        <f>K11/B11</f>
        <v>0.38928690469418276</v>
      </c>
    </row>
    <row r="12" spans="1:13" x14ac:dyDescent="0.3">
      <c r="A12" s="8" t="s">
        <v>26</v>
      </c>
      <c r="B12" s="4">
        <v>18739066</v>
      </c>
      <c r="C12" s="4">
        <v>5746423</v>
      </c>
      <c r="D12" s="4">
        <v>0</v>
      </c>
      <c r="E12" s="4">
        <v>1290591</v>
      </c>
      <c r="F12" s="4">
        <v>0</v>
      </c>
      <c r="G12" s="4">
        <v>257859</v>
      </c>
      <c r="H12" s="5">
        <f>B12-C12-D12-E12-F12-G12-F13</f>
        <v>11444193</v>
      </c>
      <c r="I12" s="59">
        <f>IF(B12,(C12/B12)*100,0)</f>
        <v>30.665471800995846</v>
      </c>
      <c r="J12" s="60"/>
      <c r="K12" s="7"/>
    </row>
    <row r="13" spans="1:13" x14ac:dyDescent="0.3">
      <c r="A13" s="8" t="s">
        <v>27</v>
      </c>
      <c r="B13" s="4">
        <v>0</v>
      </c>
      <c r="C13" s="8" t="s">
        <v>28</v>
      </c>
      <c r="D13" s="4">
        <v>0</v>
      </c>
      <c r="E13" s="4"/>
      <c r="F13" s="19"/>
      <c r="G13" s="4"/>
      <c r="H13" s="14"/>
      <c r="I13" s="9"/>
      <c r="J13" s="4"/>
    </row>
    <row r="14" spans="1:13" x14ac:dyDescent="0.3">
      <c r="A14" s="8" t="s">
        <v>29</v>
      </c>
      <c r="B14" s="17">
        <v>0</v>
      </c>
      <c r="C14" s="8"/>
      <c r="D14" s="17"/>
      <c r="E14" s="17"/>
      <c r="F14" s="20"/>
      <c r="G14" s="20"/>
      <c r="H14" s="15"/>
      <c r="I14" s="9" t="s">
        <v>30</v>
      </c>
      <c r="J14" s="16">
        <v>-7294873</v>
      </c>
    </row>
    <row r="15" spans="1:13" x14ac:dyDescent="0.3">
      <c r="B15" s="10"/>
      <c r="D15" s="7"/>
      <c r="F15" s="10"/>
    </row>
    <row r="16" spans="1:13" x14ac:dyDescent="0.3">
      <c r="A16" s="8" t="s">
        <v>16</v>
      </c>
      <c r="B16" s="8" t="s">
        <v>31</v>
      </c>
      <c r="C16" s="8" t="s">
        <v>32</v>
      </c>
      <c r="D16" s="6" t="s">
        <v>33</v>
      </c>
      <c r="E16" s="12" t="s">
        <v>34</v>
      </c>
      <c r="F16" s="9" t="s">
        <v>35</v>
      </c>
      <c r="G16" s="56" t="s">
        <v>36</v>
      </c>
      <c r="H16" s="57"/>
      <c r="I16" s="9" t="s">
        <v>37</v>
      </c>
      <c r="J16" s="9" t="s">
        <v>38</v>
      </c>
      <c r="K16" s="10"/>
      <c r="L16" s="10"/>
      <c r="M16" s="10"/>
    </row>
    <row r="17" spans="1:10" x14ac:dyDescent="0.3">
      <c r="A17" s="25" t="s">
        <v>39</v>
      </c>
      <c r="B17" s="22"/>
      <c r="C17" s="22"/>
      <c r="D17" s="23"/>
      <c r="E17" s="22"/>
      <c r="F17" s="24"/>
      <c r="G17" s="23"/>
      <c r="H17" s="23"/>
      <c r="I17" s="23"/>
      <c r="J17" s="23"/>
    </row>
    <row r="18" spans="1:10" x14ac:dyDescent="0.3">
      <c r="B18" s="29" t="s">
        <v>40</v>
      </c>
      <c r="C18" s="44" t="s">
        <v>41</v>
      </c>
      <c r="D18" s="45"/>
      <c r="E18" s="46"/>
      <c r="F18" s="47"/>
      <c r="G18" s="44"/>
      <c r="H18" s="44"/>
      <c r="I18" s="44"/>
      <c r="J18" s="44"/>
    </row>
    <row r="19" spans="1:10" x14ac:dyDescent="0.3">
      <c r="A19" s="25" t="s">
        <v>42</v>
      </c>
      <c r="B19" s="22"/>
      <c r="C19" s="22"/>
      <c r="D19" s="30"/>
      <c r="E19" s="31"/>
      <c r="F19" s="24"/>
      <c r="G19" s="23"/>
      <c r="H19" s="23"/>
      <c r="I19" s="23"/>
      <c r="J19" s="23"/>
    </row>
    <row r="20" spans="1:10" x14ac:dyDescent="0.3">
      <c r="B20" s="29" t="s">
        <v>40</v>
      </c>
      <c r="C20" s="44" t="s">
        <v>43</v>
      </c>
      <c r="D20" s="45"/>
      <c r="E20" s="46"/>
      <c r="F20" s="47"/>
      <c r="G20" s="44"/>
      <c r="H20" s="44"/>
      <c r="I20" s="44"/>
      <c r="J20" s="44"/>
    </row>
    <row r="21" spans="1:10" x14ac:dyDescent="0.3">
      <c r="A21" s="25" t="s">
        <v>25</v>
      </c>
      <c r="B21" s="22"/>
      <c r="C21" s="22"/>
      <c r="D21" s="30"/>
      <c r="E21" s="31"/>
      <c r="F21" s="24"/>
      <c r="G21" s="23"/>
      <c r="H21" s="23"/>
      <c r="I21" s="23"/>
      <c r="J21" s="23"/>
    </row>
    <row r="22" spans="1:10" x14ac:dyDescent="0.3">
      <c r="A22" s="2" t="s">
        <v>44</v>
      </c>
      <c r="B22" s="26" t="s">
        <v>45</v>
      </c>
      <c r="C22" s="26" t="s">
        <v>46</v>
      </c>
      <c r="D22" s="28" t="s">
        <v>7</v>
      </c>
      <c r="E22" s="28" t="s">
        <v>47</v>
      </c>
      <c r="F22" s="32">
        <v>37429</v>
      </c>
      <c r="G22" s="44" t="s">
        <v>48</v>
      </c>
      <c r="H22" s="44"/>
      <c r="I22" s="27" t="s">
        <v>49</v>
      </c>
      <c r="J22" s="27" t="s">
        <v>7</v>
      </c>
    </row>
    <row r="23" spans="1:10" x14ac:dyDescent="0.3">
      <c r="A23" s="2" t="s">
        <v>44</v>
      </c>
      <c r="B23" s="26" t="s">
        <v>45</v>
      </c>
      <c r="C23" s="26" t="s">
        <v>46</v>
      </c>
      <c r="D23" s="28" t="s">
        <v>7</v>
      </c>
      <c r="E23" s="28" t="s">
        <v>50</v>
      </c>
      <c r="F23" s="32">
        <v>37625</v>
      </c>
      <c r="G23" s="44" t="s">
        <v>51</v>
      </c>
      <c r="H23" s="44"/>
      <c r="I23" s="27" t="s">
        <v>49</v>
      </c>
      <c r="J23" s="27" t="s">
        <v>7</v>
      </c>
    </row>
    <row r="24" spans="1:10" ht="32.4" x14ac:dyDescent="0.3">
      <c r="A24" s="2" t="s">
        <v>52</v>
      </c>
      <c r="B24" s="26" t="s">
        <v>53</v>
      </c>
      <c r="C24" s="26" t="s">
        <v>54</v>
      </c>
      <c r="D24" s="28" t="s">
        <v>55</v>
      </c>
      <c r="E24" s="28" t="s">
        <v>56</v>
      </c>
      <c r="F24" s="32">
        <v>3660</v>
      </c>
      <c r="G24" s="44" t="s">
        <v>57</v>
      </c>
      <c r="H24" s="44"/>
      <c r="I24" s="27" t="s">
        <v>58</v>
      </c>
      <c r="J24" s="27" t="s">
        <v>7</v>
      </c>
    </row>
    <row r="25" spans="1:10" ht="32.4" x14ac:dyDescent="0.3">
      <c r="A25" s="2" t="s">
        <v>52</v>
      </c>
      <c r="B25" s="26" t="s">
        <v>53</v>
      </c>
      <c r="C25" s="26" t="s">
        <v>54</v>
      </c>
      <c r="D25" s="28" t="s">
        <v>55</v>
      </c>
      <c r="E25" s="28" t="s">
        <v>59</v>
      </c>
      <c r="F25" s="32">
        <v>2460</v>
      </c>
      <c r="G25" s="44" t="s">
        <v>60</v>
      </c>
      <c r="H25" s="44"/>
      <c r="I25" s="27" t="s">
        <v>58</v>
      </c>
      <c r="J25" s="27" t="s">
        <v>7</v>
      </c>
    </row>
    <row r="26" spans="1:10" x14ac:dyDescent="0.3">
      <c r="A26" s="2" t="s">
        <v>52</v>
      </c>
      <c r="B26" s="26" t="s">
        <v>53</v>
      </c>
      <c r="C26" s="26" t="s">
        <v>61</v>
      </c>
      <c r="D26" s="28" t="s">
        <v>62</v>
      </c>
      <c r="E26" s="28" t="s">
        <v>63</v>
      </c>
      <c r="F26" s="32">
        <v>44000</v>
      </c>
      <c r="G26" s="44" t="s">
        <v>64</v>
      </c>
      <c r="H26" s="44"/>
      <c r="I26" s="27" t="s">
        <v>65</v>
      </c>
      <c r="J26" s="27" t="s">
        <v>7</v>
      </c>
    </row>
    <row r="27" spans="1:10" ht="32.4" x14ac:dyDescent="0.3">
      <c r="A27" s="2" t="s">
        <v>52</v>
      </c>
      <c r="B27" s="26" t="s">
        <v>53</v>
      </c>
      <c r="C27" s="26" t="s">
        <v>66</v>
      </c>
      <c r="D27" s="28" t="s">
        <v>67</v>
      </c>
      <c r="E27" s="28" t="s">
        <v>68</v>
      </c>
      <c r="F27" s="32">
        <v>10236</v>
      </c>
      <c r="G27" s="44" t="s">
        <v>69</v>
      </c>
      <c r="H27" s="44"/>
      <c r="I27" s="27" t="s">
        <v>70</v>
      </c>
      <c r="J27" s="27" t="s">
        <v>7</v>
      </c>
    </row>
    <row r="28" spans="1:10" x14ac:dyDescent="0.3">
      <c r="A28" s="2" t="s">
        <v>52</v>
      </c>
      <c r="B28" s="26" t="s">
        <v>53</v>
      </c>
      <c r="C28" s="26" t="s">
        <v>71</v>
      </c>
      <c r="D28" s="28" t="s">
        <v>62</v>
      </c>
      <c r="E28" s="28" t="s">
        <v>72</v>
      </c>
      <c r="F28" s="32">
        <v>32003</v>
      </c>
      <c r="G28" s="44" t="s">
        <v>73</v>
      </c>
      <c r="H28" s="44"/>
      <c r="I28" s="27" t="s">
        <v>74</v>
      </c>
      <c r="J28" s="27" t="s">
        <v>7</v>
      </c>
    </row>
    <row r="29" spans="1:10" x14ac:dyDescent="0.3">
      <c r="A29" s="2" t="s">
        <v>52</v>
      </c>
      <c r="B29" s="26" t="s">
        <v>53</v>
      </c>
      <c r="C29" s="26" t="s">
        <v>75</v>
      </c>
      <c r="D29" s="28" t="s">
        <v>76</v>
      </c>
      <c r="E29" s="28" t="s">
        <v>77</v>
      </c>
      <c r="F29" s="32">
        <v>10815</v>
      </c>
      <c r="G29" s="44" t="s">
        <v>78</v>
      </c>
      <c r="H29" s="44"/>
      <c r="I29" s="27" t="s">
        <v>79</v>
      </c>
      <c r="J29" s="27" t="s">
        <v>7</v>
      </c>
    </row>
    <row r="30" spans="1:10" ht="32.4" x14ac:dyDescent="0.3">
      <c r="A30" s="2" t="s">
        <v>52</v>
      </c>
      <c r="B30" s="26" t="s">
        <v>53</v>
      </c>
      <c r="C30" s="26" t="s">
        <v>80</v>
      </c>
      <c r="D30" s="28" t="s">
        <v>81</v>
      </c>
      <c r="E30" s="28" t="s">
        <v>82</v>
      </c>
      <c r="F30" s="32">
        <v>6597</v>
      </c>
      <c r="G30" s="44" t="s">
        <v>83</v>
      </c>
      <c r="H30" s="44"/>
      <c r="I30" s="27" t="s">
        <v>84</v>
      </c>
      <c r="J30" s="27" t="s">
        <v>7</v>
      </c>
    </row>
    <row r="31" spans="1:10" ht="32.4" x14ac:dyDescent="0.3">
      <c r="A31" s="2" t="s">
        <v>52</v>
      </c>
      <c r="B31" s="26" t="s">
        <v>53</v>
      </c>
      <c r="C31" s="26" t="s">
        <v>85</v>
      </c>
      <c r="D31" s="28" t="s">
        <v>81</v>
      </c>
      <c r="E31" s="28" t="s">
        <v>86</v>
      </c>
      <c r="F31" s="32">
        <v>3287</v>
      </c>
      <c r="G31" s="44" t="s">
        <v>87</v>
      </c>
      <c r="H31" s="44"/>
      <c r="I31" s="27" t="s">
        <v>84</v>
      </c>
      <c r="J31" s="27" t="s">
        <v>7</v>
      </c>
    </row>
    <row r="32" spans="1:10" ht="32.4" x14ac:dyDescent="0.3">
      <c r="A32" s="2" t="s">
        <v>52</v>
      </c>
      <c r="B32" s="26" t="s">
        <v>53</v>
      </c>
      <c r="C32" s="26" t="s">
        <v>88</v>
      </c>
      <c r="D32" s="28" t="s">
        <v>81</v>
      </c>
      <c r="E32" s="28" t="s">
        <v>89</v>
      </c>
      <c r="F32" s="32">
        <v>2481</v>
      </c>
      <c r="G32" s="44" t="s">
        <v>90</v>
      </c>
      <c r="H32" s="44"/>
      <c r="I32" s="27" t="s">
        <v>84</v>
      </c>
      <c r="J32" s="27" t="s">
        <v>7</v>
      </c>
    </row>
    <row r="33" spans="1:10" ht="32.4" x14ac:dyDescent="0.3">
      <c r="A33" s="2" t="s">
        <v>52</v>
      </c>
      <c r="B33" s="26" t="s">
        <v>53</v>
      </c>
      <c r="C33" s="26" t="s">
        <v>91</v>
      </c>
      <c r="D33" s="28" t="s">
        <v>81</v>
      </c>
      <c r="E33" s="28" t="s">
        <v>92</v>
      </c>
      <c r="F33" s="32">
        <v>3181</v>
      </c>
      <c r="G33" s="44" t="s">
        <v>93</v>
      </c>
      <c r="H33" s="44"/>
      <c r="I33" s="27" t="s">
        <v>94</v>
      </c>
      <c r="J33" s="27" t="s">
        <v>7</v>
      </c>
    </row>
    <row r="34" spans="1:10" ht="32.4" x14ac:dyDescent="0.3">
      <c r="A34" s="2" t="s">
        <v>52</v>
      </c>
      <c r="B34" s="26" t="s">
        <v>53</v>
      </c>
      <c r="C34" s="26" t="s">
        <v>95</v>
      </c>
      <c r="D34" s="28" t="s">
        <v>81</v>
      </c>
      <c r="E34" s="28" t="s">
        <v>96</v>
      </c>
      <c r="F34" s="32">
        <v>3287</v>
      </c>
      <c r="G34" s="44" t="s">
        <v>97</v>
      </c>
      <c r="H34" s="44"/>
      <c r="I34" s="27" t="s">
        <v>98</v>
      </c>
      <c r="J34" s="27" t="s">
        <v>7</v>
      </c>
    </row>
    <row r="35" spans="1:10" ht="32.4" x14ac:dyDescent="0.3">
      <c r="A35" s="2" t="s">
        <v>52</v>
      </c>
      <c r="B35" s="26" t="s">
        <v>53</v>
      </c>
      <c r="C35" s="26" t="s">
        <v>99</v>
      </c>
      <c r="D35" s="28" t="s">
        <v>81</v>
      </c>
      <c r="E35" s="28" t="s">
        <v>100</v>
      </c>
      <c r="F35" s="32">
        <v>3771</v>
      </c>
      <c r="G35" s="44" t="s">
        <v>101</v>
      </c>
      <c r="H35" s="44"/>
      <c r="I35" s="27" t="s">
        <v>102</v>
      </c>
      <c r="J35" s="27" t="s">
        <v>7</v>
      </c>
    </row>
    <row r="36" spans="1:10" ht="32.4" x14ac:dyDescent="0.3">
      <c r="A36" s="2" t="s">
        <v>52</v>
      </c>
      <c r="B36" s="26" t="s">
        <v>53</v>
      </c>
      <c r="C36" s="26" t="s">
        <v>103</v>
      </c>
      <c r="D36" s="28" t="s">
        <v>81</v>
      </c>
      <c r="E36" s="28" t="s">
        <v>104</v>
      </c>
      <c r="F36" s="32">
        <v>11709</v>
      </c>
      <c r="G36" s="44" t="s">
        <v>105</v>
      </c>
      <c r="H36" s="44"/>
      <c r="I36" s="27" t="s">
        <v>84</v>
      </c>
      <c r="J36" s="27" t="s">
        <v>7</v>
      </c>
    </row>
    <row r="37" spans="1:10" ht="32.4" x14ac:dyDescent="0.3">
      <c r="A37" s="2" t="s">
        <v>52</v>
      </c>
      <c r="B37" s="26" t="s">
        <v>53</v>
      </c>
      <c r="C37" s="26" t="s">
        <v>106</v>
      </c>
      <c r="D37" s="28" t="s">
        <v>81</v>
      </c>
      <c r="E37" s="28" t="s">
        <v>107</v>
      </c>
      <c r="F37" s="32">
        <v>6597</v>
      </c>
      <c r="G37" s="44" t="s">
        <v>108</v>
      </c>
      <c r="H37" s="44"/>
      <c r="I37" s="27" t="s">
        <v>84</v>
      </c>
      <c r="J37" s="27" t="s">
        <v>7</v>
      </c>
    </row>
    <row r="38" spans="1:10" ht="48.6" x14ac:dyDescent="0.3">
      <c r="A38" s="2" t="s">
        <v>52</v>
      </c>
      <c r="B38" s="26" t="s">
        <v>53</v>
      </c>
      <c r="C38" s="26" t="s">
        <v>109</v>
      </c>
      <c r="D38" s="28" t="s">
        <v>110</v>
      </c>
      <c r="E38" s="28" t="s">
        <v>111</v>
      </c>
      <c r="F38" s="32">
        <v>4084</v>
      </c>
      <c r="G38" s="44" t="s">
        <v>112</v>
      </c>
      <c r="H38" s="44"/>
      <c r="I38" s="27" t="s">
        <v>49</v>
      </c>
      <c r="J38" s="27" t="s">
        <v>7</v>
      </c>
    </row>
    <row r="39" spans="1:10" x14ac:dyDescent="0.3">
      <c r="A39" s="2" t="s">
        <v>52</v>
      </c>
      <c r="B39" s="26" t="s">
        <v>113</v>
      </c>
      <c r="C39" s="26" t="s">
        <v>114</v>
      </c>
      <c r="D39" s="28" t="s">
        <v>115</v>
      </c>
      <c r="E39" s="28" t="s">
        <v>116</v>
      </c>
      <c r="F39" s="32">
        <v>79000</v>
      </c>
      <c r="G39" s="44" t="s">
        <v>117</v>
      </c>
      <c r="H39" s="44"/>
      <c r="I39" s="27" t="s">
        <v>118</v>
      </c>
      <c r="J39" s="27" t="s">
        <v>7</v>
      </c>
    </row>
    <row r="40" spans="1:10" ht="32.4" x14ac:dyDescent="0.3">
      <c r="A40" s="2" t="s">
        <v>52</v>
      </c>
      <c r="B40" s="26" t="s">
        <v>119</v>
      </c>
      <c r="C40" s="26" t="s">
        <v>120</v>
      </c>
      <c r="D40" s="28" t="s">
        <v>121</v>
      </c>
      <c r="E40" s="28" t="s">
        <v>122</v>
      </c>
      <c r="F40" s="32">
        <v>5000</v>
      </c>
      <c r="G40" s="44" t="s">
        <v>123</v>
      </c>
      <c r="H40" s="44"/>
      <c r="I40" s="27" t="s">
        <v>84</v>
      </c>
      <c r="J40" s="27" t="s">
        <v>7</v>
      </c>
    </row>
    <row r="41" spans="1:10" x14ac:dyDescent="0.3">
      <c r="A41" s="2" t="s">
        <v>52</v>
      </c>
      <c r="B41" s="26" t="s">
        <v>119</v>
      </c>
      <c r="C41" s="26" t="s">
        <v>120</v>
      </c>
      <c r="D41" s="28" t="s">
        <v>124</v>
      </c>
      <c r="E41" s="28" t="s">
        <v>125</v>
      </c>
      <c r="F41" s="32">
        <v>340</v>
      </c>
      <c r="G41" s="44" t="s">
        <v>126</v>
      </c>
      <c r="H41" s="44"/>
      <c r="I41" s="27" t="s">
        <v>127</v>
      </c>
      <c r="J41" s="27" t="s">
        <v>7</v>
      </c>
    </row>
    <row r="42" spans="1:10" x14ac:dyDescent="0.3">
      <c r="A42" s="2" t="s">
        <v>52</v>
      </c>
      <c r="B42" s="26" t="s">
        <v>119</v>
      </c>
      <c r="C42" s="26" t="s">
        <v>120</v>
      </c>
      <c r="D42" s="28" t="s">
        <v>115</v>
      </c>
      <c r="E42" s="28" t="s">
        <v>128</v>
      </c>
      <c r="F42" s="32">
        <v>6625</v>
      </c>
      <c r="G42" s="44" t="s">
        <v>129</v>
      </c>
      <c r="H42" s="44"/>
      <c r="I42" s="27" t="s">
        <v>70</v>
      </c>
      <c r="J42" s="27" t="s">
        <v>7</v>
      </c>
    </row>
    <row r="43" spans="1:10" x14ac:dyDescent="0.3">
      <c r="A43" s="2" t="s">
        <v>52</v>
      </c>
      <c r="B43" s="26" t="s">
        <v>119</v>
      </c>
      <c r="C43" s="26" t="s">
        <v>120</v>
      </c>
      <c r="D43" s="28" t="s">
        <v>130</v>
      </c>
      <c r="E43" s="28" t="s">
        <v>131</v>
      </c>
      <c r="F43" s="32">
        <v>9600</v>
      </c>
      <c r="G43" s="44" t="s">
        <v>132</v>
      </c>
      <c r="H43" s="44"/>
      <c r="I43" s="27" t="s">
        <v>133</v>
      </c>
      <c r="J43" s="27" t="s">
        <v>7</v>
      </c>
    </row>
    <row r="44" spans="1:10" x14ac:dyDescent="0.3">
      <c r="A44" s="2" t="s">
        <v>52</v>
      </c>
      <c r="B44" s="26" t="s">
        <v>119</v>
      </c>
      <c r="C44" s="26" t="s">
        <v>120</v>
      </c>
      <c r="D44" s="28" t="s">
        <v>130</v>
      </c>
      <c r="E44" s="28" t="s">
        <v>134</v>
      </c>
      <c r="F44" s="32">
        <v>2400</v>
      </c>
      <c r="G44" s="44" t="s">
        <v>135</v>
      </c>
      <c r="H44" s="44"/>
      <c r="I44" s="27" t="s">
        <v>133</v>
      </c>
      <c r="J44" s="27" t="s">
        <v>7</v>
      </c>
    </row>
    <row r="45" spans="1:10" ht="32.4" x14ac:dyDescent="0.3">
      <c r="A45" s="2" t="s">
        <v>52</v>
      </c>
      <c r="B45" s="26" t="s">
        <v>119</v>
      </c>
      <c r="C45" s="26" t="s">
        <v>120</v>
      </c>
      <c r="D45" s="28" t="s">
        <v>121</v>
      </c>
      <c r="E45" s="28" t="s">
        <v>136</v>
      </c>
      <c r="F45" s="32">
        <v>5875</v>
      </c>
      <c r="G45" s="44" t="s">
        <v>137</v>
      </c>
      <c r="H45" s="44"/>
      <c r="I45" s="27" t="s">
        <v>133</v>
      </c>
      <c r="J45" s="27" t="s">
        <v>7</v>
      </c>
    </row>
    <row r="46" spans="1:10" ht="32.4" x14ac:dyDescent="0.3">
      <c r="A46" s="2" t="s">
        <v>52</v>
      </c>
      <c r="B46" s="26" t="s">
        <v>119</v>
      </c>
      <c r="C46" s="26" t="s">
        <v>120</v>
      </c>
      <c r="D46" s="28" t="s">
        <v>121</v>
      </c>
      <c r="E46" s="28" t="s">
        <v>138</v>
      </c>
      <c r="F46" s="32">
        <v>1360</v>
      </c>
      <c r="G46" s="44" t="s">
        <v>139</v>
      </c>
      <c r="H46" s="44"/>
      <c r="I46" s="27" t="s">
        <v>140</v>
      </c>
      <c r="J46" s="27" t="s">
        <v>7</v>
      </c>
    </row>
    <row r="47" spans="1:10" ht="32.4" x14ac:dyDescent="0.3">
      <c r="A47" s="2" t="s">
        <v>52</v>
      </c>
      <c r="B47" s="26" t="s">
        <v>119</v>
      </c>
      <c r="C47" s="26" t="s">
        <v>120</v>
      </c>
      <c r="D47" s="28" t="s">
        <v>141</v>
      </c>
      <c r="E47" s="28" t="s">
        <v>142</v>
      </c>
      <c r="F47" s="32">
        <v>9975</v>
      </c>
      <c r="G47" s="44" t="s">
        <v>143</v>
      </c>
      <c r="H47" s="44"/>
      <c r="I47" s="27" t="s">
        <v>144</v>
      </c>
      <c r="J47" s="27" t="s">
        <v>7</v>
      </c>
    </row>
    <row r="48" spans="1:10" ht="32.4" x14ac:dyDescent="0.3">
      <c r="A48" s="2" t="s">
        <v>52</v>
      </c>
      <c r="B48" s="26" t="s">
        <v>119</v>
      </c>
      <c r="C48" s="26" t="s">
        <v>120</v>
      </c>
      <c r="D48" s="28" t="s">
        <v>55</v>
      </c>
      <c r="E48" s="28" t="s">
        <v>145</v>
      </c>
      <c r="F48" s="32">
        <v>2380</v>
      </c>
      <c r="G48" s="44" t="s">
        <v>146</v>
      </c>
      <c r="H48" s="44"/>
      <c r="I48" s="27" t="s">
        <v>58</v>
      </c>
      <c r="J48" s="27" t="s">
        <v>7</v>
      </c>
    </row>
    <row r="49" spans="1:10" ht="32.4" x14ac:dyDescent="0.3">
      <c r="A49" s="2" t="s">
        <v>52</v>
      </c>
      <c r="B49" s="26" t="s">
        <v>119</v>
      </c>
      <c r="C49" s="26" t="s">
        <v>120</v>
      </c>
      <c r="D49" s="28" t="s">
        <v>147</v>
      </c>
      <c r="E49" s="28" t="s">
        <v>148</v>
      </c>
      <c r="F49" s="32">
        <v>1295</v>
      </c>
      <c r="G49" s="44" t="s">
        <v>149</v>
      </c>
      <c r="H49" s="44"/>
      <c r="I49" s="27" t="s">
        <v>150</v>
      </c>
      <c r="J49" s="27" t="s">
        <v>7</v>
      </c>
    </row>
    <row r="50" spans="1:10" ht="32.4" x14ac:dyDescent="0.3">
      <c r="A50" s="2" t="s">
        <v>52</v>
      </c>
      <c r="B50" s="26" t="s">
        <v>119</v>
      </c>
      <c r="C50" s="26" t="s">
        <v>120</v>
      </c>
      <c r="D50" s="28" t="s">
        <v>141</v>
      </c>
      <c r="E50" s="28" t="s">
        <v>151</v>
      </c>
      <c r="F50" s="32">
        <v>3007</v>
      </c>
      <c r="G50" s="44" t="s">
        <v>152</v>
      </c>
      <c r="H50" s="44"/>
      <c r="I50" s="27" t="s">
        <v>98</v>
      </c>
      <c r="J50" s="27" t="s">
        <v>7</v>
      </c>
    </row>
    <row r="51" spans="1:10" ht="32.4" x14ac:dyDescent="0.3">
      <c r="A51" s="2" t="s">
        <v>52</v>
      </c>
      <c r="B51" s="26" t="s">
        <v>119</v>
      </c>
      <c r="C51" s="26" t="s">
        <v>120</v>
      </c>
      <c r="D51" s="28" t="s">
        <v>121</v>
      </c>
      <c r="E51" s="28" t="s">
        <v>151</v>
      </c>
      <c r="F51" s="32">
        <v>414</v>
      </c>
      <c r="G51" s="44" t="s">
        <v>152</v>
      </c>
      <c r="H51" s="44"/>
      <c r="I51" s="27" t="s">
        <v>98</v>
      </c>
      <c r="J51" s="27" t="s">
        <v>7</v>
      </c>
    </row>
    <row r="52" spans="1:10" ht="32.4" x14ac:dyDescent="0.3">
      <c r="A52" s="2" t="s">
        <v>52</v>
      </c>
      <c r="B52" s="26" t="s">
        <v>119</v>
      </c>
      <c r="C52" s="26" t="s">
        <v>153</v>
      </c>
      <c r="D52" s="28" t="s">
        <v>121</v>
      </c>
      <c r="E52" s="28" t="s">
        <v>154</v>
      </c>
      <c r="F52" s="32">
        <v>5000</v>
      </c>
      <c r="G52" s="44" t="s">
        <v>155</v>
      </c>
      <c r="H52" s="44"/>
      <c r="I52" s="27" t="s">
        <v>84</v>
      </c>
      <c r="J52" s="27" t="s">
        <v>7</v>
      </c>
    </row>
    <row r="53" spans="1:10" ht="32.4" x14ac:dyDescent="0.3">
      <c r="A53" s="2" t="s">
        <v>52</v>
      </c>
      <c r="B53" s="26" t="s">
        <v>119</v>
      </c>
      <c r="C53" s="26" t="s">
        <v>156</v>
      </c>
      <c r="D53" s="28" t="s">
        <v>141</v>
      </c>
      <c r="E53" s="28" t="s">
        <v>157</v>
      </c>
      <c r="F53" s="32">
        <v>2400</v>
      </c>
      <c r="G53" s="44" t="s">
        <v>158</v>
      </c>
      <c r="H53" s="44"/>
      <c r="I53" s="27" t="s">
        <v>84</v>
      </c>
      <c r="J53" s="27" t="s">
        <v>7</v>
      </c>
    </row>
    <row r="54" spans="1:10" ht="32.4" x14ac:dyDescent="0.3">
      <c r="A54" s="2" t="s">
        <v>52</v>
      </c>
      <c r="B54" s="26" t="s">
        <v>119</v>
      </c>
      <c r="C54" s="26" t="s">
        <v>156</v>
      </c>
      <c r="D54" s="28" t="s">
        <v>141</v>
      </c>
      <c r="E54" s="28" t="s">
        <v>159</v>
      </c>
      <c r="F54" s="32">
        <v>5532</v>
      </c>
      <c r="G54" s="44" t="s">
        <v>160</v>
      </c>
      <c r="H54" s="44"/>
      <c r="I54" s="27" t="s">
        <v>84</v>
      </c>
      <c r="J54" s="27" t="s">
        <v>7</v>
      </c>
    </row>
    <row r="55" spans="1:10" ht="32.4" x14ac:dyDescent="0.3">
      <c r="A55" s="2" t="s">
        <v>52</v>
      </c>
      <c r="B55" s="26" t="s">
        <v>119</v>
      </c>
      <c r="C55" s="26" t="s">
        <v>156</v>
      </c>
      <c r="D55" s="28" t="s">
        <v>141</v>
      </c>
      <c r="E55" s="28" t="s">
        <v>161</v>
      </c>
      <c r="F55" s="32">
        <v>2876</v>
      </c>
      <c r="G55" s="44" t="s">
        <v>162</v>
      </c>
      <c r="H55" s="44"/>
      <c r="I55" s="27" t="s">
        <v>163</v>
      </c>
      <c r="J55" s="27" t="s">
        <v>7</v>
      </c>
    </row>
    <row r="56" spans="1:10" x14ac:dyDescent="0.3">
      <c r="A56" s="2" t="s">
        <v>52</v>
      </c>
      <c r="B56" s="26" t="s">
        <v>119</v>
      </c>
      <c r="C56" s="26" t="s">
        <v>156</v>
      </c>
      <c r="D56" s="28" t="s">
        <v>130</v>
      </c>
      <c r="E56" s="28" t="s">
        <v>164</v>
      </c>
      <c r="F56" s="32">
        <v>7450</v>
      </c>
      <c r="G56" s="44" t="s">
        <v>165</v>
      </c>
      <c r="H56" s="44"/>
      <c r="I56" s="27" t="s">
        <v>133</v>
      </c>
      <c r="J56" s="27" t="s">
        <v>7</v>
      </c>
    </row>
    <row r="57" spans="1:10" ht="32.4" x14ac:dyDescent="0.3">
      <c r="A57" s="2" t="s">
        <v>52</v>
      </c>
      <c r="B57" s="26" t="s">
        <v>119</v>
      </c>
      <c r="C57" s="26" t="s">
        <v>156</v>
      </c>
      <c r="D57" s="28" t="s">
        <v>141</v>
      </c>
      <c r="E57" s="28" t="s">
        <v>166</v>
      </c>
      <c r="F57" s="32">
        <v>1989</v>
      </c>
      <c r="G57" s="44" t="s">
        <v>167</v>
      </c>
      <c r="H57" s="44"/>
      <c r="I57" s="27" t="s">
        <v>168</v>
      </c>
      <c r="J57" s="27" t="s">
        <v>7</v>
      </c>
    </row>
    <row r="58" spans="1:10" ht="48.6" x14ac:dyDescent="0.3">
      <c r="A58" s="2" t="s">
        <v>52</v>
      </c>
      <c r="B58" s="26" t="s">
        <v>119</v>
      </c>
      <c r="C58" s="26" t="s">
        <v>169</v>
      </c>
      <c r="D58" s="28" t="s">
        <v>110</v>
      </c>
      <c r="E58" s="28" t="s">
        <v>170</v>
      </c>
      <c r="F58" s="32">
        <v>5106</v>
      </c>
      <c r="G58" s="44" t="s">
        <v>171</v>
      </c>
      <c r="H58" s="44"/>
      <c r="I58" s="27" t="s">
        <v>133</v>
      </c>
      <c r="J58" s="27" t="s">
        <v>7</v>
      </c>
    </row>
    <row r="59" spans="1:10" ht="32.4" x14ac:dyDescent="0.3">
      <c r="A59" s="2" t="s">
        <v>52</v>
      </c>
      <c r="B59" s="26" t="s">
        <v>172</v>
      </c>
      <c r="C59" s="26" t="s">
        <v>173</v>
      </c>
      <c r="D59" s="28" t="s">
        <v>81</v>
      </c>
      <c r="E59" s="28" t="s">
        <v>174</v>
      </c>
      <c r="F59" s="32">
        <v>18616</v>
      </c>
      <c r="G59" s="44" t="s">
        <v>175</v>
      </c>
      <c r="H59" s="44"/>
      <c r="I59" s="27" t="s">
        <v>84</v>
      </c>
      <c r="J59" s="27" t="s">
        <v>7</v>
      </c>
    </row>
    <row r="60" spans="1:10" ht="32.4" x14ac:dyDescent="0.3">
      <c r="A60" s="2" t="s">
        <v>52</v>
      </c>
      <c r="B60" s="26" t="s">
        <v>172</v>
      </c>
      <c r="C60" s="26" t="s">
        <v>176</v>
      </c>
      <c r="D60" s="28" t="s">
        <v>81</v>
      </c>
      <c r="E60" s="28" t="s">
        <v>177</v>
      </c>
      <c r="F60" s="32">
        <v>10033</v>
      </c>
      <c r="G60" s="44" t="s">
        <v>178</v>
      </c>
      <c r="H60" s="44"/>
      <c r="I60" s="27" t="s">
        <v>84</v>
      </c>
      <c r="J60" s="27" t="s">
        <v>7</v>
      </c>
    </row>
    <row r="61" spans="1:10" ht="32.4" x14ac:dyDescent="0.3">
      <c r="A61" s="2" t="s">
        <v>52</v>
      </c>
      <c r="B61" s="26" t="s">
        <v>179</v>
      </c>
      <c r="C61" s="26" t="s">
        <v>180</v>
      </c>
      <c r="D61" s="28" t="s">
        <v>141</v>
      </c>
      <c r="E61" s="28" t="s">
        <v>181</v>
      </c>
      <c r="F61" s="32">
        <v>23267</v>
      </c>
      <c r="G61" s="44" t="s">
        <v>182</v>
      </c>
      <c r="H61" s="44"/>
      <c r="I61" s="27" t="s">
        <v>183</v>
      </c>
      <c r="J61" s="27" t="s">
        <v>7</v>
      </c>
    </row>
    <row r="62" spans="1:10" ht="32.4" x14ac:dyDescent="0.3">
      <c r="A62" s="2" t="s">
        <v>52</v>
      </c>
      <c r="B62" s="26" t="s">
        <v>179</v>
      </c>
      <c r="C62" s="26" t="s">
        <v>184</v>
      </c>
      <c r="D62" s="28" t="s">
        <v>81</v>
      </c>
      <c r="E62" s="28" t="s">
        <v>185</v>
      </c>
      <c r="F62" s="32">
        <v>21104</v>
      </c>
      <c r="G62" s="44" t="s">
        <v>186</v>
      </c>
      <c r="H62" s="44"/>
      <c r="I62" s="27" t="s">
        <v>84</v>
      </c>
      <c r="J62" s="27" t="s">
        <v>7</v>
      </c>
    </row>
    <row r="63" spans="1:10" ht="32.4" x14ac:dyDescent="0.3">
      <c r="A63" s="2" t="s">
        <v>52</v>
      </c>
      <c r="B63" s="26" t="s">
        <v>179</v>
      </c>
      <c r="C63" s="26" t="s">
        <v>187</v>
      </c>
      <c r="D63" s="28" t="s">
        <v>81</v>
      </c>
      <c r="E63" s="28" t="s">
        <v>188</v>
      </c>
      <c r="F63" s="32">
        <v>2920</v>
      </c>
      <c r="G63" s="44" t="s">
        <v>189</v>
      </c>
      <c r="H63" s="44"/>
      <c r="I63" s="27" t="s">
        <v>70</v>
      </c>
      <c r="J63" s="27" t="s">
        <v>7</v>
      </c>
    </row>
    <row r="64" spans="1:10" ht="32.4" x14ac:dyDescent="0.3">
      <c r="A64" s="2" t="s">
        <v>52</v>
      </c>
      <c r="B64" s="26" t="s">
        <v>179</v>
      </c>
      <c r="C64" s="26" t="s">
        <v>190</v>
      </c>
      <c r="D64" s="28" t="s">
        <v>141</v>
      </c>
      <c r="E64" s="28" t="s">
        <v>191</v>
      </c>
      <c r="F64" s="32">
        <v>7864</v>
      </c>
      <c r="G64" s="44" t="s">
        <v>192</v>
      </c>
      <c r="H64" s="44"/>
      <c r="I64" s="27" t="s">
        <v>102</v>
      </c>
      <c r="J64" s="27" t="s">
        <v>7</v>
      </c>
    </row>
    <row r="65" spans="1:10" ht="32.4" x14ac:dyDescent="0.3">
      <c r="A65" s="2" t="s">
        <v>52</v>
      </c>
      <c r="B65" s="26" t="s">
        <v>193</v>
      </c>
      <c r="C65" s="26" t="s">
        <v>194</v>
      </c>
      <c r="D65" s="28" t="s">
        <v>195</v>
      </c>
      <c r="E65" s="28" t="s">
        <v>196</v>
      </c>
      <c r="F65" s="32">
        <v>3500</v>
      </c>
      <c r="G65" s="44" t="s">
        <v>197</v>
      </c>
      <c r="H65" s="44"/>
      <c r="I65" s="27" t="s">
        <v>102</v>
      </c>
      <c r="J65" s="27" t="s">
        <v>7</v>
      </c>
    </row>
    <row r="66" spans="1:10" ht="32.4" x14ac:dyDescent="0.3">
      <c r="A66" s="2" t="s">
        <v>52</v>
      </c>
      <c r="B66" s="26" t="s">
        <v>193</v>
      </c>
      <c r="C66" s="26" t="s">
        <v>194</v>
      </c>
      <c r="D66" s="28" t="s">
        <v>141</v>
      </c>
      <c r="E66" s="28" t="s">
        <v>198</v>
      </c>
      <c r="F66" s="32">
        <v>5946</v>
      </c>
      <c r="G66" s="44" t="s">
        <v>199</v>
      </c>
      <c r="H66" s="44"/>
      <c r="I66" s="27" t="s">
        <v>168</v>
      </c>
      <c r="J66" s="27" t="s">
        <v>7</v>
      </c>
    </row>
    <row r="67" spans="1:10" ht="32.4" x14ac:dyDescent="0.3">
      <c r="A67" s="2" t="s">
        <v>52</v>
      </c>
      <c r="B67" s="26" t="s">
        <v>193</v>
      </c>
      <c r="C67" s="26" t="s">
        <v>194</v>
      </c>
      <c r="D67" s="28" t="s">
        <v>141</v>
      </c>
      <c r="E67" s="28" t="s">
        <v>200</v>
      </c>
      <c r="F67" s="32">
        <v>5942</v>
      </c>
      <c r="G67" s="44" t="s">
        <v>201</v>
      </c>
      <c r="H67" s="44"/>
      <c r="I67" s="27" t="s">
        <v>202</v>
      </c>
      <c r="J67" s="27" t="s">
        <v>7</v>
      </c>
    </row>
    <row r="68" spans="1:10" ht="32.4" x14ac:dyDescent="0.3">
      <c r="A68" s="2" t="s">
        <v>52</v>
      </c>
      <c r="B68" s="26" t="s">
        <v>193</v>
      </c>
      <c r="C68" s="26" t="s">
        <v>194</v>
      </c>
      <c r="D68" s="28" t="s">
        <v>141</v>
      </c>
      <c r="E68" s="28" t="s">
        <v>203</v>
      </c>
      <c r="F68" s="32">
        <v>1496</v>
      </c>
      <c r="G68" s="44" t="s">
        <v>204</v>
      </c>
      <c r="H68" s="44"/>
      <c r="I68" s="27" t="s">
        <v>133</v>
      </c>
      <c r="J68" s="27" t="s">
        <v>7</v>
      </c>
    </row>
    <row r="69" spans="1:10" x14ac:dyDescent="0.3">
      <c r="A69" s="2" t="s">
        <v>52</v>
      </c>
      <c r="B69" s="26" t="s">
        <v>193</v>
      </c>
      <c r="C69" s="26" t="s">
        <v>194</v>
      </c>
      <c r="D69" s="28" t="s">
        <v>124</v>
      </c>
      <c r="E69" s="28" t="s">
        <v>205</v>
      </c>
      <c r="F69" s="32">
        <v>724</v>
      </c>
      <c r="G69" s="44" t="s">
        <v>206</v>
      </c>
      <c r="H69" s="44"/>
      <c r="I69" s="27" t="s">
        <v>127</v>
      </c>
      <c r="J69" s="27" t="s">
        <v>7</v>
      </c>
    </row>
    <row r="70" spans="1:10" ht="32.4" x14ac:dyDescent="0.3">
      <c r="A70" s="2" t="s">
        <v>52</v>
      </c>
      <c r="B70" s="26" t="s">
        <v>193</v>
      </c>
      <c r="C70" s="26" t="s">
        <v>207</v>
      </c>
      <c r="D70" s="28" t="s">
        <v>208</v>
      </c>
      <c r="E70" s="28" t="s">
        <v>209</v>
      </c>
      <c r="F70" s="32">
        <v>790</v>
      </c>
      <c r="G70" s="44" t="s">
        <v>210</v>
      </c>
      <c r="H70" s="44"/>
      <c r="I70" s="27" t="s">
        <v>211</v>
      </c>
      <c r="J70" s="27" t="s">
        <v>7</v>
      </c>
    </row>
    <row r="71" spans="1:10" ht="48.6" x14ac:dyDescent="0.3">
      <c r="A71" s="2" t="s">
        <v>52</v>
      </c>
      <c r="B71" s="26" t="s">
        <v>193</v>
      </c>
      <c r="C71" s="26" t="s">
        <v>212</v>
      </c>
      <c r="D71" s="28" t="s">
        <v>213</v>
      </c>
      <c r="E71" s="28" t="s">
        <v>214</v>
      </c>
      <c r="F71" s="32">
        <v>34</v>
      </c>
      <c r="G71" s="44" t="s">
        <v>215</v>
      </c>
      <c r="H71" s="44"/>
      <c r="I71" s="27" t="s">
        <v>84</v>
      </c>
      <c r="J71" s="27" t="s">
        <v>7</v>
      </c>
    </row>
    <row r="72" spans="1:10" ht="32.4" x14ac:dyDescent="0.3">
      <c r="A72" s="2" t="s">
        <v>52</v>
      </c>
      <c r="B72" s="26" t="s">
        <v>193</v>
      </c>
      <c r="C72" s="26" t="s">
        <v>212</v>
      </c>
      <c r="D72" s="28" t="s">
        <v>216</v>
      </c>
      <c r="E72" s="28" t="s">
        <v>214</v>
      </c>
      <c r="F72" s="32">
        <v>2243</v>
      </c>
      <c r="G72" s="44" t="s">
        <v>215</v>
      </c>
      <c r="H72" s="44"/>
      <c r="I72" s="27" t="s">
        <v>84</v>
      </c>
      <c r="J72" s="27" t="s">
        <v>7</v>
      </c>
    </row>
    <row r="73" spans="1:10" x14ac:dyDescent="0.3">
      <c r="A73" s="2" t="s">
        <v>52</v>
      </c>
      <c r="B73" s="26" t="s">
        <v>193</v>
      </c>
      <c r="C73" s="26" t="s">
        <v>212</v>
      </c>
      <c r="D73" s="28" t="s">
        <v>130</v>
      </c>
      <c r="E73" s="28" t="s">
        <v>217</v>
      </c>
      <c r="F73" s="32">
        <v>1320</v>
      </c>
      <c r="G73" s="44" t="s">
        <v>218</v>
      </c>
      <c r="H73" s="44"/>
      <c r="I73" s="27" t="s">
        <v>70</v>
      </c>
      <c r="J73" s="27" t="s">
        <v>7</v>
      </c>
    </row>
    <row r="74" spans="1:10" ht="32.4" x14ac:dyDescent="0.3">
      <c r="A74" s="2" t="s">
        <v>52</v>
      </c>
      <c r="B74" s="26" t="s">
        <v>193</v>
      </c>
      <c r="C74" s="26" t="s">
        <v>212</v>
      </c>
      <c r="D74" s="28" t="s">
        <v>141</v>
      </c>
      <c r="E74" s="28" t="s">
        <v>219</v>
      </c>
      <c r="F74" s="32">
        <v>6000</v>
      </c>
      <c r="G74" s="44" t="s">
        <v>220</v>
      </c>
      <c r="H74" s="44"/>
      <c r="I74" s="27" t="s">
        <v>118</v>
      </c>
      <c r="J74" s="27" t="s">
        <v>7</v>
      </c>
    </row>
    <row r="75" spans="1:10" ht="32.4" x14ac:dyDescent="0.3">
      <c r="A75" s="2" t="s">
        <v>52</v>
      </c>
      <c r="B75" s="26" t="s">
        <v>193</v>
      </c>
      <c r="C75" s="26" t="s">
        <v>212</v>
      </c>
      <c r="D75" s="28" t="s">
        <v>62</v>
      </c>
      <c r="E75" s="28" t="s">
        <v>221</v>
      </c>
      <c r="F75" s="32">
        <v>750</v>
      </c>
      <c r="G75" s="44" t="s">
        <v>222</v>
      </c>
      <c r="H75" s="44"/>
      <c r="I75" s="27" t="s">
        <v>223</v>
      </c>
      <c r="J75" s="27" t="s">
        <v>7</v>
      </c>
    </row>
    <row r="76" spans="1:10" ht="32.4" x14ac:dyDescent="0.3">
      <c r="A76" s="2" t="s">
        <v>52</v>
      </c>
      <c r="B76" s="26" t="s">
        <v>193</v>
      </c>
      <c r="C76" s="26" t="s">
        <v>224</v>
      </c>
      <c r="D76" s="28" t="s">
        <v>141</v>
      </c>
      <c r="E76" s="28" t="s">
        <v>225</v>
      </c>
      <c r="F76" s="32">
        <v>10129</v>
      </c>
      <c r="G76" s="44" t="s">
        <v>226</v>
      </c>
      <c r="H76" s="44"/>
      <c r="I76" s="27" t="s">
        <v>94</v>
      </c>
      <c r="J76" s="27" t="s">
        <v>7</v>
      </c>
    </row>
    <row r="77" spans="1:10" ht="48.6" x14ac:dyDescent="0.3">
      <c r="A77" s="2" t="s">
        <v>52</v>
      </c>
      <c r="B77" s="26" t="s">
        <v>193</v>
      </c>
      <c r="C77" s="26" t="s">
        <v>227</v>
      </c>
      <c r="D77" s="28" t="s">
        <v>110</v>
      </c>
      <c r="E77" s="28" t="s">
        <v>228</v>
      </c>
      <c r="F77" s="32">
        <v>4084</v>
      </c>
      <c r="G77" s="44" t="s">
        <v>229</v>
      </c>
      <c r="H77" s="44"/>
      <c r="I77" s="27" t="s">
        <v>211</v>
      </c>
      <c r="J77" s="27" t="s">
        <v>7</v>
      </c>
    </row>
    <row r="78" spans="1:10" ht="48.6" x14ac:dyDescent="0.3">
      <c r="A78" s="2" t="s">
        <v>52</v>
      </c>
      <c r="B78" s="26" t="s">
        <v>193</v>
      </c>
      <c r="C78" s="26" t="s">
        <v>227</v>
      </c>
      <c r="D78" s="28" t="s">
        <v>110</v>
      </c>
      <c r="E78" s="28" t="s">
        <v>230</v>
      </c>
      <c r="F78" s="32">
        <v>4084</v>
      </c>
      <c r="G78" s="44" t="s">
        <v>231</v>
      </c>
      <c r="H78" s="44"/>
      <c r="I78" s="27" t="s">
        <v>223</v>
      </c>
      <c r="J78" s="27" t="s">
        <v>7</v>
      </c>
    </row>
    <row r="79" spans="1:10" ht="32.4" x14ac:dyDescent="0.3">
      <c r="A79" s="2" t="s">
        <v>52</v>
      </c>
      <c r="B79" s="26" t="s">
        <v>193</v>
      </c>
      <c r="C79" s="26" t="s">
        <v>227</v>
      </c>
      <c r="D79" s="28" t="s">
        <v>232</v>
      </c>
      <c r="E79" s="28" t="s">
        <v>233</v>
      </c>
      <c r="F79" s="32">
        <v>4200</v>
      </c>
      <c r="G79" s="44" t="s">
        <v>234</v>
      </c>
      <c r="H79" s="44"/>
      <c r="I79" s="27" t="s">
        <v>235</v>
      </c>
      <c r="J79" s="27" t="s">
        <v>7</v>
      </c>
    </row>
    <row r="80" spans="1:10" ht="32.4" x14ac:dyDescent="0.3">
      <c r="A80" s="2" t="s">
        <v>52</v>
      </c>
      <c r="B80" s="26" t="s">
        <v>193</v>
      </c>
      <c r="C80" s="26" t="s">
        <v>236</v>
      </c>
      <c r="D80" s="28" t="s">
        <v>81</v>
      </c>
      <c r="E80" s="28" t="s">
        <v>237</v>
      </c>
      <c r="F80" s="32">
        <v>6785</v>
      </c>
      <c r="G80" s="44" t="s">
        <v>238</v>
      </c>
      <c r="H80" s="44"/>
      <c r="I80" s="27" t="s">
        <v>239</v>
      </c>
      <c r="J80" s="27" t="s">
        <v>7</v>
      </c>
    </row>
    <row r="81" spans="1:10" ht="32.4" x14ac:dyDescent="0.3">
      <c r="A81" s="2" t="s">
        <v>52</v>
      </c>
      <c r="B81" s="26" t="s">
        <v>193</v>
      </c>
      <c r="C81" s="26" t="s">
        <v>240</v>
      </c>
      <c r="D81" s="28" t="s">
        <v>81</v>
      </c>
      <c r="E81" s="28" t="s">
        <v>241</v>
      </c>
      <c r="F81" s="32">
        <v>29981</v>
      </c>
      <c r="G81" s="44" t="s">
        <v>242</v>
      </c>
      <c r="H81" s="44"/>
      <c r="I81" s="27" t="s">
        <v>49</v>
      </c>
      <c r="J81" s="27" t="s">
        <v>7</v>
      </c>
    </row>
    <row r="82" spans="1:10" ht="32.4" x14ac:dyDescent="0.3">
      <c r="A82" s="2" t="s">
        <v>52</v>
      </c>
      <c r="B82" s="26" t="s">
        <v>243</v>
      </c>
      <c r="C82" s="26" t="s">
        <v>244</v>
      </c>
      <c r="D82" s="28" t="s">
        <v>245</v>
      </c>
      <c r="E82" s="28" t="s">
        <v>246</v>
      </c>
      <c r="F82" s="32">
        <v>10574</v>
      </c>
      <c r="G82" s="44" t="s">
        <v>247</v>
      </c>
      <c r="H82" s="44"/>
      <c r="I82" s="27" t="s">
        <v>248</v>
      </c>
      <c r="J82" s="27" t="s">
        <v>7</v>
      </c>
    </row>
    <row r="83" spans="1:10" ht="32.4" x14ac:dyDescent="0.3">
      <c r="A83" s="2" t="s">
        <v>52</v>
      </c>
      <c r="B83" s="26" t="s">
        <v>243</v>
      </c>
      <c r="C83" s="26" t="s">
        <v>249</v>
      </c>
      <c r="D83" s="28" t="s">
        <v>141</v>
      </c>
      <c r="E83" s="28" t="s">
        <v>250</v>
      </c>
      <c r="F83" s="32">
        <v>9540</v>
      </c>
      <c r="G83" s="44" t="s">
        <v>251</v>
      </c>
      <c r="H83" s="44"/>
      <c r="I83" s="27" t="s">
        <v>94</v>
      </c>
      <c r="J83" s="27" t="s">
        <v>7</v>
      </c>
    </row>
    <row r="84" spans="1:10" ht="32.4" x14ac:dyDescent="0.3">
      <c r="A84" s="2" t="s">
        <v>52</v>
      </c>
      <c r="B84" s="26" t="s">
        <v>243</v>
      </c>
      <c r="C84" s="26" t="s">
        <v>252</v>
      </c>
      <c r="D84" s="28" t="s">
        <v>81</v>
      </c>
      <c r="E84" s="28" t="s">
        <v>253</v>
      </c>
      <c r="F84" s="32">
        <v>15510</v>
      </c>
      <c r="G84" s="44" t="s">
        <v>254</v>
      </c>
      <c r="H84" s="44"/>
      <c r="I84" s="27" t="s">
        <v>211</v>
      </c>
      <c r="J84" s="27" t="s">
        <v>7</v>
      </c>
    </row>
    <row r="85" spans="1:10" ht="32.4" x14ac:dyDescent="0.3">
      <c r="A85" s="2" t="s">
        <v>52</v>
      </c>
      <c r="B85" s="26" t="s">
        <v>255</v>
      </c>
      <c r="C85" s="26" t="s">
        <v>256</v>
      </c>
      <c r="D85" s="28" t="s">
        <v>141</v>
      </c>
      <c r="E85" s="28" t="s">
        <v>257</v>
      </c>
      <c r="F85" s="32">
        <v>178840</v>
      </c>
      <c r="G85" s="44" t="s">
        <v>258</v>
      </c>
      <c r="H85" s="44"/>
      <c r="I85" s="27" t="s">
        <v>248</v>
      </c>
      <c r="J85" s="27" t="s">
        <v>7</v>
      </c>
    </row>
    <row r="86" spans="1:10" ht="32.4" x14ac:dyDescent="0.3">
      <c r="A86" s="2" t="s">
        <v>52</v>
      </c>
      <c r="B86" s="26" t="s">
        <v>255</v>
      </c>
      <c r="C86" s="26" t="s">
        <v>259</v>
      </c>
      <c r="D86" s="28" t="s">
        <v>81</v>
      </c>
      <c r="E86" s="28" t="s">
        <v>260</v>
      </c>
      <c r="F86" s="32">
        <v>8615</v>
      </c>
      <c r="G86" s="44" t="s">
        <v>261</v>
      </c>
      <c r="H86" s="44"/>
      <c r="I86" s="27" t="s">
        <v>163</v>
      </c>
      <c r="J86" s="27" t="s">
        <v>7</v>
      </c>
    </row>
    <row r="87" spans="1:10" ht="32.4" x14ac:dyDescent="0.3">
      <c r="A87" s="2" t="s">
        <v>52</v>
      </c>
      <c r="B87" s="26" t="s">
        <v>262</v>
      </c>
      <c r="C87" s="26" t="s">
        <v>263</v>
      </c>
      <c r="D87" s="28" t="s">
        <v>195</v>
      </c>
      <c r="E87" s="28" t="s">
        <v>264</v>
      </c>
      <c r="F87" s="32">
        <v>127500</v>
      </c>
      <c r="G87" s="44" t="s">
        <v>265</v>
      </c>
      <c r="H87" s="44"/>
      <c r="I87" s="27" t="s">
        <v>79</v>
      </c>
      <c r="J87" s="27" t="s">
        <v>7</v>
      </c>
    </row>
    <row r="88" spans="1:10" ht="32.4" x14ac:dyDescent="0.3">
      <c r="A88" s="2" t="s">
        <v>52</v>
      </c>
      <c r="B88" s="26" t="s">
        <v>262</v>
      </c>
      <c r="C88" s="26" t="s">
        <v>266</v>
      </c>
      <c r="D88" s="28" t="s">
        <v>62</v>
      </c>
      <c r="E88" s="28" t="s">
        <v>267</v>
      </c>
      <c r="F88" s="32">
        <v>20000</v>
      </c>
      <c r="G88" s="44" t="s">
        <v>268</v>
      </c>
      <c r="H88" s="44"/>
      <c r="I88" s="27" t="s">
        <v>150</v>
      </c>
      <c r="J88" s="27" t="s">
        <v>7</v>
      </c>
    </row>
    <row r="89" spans="1:10" ht="32.4" x14ac:dyDescent="0.3">
      <c r="A89" s="2" t="s">
        <v>52</v>
      </c>
      <c r="B89" s="26" t="s">
        <v>262</v>
      </c>
      <c r="C89" s="26" t="s">
        <v>269</v>
      </c>
      <c r="D89" s="28" t="s">
        <v>216</v>
      </c>
      <c r="E89" s="28" t="s">
        <v>270</v>
      </c>
      <c r="F89" s="32">
        <v>12831</v>
      </c>
      <c r="G89" s="44" t="s">
        <v>271</v>
      </c>
      <c r="H89" s="44"/>
      <c r="I89" s="27" t="s">
        <v>272</v>
      </c>
      <c r="J89" s="27" t="s">
        <v>7</v>
      </c>
    </row>
    <row r="90" spans="1:10" ht="32.4" x14ac:dyDescent="0.3">
      <c r="A90" s="2" t="s">
        <v>52</v>
      </c>
      <c r="B90" s="26" t="s">
        <v>262</v>
      </c>
      <c r="C90" s="26" t="s">
        <v>273</v>
      </c>
      <c r="D90" s="28" t="s">
        <v>141</v>
      </c>
      <c r="E90" s="28" t="s">
        <v>274</v>
      </c>
      <c r="F90" s="32">
        <v>2309</v>
      </c>
      <c r="G90" s="44" t="s">
        <v>275</v>
      </c>
      <c r="H90" s="44"/>
      <c r="I90" s="27" t="s">
        <v>84</v>
      </c>
      <c r="J90" s="27" t="s">
        <v>7</v>
      </c>
    </row>
    <row r="91" spans="1:10" ht="32.4" x14ac:dyDescent="0.3">
      <c r="A91" s="2" t="s">
        <v>52</v>
      </c>
      <c r="B91" s="26" t="s">
        <v>262</v>
      </c>
      <c r="C91" s="26" t="s">
        <v>276</v>
      </c>
      <c r="D91" s="28" t="s">
        <v>141</v>
      </c>
      <c r="E91" s="28" t="s">
        <v>277</v>
      </c>
      <c r="F91" s="32">
        <v>2060</v>
      </c>
      <c r="G91" s="44" t="s">
        <v>278</v>
      </c>
      <c r="H91" s="44"/>
      <c r="I91" s="27" t="s">
        <v>84</v>
      </c>
      <c r="J91" s="27" t="s">
        <v>7</v>
      </c>
    </row>
    <row r="92" spans="1:10" ht="32.4" x14ac:dyDescent="0.3">
      <c r="A92" s="2" t="s">
        <v>52</v>
      </c>
      <c r="B92" s="26" t="s">
        <v>262</v>
      </c>
      <c r="C92" s="26" t="s">
        <v>279</v>
      </c>
      <c r="D92" s="28" t="s">
        <v>141</v>
      </c>
      <c r="E92" s="28" t="s">
        <v>280</v>
      </c>
      <c r="F92" s="32">
        <v>9023</v>
      </c>
      <c r="G92" s="44" t="s">
        <v>281</v>
      </c>
      <c r="H92" s="44"/>
      <c r="I92" s="27" t="s">
        <v>102</v>
      </c>
      <c r="J92" s="27" t="s">
        <v>7</v>
      </c>
    </row>
    <row r="93" spans="1:10" ht="32.4" x14ac:dyDescent="0.3">
      <c r="A93" s="2" t="s">
        <v>52</v>
      </c>
      <c r="B93" s="26" t="s">
        <v>282</v>
      </c>
      <c r="C93" s="26" t="s">
        <v>283</v>
      </c>
      <c r="D93" s="28" t="s">
        <v>81</v>
      </c>
      <c r="E93" s="28" t="s">
        <v>284</v>
      </c>
      <c r="F93" s="32">
        <v>14856</v>
      </c>
      <c r="G93" s="44" t="s">
        <v>285</v>
      </c>
      <c r="H93" s="44"/>
      <c r="I93" s="27" t="s">
        <v>183</v>
      </c>
      <c r="J93" s="27" t="s">
        <v>7</v>
      </c>
    </row>
    <row r="94" spans="1:10" ht="32.4" x14ac:dyDescent="0.3">
      <c r="A94" s="2" t="s">
        <v>52</v>
      </c>
      <c r="B94" s="26" t="s">
        <v>282</v>
      </c>
      <c r="C94" s="26" t="s">
        <v>286</v>
      </c>
      <c r="D94" s="28" t="s">
        <v>81</v>
      </c>
      <c r="E94" s="28" t="s">
        <v>287</v>
      </c>
      <c r="F94" s="32">
        <v>26249</v>
      </c>
      <c r="G94" s="44" t="s">
        <v>288</v>
      </c>
      <c r="H94" s="44"/>
      <c r="I94" s="27" t="s">
        <v>133</v>
      </c>
      <c r="J94" s="27" t="s">
        <v>7</v>
      </c>
    </row>
    <row r="95" spans="1:10" ht="32.4" x14ac:dyDescent="0.3">
      <c r="A95" s="2" t="s">
        <v>52</v>
      </c>
      <c r="B95" s="26" t="s">
        <v>282</v>
      </c>
      <c r="C95" s="26" t="s">
        <v>289</v>
      </c>
      <c r="D95" s="28" t="s">
        <v>81</v>
      </c>
      <c r="E95" s="28" t="s">
        <v>290</v>
      </c>
      <c r="F95" s="32">
        <v>30599</v>
      </c>
      <c r="G95" s="44" t="s">
        <v>291</v>
      </c>
      <c r="H95" s="44"/>
      <c r="I95" s="27" t="s">
        <v>183</v>
      </c>
      <c r="J95" s="27" t="s">
        <v>7</v>
      </c>
    </row>
    <row r="96" spans="1:10" ht="32.4" x14ac:dyDescent="0.3">
      <c r="A96" s="2" t="s">
        <v>52</v>
      </c>
      <c r="B96" s="26" t="s">
        <v>282</v>
      </c>
      <c r="C96" s="26" t="s">
        <v>292</v>
      </c>
      <c r="D96" s="28" t="s">
        <v>81</v>
      </c>
      <c r="E96" s="28" t="s">
        <v>293</v>
      </c>
      <c r="F96" s="32">
        <v>19503</v>
      </c>
      <c r="G96" s="44" t="s">
        <v>294</v>
      </c>
      <c r="H96" s="44"/>
      <c r="I96" s="27" t="s">
        <v>211</v>
      </c>
      <c r="J96" s="27" t="s">
        <v>7</v>
      </c>
    </row>
    <row r="97" spans="1:10" ht="32.4" x14ac:dyDescent="0.3">
      <c r="A97" s="2" t="s">
        <v>52</v>
      </c>
      <c r="B97" s="26" t="s">
        <v>282</v>
      </c>
      <c r="C97" s="26" t="s">
        <v>295</v>
      </c>
      <c r="D97" s="28" t="s">
        <v>81</v>
      </c>
      <c r="E97" s="28" t="s">
        <v>296</v>
      </c>
      <c r="F97" s="32">
        <v>17512</v>
      </c>
      <c r="G97" s="44" t="s">
        <v>297</v>
      </c>
      <c r="H97" s="44"/>
      <c r="I97" s="27" t="s">
        <v>211</v>
      </c>
      <c r="J97" s="27" t="s">
        <v>7</v>
      </c>
    </row>
    <row r="98" spans="1:10" ht="32.4" x14ac:dyDescent="0.3">
      <c r="A98" s="2" t="s">
        <v>52</v>
      </c>
      <c r="B98" s="26" t="s">
        <v>282</v>
      </c>
      <c r="C98" s="26" t="s">
        <v>298</v>
      </c>
      <c r="D98" s="28" t="s">
        <v>81</v>
      </c>
      <c r="E98" s="28" t="s">
        <v>299</v>
      </c>
      <c r="F98" s="32">
        <v>24949</v>
      </c>
      <c r="G98" s="44" t="s">
        <v>300</v>
      </c>
      <c r="H98" s="44"/>
      <c r="I98" s="27" t="s">
        <v>211</v>
      </c>
      <c r="J98" s="27" t="s">
        <v>7</v>
      </c>
    </row>
    <row r="99" spans="1:10" ht="32.4" x14ac:dyDescent="0.3">
      <c r="A99" s="2" t="s">
        <v>52</v>
      </c>
      <c r="B99" s="26" t="s">
        <v>301</v>
      </c>
      <c r="C99" s="26" t="s">
        <v>302</v>
      </c>
      <c r="D99" s="28" t="s">
        <v>55</v>
      </c>
      <c r="E99" s="28" t="s">
        <v>303</v>
      </c>
      <c r="F99" s="32">
        <v>1500</v>
      </c>
      <c r="G99" s="44" t="s">
        <v>304</v>
      </c>
      <c r="H99" s="44"/>
      <c r="I99" s="27" t="s">
        <v>58</v>
      </c>
      <c r="J99" s="27" t="s">
        <v>7</v>
      </c>
    </row>
    <row r="100" spans="1:10" ht="32.4" x14ac:dyDescent="0.3">
      <c r="A100" s="2" t="s">
        <v>52</v>
      </c>
      <c r="B100" s="26" t="s">
        <v>301</v>
      </c>
      <c r="C100" s="26" t="s">
        <v>305</v>
      </c>
      <c r="D100" s="28" t="s">
        <v>141</v>
      </c>
      <c r="E100" s="28" t="s">
        <v>306</v>
      </c>
      <c r="F100" s="32">
        <v>3000</v>
      </c>
      <c r="G100" s="44" t="s">
        <v>307</v>
      </c>
      <c r="H100" s="44"/>
      <c r="I100" s="27" t="s">
        <v>102</v>
      </c>
      <c r="J100" s="27" t="s">
        <v>7</v>
      </c>
    </row>
    <row r="101" spans="1:10" ht="32.4" x14ac:dyDescent="0.3">
      <c r="A101" s="2" t="s">
        <v>52</v>
      </c>
      <c r="B101" s="26" t="s">
        <v>301</v>
      </c>
      <c r="C101" s="26" t="s">
        <v>305</v>
      </c>
      <c r="D101" s="28" t="s">
        <v>141</v>
      </c>
      <c r="E101" s="28" t="s">
        <v>308</v>
      </c>
      <c r="F101" s="32">
        <v>4373</v>
      </c>
      <c r="G101" s="44" t="s">
        <v>309</v>
      </c>
      <c r="H101" s="44"/>
      <c r="I101" s="27" t="s">
        <v>168</v>
      </c>
      <c r="J101" s="27" t="s">
        <v>7</v>
      </c>
    </row>
    <row r="102" spans="1:10" ht="32.4" x14ac:dyDescent="0.3">
      <c r="A102" s="2" t="s">
        <v>52</v>
      </c>
      <c r="B102" s="26" t="s">
        <v>301</v>
      </c>
      <c r="C102" s="26" t="s">
        <v>305</v>
      </c>
      <c r="D102" s="28" t="s">
        <v>115</v>
      </c>
      <c r="E102" s="28" t="s">
        <v>310</v>
      </c>
      <c r="F102" s="32">
        <v>1053</v>
      </c>
      <c r="G102" s="44" t="s">
        <v>311</v>
      </c>
      <c r="H102" s="44"/>
      <c r="I102" s="27" t="s">
        <v>168</v>
      </c>
      <c r="J102" s="27" t="s">
        <v>7</v>
      </c>
    </row>
    <row r="103" spans="1:10" ht="32.4" x14ac:dyDescent="0.3">
      <c r="A103" s="2" t="s">
        <v>52</v>
      </c>
      <c r="B103" s="26" t="s">
        <v>301</v>
      </c>
      <c r="C103" s="26" t="s">
        <v>305</v>
      </c>
      <c r="D103" s="28" t="s">
        <v>121</v>
      </c>
      <c r="E103" s="28" t="s">
        <v>312</v>
      </c>
      <c r="F103" s="32">
        <v>4500</v>
      </c>
      <c r="G103" s="44" t="s">
        <v>313</v>
      </c>
      <c r="H103" s="44"/>
      <c r="I103" s="27" t="s">
        <v>84</v>
      </c>
      <c r="J103" s="27" t="s">
        <v>7</v>
      </c>
    </row>
    <row r="104" spans="1:10" ht="32.4" x14ac:dyDescent="0.3">
      <c r="A104" s="2" t="s">
        <v>52</v>
      </c>
      <c r="B104" s="26" t="s">
        <v>301</v>
      </c>
      <c r="C104" s="26" t="s">
        <v>305</v>
      </c>
      <c r="D104" s="28" t="s">
        <v>216</v>
      </c>
      <c r="E104" s="28" t="s">
        <v>314</v>
      </c>
      <c r="F104" s="32">
        <v>633</v>
      </c>
      <c r="G104" s="44" t="s">
        <v>315</v>
      </c>
      <c r="H104" s="44"/>
      <c r="I104" s="27" t="s">
        <v>49</v>
      </c>
      <c r="J104" s="27" t="s">
        <v>7</v>
      </c>
    </row>
    <row r="105" spans="1:10" ht="32.4" x14ac:dyDescent="0.3">
      <c r="A105" s="2" t="s">
        <v>52</v>
      </c>
      <c r="B105" s="26" t="s">
        <v>316</v>
      </c>
      <c r="C105" s="26" t="s">
        <v>317</v>
      </c>
      <c r="D105" s="28" t="s">
        <v>115</v>
      </c>
      <c r="E105" s="28" t="s">
        <v>318</v>
      </c>
      <c r="F105" s="32">
        <v>360</v>
      </c>
      <c r="G105" s="44" t="s">
        <v>319</v>
      </c>
      <c r="H105" s="44"/>
      <c r="I105" s="27" t="s">
        <v>168</v>
      </c>
      <c r="J105" s="27" t="s">
        <v>7</v>
      </c>
    </row>
    <row r="106" spans="1:10" ht="32.4" x14ac:dyDescent="0.3">
      <c r="A106" s="2" t="s">
        <v>52</v>
      </c>
      <c r="B106" s="26" t="s">
        <v>316</v>
      </c>
      <c r="C106" s="26" t="s">
        <v>317</v>
      </c>
      <c r="D106" s="28" t="s">
        <v>141</v>
      </c>
      <c r="E106" s="28" t="s">
        <v>320</v>
      </c>
      <c r="F106" s="32">
        <v>2000</v>
      </c>
      <c r="G106" s="44" t="s">
        <v>321</v>
      </c>
      <c r="H106" s="44"/>
      <c r="I106" s="27" t="s">
        <v>102</v>
      </c>
      <c r="J106" s="27" t="s">
        <v>7</v>
      </c>
    </row>
    <row r="107" spans="1:10" ht="32.4" x14ac:dyDescent="0.3">
      <c r="A107" s="2" t="s">
        <v>52</v>
      </c>
      <c r="B107" s="26" t="s">
        <v>316</v>
      </c>
      <c r="C107" s="26" t="s">
        <v>317</v>
      </c>
      <c r="D107" s="28" t="s">
        <v>322</v>
      </c>
      <c r="E107" s="28" t="s">
        <v>323</v>
      </c>
      <c r="F107" s="32">
        <v>6667</v>
      </c>
      <c r="G107" s="44" t="s">
        <v>324</v>
      </c>
      <c r="H107" s="44"/>
      <c r="I107" s="27" t="s">
        <v>325</v>
      </c>
      <c r="J107" s="27" t="s">
        <v>7</v>
      </c>
    </row>
    <row r="108" spans="1:10" ht="32.4" x14ac:dyDescent="0.3">
      <c r="A108" s="2" t="s">
        <v>52</v>
      </c>
      <c r="B108" s="26" t="s">
        <v>316</v>
      </c>
      <c r="C108" s="26" t="s">
        <v>317</v>
      </c>
      <c r="D108" s="28" t="s">
        <v>141</v>
      </c>
      <c r="E108" s="28" t="s">
        <v>326</v>
      </c>
      <c r="F108" s="32">
        <v>8500</v>
      </c>
      <c r="G108" s="44" t="s">
        <v>327</v>
      </c>
      <c r="H108" s="44"/>
      <c r="I108" s="27" t="s">
        <v>328</v>
      </c>
      <c r="J108" s="27" t="s">
        <v>7</v>
      </c>
    </row>
    <row r="109" spans="1:10" ht="32.4" x14ac:dyDescent="0.3">
      <c r="A109" s="2" t="s">
        <v>22</v>
      </c>
      <c r="B109" s="26" t="s">
        <v>329</v>
      </c>
      <c r="C109" s="26" t="s">
        <v>330</v>
      </c>
      <c r="D109" s="28" t="s">
        <v>7</v>
      </c>
      <c r="E109" s="28" t="s">
        <v>331</v>
      </c>
      <c r="F109" s="32">
        <v>193300</v>
      </c>
      <c r="G109" s="44" t="s">
        <v>332</v>
      </c>
      <c r="H109" s="44"/>
      <c r="I109" s="27" t="s">
        <v>223</v>
      </c>
      <c r="J109" s="27" t="s">
        <v>7</v>
      </c>
    </row>
    <row r="110" spans="1:10" ht="32.4" x14ac:dyDescent="0.3">
      <c r="A110" s="2" t="s">
        <v>52</v>
      </c>
      <c r="B110" s="26" t="s">
        <v>333</v>
      </c>
      <c r="C110" s="26" t="s">
        <v>334</v>
      </c>
      <c r="D110" s="28" t="s">
        <v>141</v>
      </c>
      <c r="E110" s="28" t="s">
        <v>335</v>
      </c>
      <c r="F110" s="32">
        <v>21466</v>
      </c>
      <c r="G110" s="44" t="s">
        <v>336</v>
      </c>
      <c r="H110" s="44"/>
      <c r="I110" s="27" t="s">
        <v>337</v>
      </c>
      <c r="J110" s="27" t="s">
        <v>7</v>
      </c>
    </row>
    <row r="111" spans="1:10" ht="32.4" x14ac:dyDescent="0.3">
      <c r="A111" s="2" t="s">
        <v>52</v>
      </c>
      <c r="B111" s="26" t="s">
        <v>333</v>
      </c>
      <c r="C111" s="26" t="s">
        <v>338</v>
      </c>
      <c r="D111" s="28" t="s">
        <v>339</v>
      </c>
      <c r="E111" s="28" t="s">
        <v>340</v>
      </c>
      <c r="F111" s="32">
        <v>5700</v>
      </c>
      <c r="G111" s="44" t="s">
        <v>341</v>
      </c>
      <c r="H111" s="44"/>
      <c r="I111" s="27" t="s">
        <v>342</v>
      </c>
      <c r="J111" s="27" t="s">
        <v>7</v>
      </c>
    </row>
    <row r="112" spans="1:10" ht="32.4" x14ac:dyDescent="0.3">
      <c r="A112" s="2" t="s">
        <v>52</v>
      </c>
      <c r="B112" s="26" t="s">
        <v>343</v>
      </c>
      <c r="C112" s="26" t="s">
        <v>344</v>
      </c>
      <c r="D112" s="28" t="s">
        <v>141</v>
      </c>
      <c r="E112" s="28" t="s">
        <v>345</v>
      </c>
      <c r="F112" s="32">
        <v>22334</v>
      </c>
      <c r="G112" s="44" t="s">
        <v>346</v>
      </c>
      <c r="H112" s="44"/>
      <c r="I112" s="27" t="s">
        <v>347</v>
      </c>
      <c r="J112" s="27" t="s">
        <v>7</v>
      </c>
    </row>
    <row r="113" spans="1:10" x14ac:dyDescent="0.3">
      <c r="A113" s="2" t="s">
        <v>52</v>
      </c>
      <c r="B113" s="26" t="s">
        <v>343</v>
      </c>
      <c r="C113" s="26" t="s">
        <v>348</v>
      </c>
      <c r="D113" s="28" t="s">
        <v>124</v>
      </c>
      <c r="E113" s="28" t="s">
        <v>349</v>
      </c>
      <c r="F113" s="32">
        <v>590</v>
      </c>
      <c r="G113" s="44" t="s">
        <v>350</v>
      </c>
      <c r="H113" s="44"/>
      <c r="I113" s="27" t="s">
        <v>127</v>
      </c>
      <c r="J113" s="27" t="s">
        <v>7</v>
      </c>
    </row>
    <row r="114" spans="1:10" ht="32.4" x14ac:dyDescent="0.3">
      <c r="A114" s="2" t="s">
        <v>52</v>
      </c>
      <c r="B114" s="26" t="s">
        <v>343</v>
      </c>
      <c r="C114" s="26" t="s">
        <v>348</v>
      </c>
      <c r="D114" s="28" t="s">
        <v>121</v>
      </c>
      <c r="E114" s="28" t="s">
        <v>351</v>
      </c>
      <c r="F114" s="32">
        <v>600</v>
      </c>
      <c r="G114" s="44" t="s">
        <v>352</v>
      </c>
      <c r="H114" s="44"/>
      <c r="I114" s="27" t="s">
        <v>353</v>
      </c>
      <c r="J114" s="27" t="s">
        <v>7</v>
      </c>
    </row>
    <row r="115" spans="1:10" ht="32.4" x14ac:dyDescent="0.3">
      <c r="A115" s="2" t="s">
        <v>52</v>
      </c>
      <c r="B115" s="26" t="s">
        <v>343</v>
      </c>
      <c r="C115" s="26" t="s">
        <v>354</v>
      </c>
      <c r="D115" s="28" t="s">
        <v>141</v>
      </c>
      <c r="E115" s="28" t="s">
        <v>355</v>
      </c>
      <c r="F115" s="32">
        <v>1000</v>
      </c>
      <c r="G115" s="44" t="s">
        <v>356</v>
      </c>
      <c r="H115" s="44"/>
      <c r="I115" s="27" t="s">
        <v>133</v>
      </c>
      <c r="J115" s="27" t="s">
        <v>7</v>
      </c>
    </row>
    <row r="116" spans="1:10" ht="32.4" x14ac:dyDescent="0.3">
      <c r="A116" s="2" t="s">
        <v>52</v>
      </c>
      <c r="B116" s="26" t="s">
        <v>343</v>
      </c>
      <c r="C116" s="26" t="s">
        <v>354</v>
      </c>
      <c r="D116" s="28" t="s">
        <v>216</v>
      </c>
      <c r="E116" s="28" t="s">
        <v>357</v>
      </c>
      <c r="F116" s="32">
        <v>633</v>
      </c>
      <c r="G116" s="44" t="s">
        <v>358</v>
      </c>
      <c r="H116" s="44"/>
      <c r="I116" s="27" t="s">
        <v>49</v>
      </c>
      <c r="J116" s="27" t="s">
        <v>7</v>
      </c>
    </row>
    <row r="117" spans="1:10" ht="32.4" x14ac:dyDescent="0.3">
      <c r="A117" s="2" t="s">
        <v>22</v>
      </c>
      <c r="B117" s="26" t="s">
        <v>359</v>
      </c>
      <c r="C117" s="26" t="s">
        <v>330</v>
      </c>
      <c r="D117" s="28" t="s">
        <v>7</v>
      </c>
      <c r="E117" s="28" t="s">
        <v>360</v>
      </c>
      <c r="F117" s="32">
        <v>50826</v>
      </c>
      <c r="G117" s="44" t="s">
        <v>361</v>
      </c>
      <c r="H117" s="44"/>
      <c r="I117" s="27" t="s">
        <v>235</v>
      </c>
      <c r="J117" s="27" t="s">
        <v>7</v>
      </c>
    </row>
    <row r="118" spans="1:10" ht="32.4" x14ac:dyDescent="0.3">
      <c r="A118" s="2" t="s">
        <v>52</v>
      </c>
      <c r="B118" s="26" t="s">
        <v>362</v>
      </c>
      <c r="C118" s="26" t="s">
        <v>363</v>
      </c>
      <c r="D118" s="28" t="s">
        <v>81</v>
      </c>
      <c r="E118" s="28" t="s">
        <v>364</v>
      </c>
      <c r="F118" s="32">
        <v>24101</v>
      </c>
      <c r="G118" s="44" t="s">
        <v>365</v>
      </c>
      <c r="H118" s="44"/>
      <c r="I118" s="27" t="s">
        <v>49</v>
      </c>
      <c r="J118" s="27" t="s">
        <v>7</v>
      </c>
    </row>
    <row r="119" spans="1:10" ht="32.4" x14ac:dyDescent="0.3">
      <c r="A119" s="2" t="s">
        <v>52</v>
      </c>
      <c r="B119" s="26" t="s">
        <v>362</v>
      </c>
      <c r="C119" s="26" t="s">
        <v>366</v>
      </c>
      <c r="D119" s="28" t="s">
        <v>367</v>
      </c>
      <c r="E119" s="28" t="s">
        <v>368</v>
      </c>
      <c r="F119" s="32">
        <v>21734</v>
      </c>
      <c r="G119" s="44" t="s">
        <v>369</v>
      </c>
      <c r="H119" s="44"/>
      <c r="I119" s="27" t="s">
        <v>370</v>
      </c>
      <c r="J119" s="27" t="s">
        <v>7</v>
      </c>
    </row>
    <row r="120" spans="1:10" ht="32.4" x14ac:dyDescent="0.3">
      <c r="A120" s="2" t="s">
        <v>52</v>
      </c>
      <c r="B120" s="26" t="s">
        <v>362</v>
      </c>
      <c r="C120" s="26" t="s">
        <v>371</v>
      </c>
      <c r="D120" s="28" t="s">
        <v>81</v>
      </c>
      <c r="E120" s="28" t="s">
        <v>372</v>
      </c>
      <c r="F120" s="32">
        <v>14369</v>
      </c>
      <c r="G120" s="44" t="s">
        <v>373</v>
      </c>
      <c r="H120" s="44"/>
      <c r="I120" s="27" t="s">
        <v>211</v>
      </c>
      <c r="J120" s="27" t="s">
        <v>7</v>
      </c>
    </row>
    <row r="121" spans="1:10" ht="32.4" x14ac:dyDescent="0.3">
      <c r="A121" s="2" t="s">
        <v>52</v>
      </c>
      <c r="B121" s="26" t="s">
        <v>362</v>
      </c>
      <c r="C121" s="26" t="s">
        <v>374</v>
      </c>
      <c r="D121" s="28" t="s">
        <v>81</v>
      </c>
      <c r="E121" s="28" t="s">
        <v>375</v>
      </c>
      <c r="F121" s="32">
        <v>13274</v>
      </c>
      <c r="G121" s="44" t="s">
        <v>376</v>
      </c>
      <c r="H121" s="44"/>
      <c r="I121" s="27" t="s">
        <v>211</v>
      </c>
      <c r="J121" s="27" t="s">
        <v>7</v>
      </c>
    </row>
    <row r="122" spans="1:10" ht="32.4" x14ac:dyDescent="0.3">
      <c r="A122" s="2" t="s">
        <v>52</v>
      </c>
      <c r="B122" s="26" t="s">
        <v>362</v>
      </c>
      <c r="C122" s="26" t="s">
        <v>377</v>
      </c>
      <c r="D122" s="28" t="s">
        <v>81</v>
      </c>
      <c r="E122" s="28" t="s">
        <v>378</v>
      </c>
      <c r="F122" s="32">
        <v>11815</v>
      </c>
      <c r="G122" s="44" t="s">
        <v>379</v>
      </c>
      <c r="H122" s="44"/>
      <c r="I122" s="27" t="s">
        <v>84</v>
      </c>
      <c r="J122" s="27" t="s">
        <v>7</v>
      </c>
    </row>
    <row r="123" spans="1:10" ht="32.4" x14ac:dyDescent="0.3">
      <c r="A123" s="2" t="s">
        <v>52</v>
      </c>
      <c r="B123" s="26" t="s">
        <v>380</v>
      </c>
      <c r="C123" s="26" t="s">
        <v>381</v>
      </c>
      <c r="D123" s="28" t="s">
        <v>141</v>
      </c>
      <c r="E123" s="28" t="s">
        <v>382</v>
      </c>
      <c r="F123" s="32">
        <v>11960</v>
      </c>
      <c r="G123" s="44" t="s">
        <v>383</v>
      </c>
      <c r="H123" s="44"/>
      <c r="I123" s="27" t="s">
        <v>337</v>
      </c>
      <c r="J123" s="27" t="s">
        <v>7</v>
      </c>
    </row>
    <row r="124" spans="1:10" ht="32.4" x14ac:dyDescent="0.3">
      <c r="A124" s="2" t="s">
        <v>52</v>
      </c>
      <c r="B124" s="26" t="s">
        <v>384</v>
      </c>
      <c r="C124" s="26" t="s">
        <v>385</v>
      </c>
      <c r="D124" s="28" t="s">
        <v>141</v>
      </c>
      <c r="E124" s="28" t="s">
        <v>386</v>
      </c>
      <c r="F124" s="32">
        <v>1420</v>
      </c>
      <c r="G124" s="44" t="s">
        <v>387</v>
      </c>
      <c r="H124" s="44"/>
      <c r="I124" s="27" t="s">
        <v>98</v>
      </c>
      <c r="J124" s="27" t="s">
        <v>7</v>
      </c>
    </row>
    <row r="125" spans="1:10" ht="32.4" x14ac:dyDescent="0.3">
      <c r="A125" s="2" t="s">
        <v>52</v>
      </c>
      <c r="B125" s="26" t="s">
        <v>384</v>
      </c>
      <c r="C125" s="26" t="s">
        <v>385</v>
      </c>
      <c r="D125" s="28" t="s">
        <v>121</v>
      </c>
      <c r="E125" s="28" t="s">
        <v>386</v>
      </c>
      <c r="F125" s="32">
        <v>252</v>
      </c>
      <c r="G125" s="44" t="s">
        <v>387</v>
      </c>
      <c r="H125" s="44"/>
      <c r="I125" s="27" t="s">
        <v>98</v>
      </c>
      <c r="J125" s="27" t="s">
        <v>7</v>
      </c>
    </row>
    <row r="126" spans="1:10" ht="32.4" x14ac:dyDescent="0.3">
      <c r="A126" s="2" t="s">
        <v>52</v>
      </c>
      <c r="B126" s="26" t="s">
        <v>384</v>
      </c>
      <c r="C126" s="26" t="s">
        <v>385</v>
      </c>
      <c r="D126" s="28" t="s">
        <v>141</v>
      </c>
      <c r="E126" s="28" t="s">
        <v>388</v>
      </c>
      <c r="F126" s="32">
        <v>807</v>
      </c>
      <c r="G126" s="44" t="s">
        <v>389</v>
      </c>
      <c r="H126" s="44"/>
      <c r="I126" s="27" t="s">
        <v>49</v>
      </c>
      <c r="J126" s="27" t="s">
        <v>7</v>
      </c>
    </row>
    <row r="127" spans="1:10" ht="32.4" x14ac:dyDescent="0.3">
      <c r="A127" s="2" t="s">
        <v>52</v>
      </c>
      <c r="B127" s="26" t="s">
        <v>384</v>
      </c>
      <c r="C127" s="26" t="s">
        <v>390</v>
      </c>
      <c r="D127" s="28" t="s">
        <v>55</v>
      </c>
      <c r="E127" s="28" t="s">
        <v>391</v>
      </c>
      <c r="F127" s="32">
        <v>10355</v>
      </c>
      <c r="G127" s="44" t="s">
        <v>392</v>
      </c>
      <c r="H127" s="44"/>
      <c r="I127" s="27" t="s">
        <v>393</v>
      </c>
      <c r="J127" s="27" t="s">
        <v>7</v>
      </c>
    </row>
    <row r="128" spans="1:10" ht="32.4" x14ac:dyDescent="0.3">
      <c r="A128" s="2" t="s">
        <v>52</v>
      </c>
      <c r="B128" s="26" t="s">
        <v>394</v>
      </c>
      <c r="C128" s="26" t="s">
        <v>395</v>
      </c>
      <c r="D128" s="28" t="s">
        <v>216</v>
      </c>
      <c r="E128" s="28" t="s">
        <v>396</v>
      </c>
      <c r="F128" s="32">
        <v>663</v>
      </c>
      <c r="G128" s="44" t="s">
        <v>397</v>
      </c>
      <c r="H128" s="44"/>
      <c r="I128" s="27" t="s">
        <v>49</v>
      </c>
      <c r="J128" s="27" t="s">
        <v>7</v>
      </c>
    </row>
    <row r="129" spans="1:10" ht="32.4" x14ac:dyDescent="0.3">
      <c r="A129" s="2" t="s">
        <v>52</v>
      </c>
      <c r="B129" s="26" t="s">
        <v>394</v>
      </c>
      <c r="C129" s="26" t="s">
        <v>395</v>
      </c>
      <c r="D129" s="28" t="s">
        <v>141</v>
      </c>
      <c r="E129" s="28" t="s">
        <v>398</v>
      </c>
      <c r="F129" s="32">
        <v>2990</v>
      </c>
      <c r="G129" s="44" t="s">
        <v>399</v>
      </c>
      <c r="H129" s="44"/>
      <c r="I129" s="27" t="s">
        <v>49</v>
      </c>
      <c r="J129" s="27" t="s">
        <v>7</v>
      </c>
    </row>
    <row r="130" spans="1:10" x14ac:dyDescent="0.3">
      <c r="A130" s="2" t="s">
        <v>52</v>
      </c>
      <c r="B130" s="26" t="s">
        <v>394</v>
      </c>
      <c r="C130" s="26" t="s">
        <v>395</v>
      </c>
      <c r="D130" s="28" t="s">
        <v>115</v>
      </c>
      <c r="E130" s="28" t="s">
        <v>400</v>
      </c>
      <c r="F130" s="32">
        <v>3762</v>
      </c>
      <c r="G130" s="44" t="s">
        <v>401</v>
      </c>
      <c r="H130" s="44"/>
      <c r="I130" s="27" t="s">
        <v>118</v>
      </c>
      <c r="J130" s="27" t="s">
        <v>7</v>
      </c>
    </row>
    <row r="131" spans="1:10" ht="32.4" x14ac:dyDescent="0.3">
      <c r="A131" s="2" t="s">
        <v>52</v>
      </c>
      <c r="B131" s="26" t="s">
        <v>394</v>
      </c>
      <c r="C131" s="26" t="s">
        <v>395</v>
      </c>
      <c r="D131" s="28" t="s">
        <v>245</v>
      </c>
      <c r="E131" s="28" t="s">
        <v>402</v>
      </c>
      <c r="F131" s="32">
        <v>10000</v>
      </c>
      <c r="G131" s="44" t="s">
        <v>403</v>
      </c>
      <c r="H131" s="44"/>
      <c r="I131" s="27" t="s">
        <v>404</v>
      </c>
      <c r="J131" s="27" t="s">
        <v>7</v>
      </c>
    </row>
    <row r="132" spans="1:10" ht="32.4" x14ac:dyDescent="0.3">
      <c r="A132" s="2" t="s">
        <v>52</v>
      </c>
      <c r="B132" s="26" t="s">
        <v>405</v>
      </c>
      <c r="C132" s="26" t="s">
        <v>406</v>
      </c>
      <c r="D132" s="28" t="s">
        <v>216</v>
      </c>
      <c r="E132" s="28" t="s">
        <v>407</v>
      </c>
      <c r="F132" s="32">
        <v>629</v>
      </c>
      <c r="G132" s="44" t="s">
        <v>408</v>
      </c>
      <c r="H132" s="44"/>
      <c r="I132" s="27" t="s">
        <v>49</v>
      </c>
      <c r="J132" s="27" t="s">
        <v>7</v>
      </c>
    </row>
    <row r="133" spans="1:10" ht="32.4" x14ac:dyDescent="0.3">
      <c r="A133" s="2" t="s">
        <v>52</v>
      </c>
      <c r="B133" s="26" t="s">
        <v>405</v>
      </c>
      <c r="C133" s="26" t="s">
        <v>406</v>
      </c>
      <c r="D133" s="28" t="s">
        <v>141</v>
      </c>
      <c r="E133" s="28" t="s">
        <v>409</v>
      </c>
      <c r="F133" s="32">
        <v>2780</v>
      </c>
      <c r="G133" s="44" t="s">
        <v>410</v>
      </c>
      <c r="H133" s="44"/>
      <c r="I133" s="27" t="s">
        <v>347</v>
      </c>
      <c r="J133" s="27" t="s">
        <v>7</v>
      </c>
    </row>
    <row r="134" spans="1:10" ht="32.4" x14ac:dyDescent="0.3">
      <c r="A134" s="2" t="s">
        <v>52</v>
      </c>
      <c r="B134" s="26" t="s">
        <v>405</v>
      </c>
      <c r="C134" s="26" t="s">
        <v>406</v>
      </c>
      <c r="D134" s="28" t="s">
        <v>322</v>
      </c>
      <c r="E134" s="28" t="s">
        <v>411</v>
      </c>
      <c r="F134" s="32">
        <v>6667</v>
      </c>
      <c r="G134" s="44" t="s">
        <v>412</v>
      </c>
      <c r="H134" s="44"/>
      <c r="I134" s="27" t="s">
        <v>325</v>
      </c>
      <c r="J134" s="27" t="s">
        <v>7</v>
      </c>
    </row>
    <row r="135" spans="1:10" ht="32.4" x14ac:dyDescent="0.3">
      <c r="A135" s="2" t="s">
        <v>52</v>
      </c>
      <c r="B135" s="26" t="s">
        <v>405</v>
      </c>
      <c r="C135" s="26" t="s">
        <v>406</v>
      </c>
      <c r="D135" s="28" t="s">
        <v>121</v>
      </c>
      <c r="E135" s="28" t="s">
        <v>413</v>
      </c>
      <c r="F135" s="32">
        <v>430</v>
      </c>
      <c r="G135" s="44" t="s">
        <v>414</v>
      </c>
      <c r="H135" s="44"/>
      <c r="I135" s="27" t="s">
        <v>328</v>
      </c>
      <c r="J135" s="27" t="s">
        <v>7</v>
      </c>
    </row>
    <row r="136" spans="1:10" ht="32.4" x14ac:dyDescent="0.3">
      <c r="A136" s="2" t="s">
        <v>52</v>
      </c>
      <c r="B136" s="26" t="s">
        <v>405</v>
      </c>
      <c r="C136" s="26" t="s">
        <v>415</v>
      </c>
      <c r="D136" s="28" t="s">
        <v>141</v>
      </c>
      <c r="E136" s="28" t="s">
        <v>416</v>
      </c>
      <c r="F136" s="32">
        <v>6850</v>
      </c>
      <c r="G136" s="44" t="s">
        <v>417</v>
      </c>
      <c r="H136" s="44"/>
      <c r="I136" s="27" t="s">
        <v>211</v>
      </c>
      <c r="J136" s="27" t="s">
        <v>7</v>
      </c>
    </row>
    <row r="137" spans="1:10" x14ac:dyDescent="0.3">
      <c r="A137" s="2" t="s">
        <v>52</v>
      </c>
      <c r="B137" s="26" t="s">
        <v>405</v>
      </c>
      <c r="C137" s="26" t="s">
        <v>415</v>
      </c>
      <c r="D137" s="28" t="s">
        <v>130</v>
      </c>
      <c r="E137" s="28" t="s">
        <v>418</v>
      </c>
      <c r="F137" s="32">
        <v>1800</v>
      </c>
      <c r="G137" s="44" t="s">
        <v>419</v>
      </c>
      <c r="H137" s="44"/>
      <c r="I137" s="27" t="s">
        <v>133</v>
      </c>
      <c r="J137" s="27" t="s">
        <v>7</v>
      </c>
    </row>
    <row r="138" spans="1:10" x14ac:dyDescent="0.3">
      <c r="A138" s="2" t="s">
        <v>52</v>
      </c>
      <c r="B138" s="26" t="s">
        <v>405</v>
      </c>
      <c r="C138" s="26" t="s">
        <v>415</v>
      </c>
      <c r="D138" s="28" t="s">
        <v>130</v>
      </c>
      <c r="E138" s="28" t="s">
        <v>420</v>
      </c>
      <c r="F138" s="32">
        <v>1440</v>
      </c>
      <c r="G138" s="44" t="s">
        <v>421</v>
      </c>
      <c r="H138" s="44"/>
      <c r="I138" s="27" t="s">
        <v>70</v>
      </c>
      <c r="J138" s="27" t="s">
        <v>7</v>
      </c>
    </row>
    <row r="139" spans="1:10" ht="32.4" x14ac:dyDescent="0.3">
      <c r="A139" s="2" t="s">
        <v>52</v>
      </c>
      <c r="B139" s="26" t="s">
        <v>405</v>
      </c>
      <c r="C139" s="26" t="s">
        <v>415</v>
      </c>
      <c r="D139" s="28" t="s">
        <v>422</v>
      </c>
      <c r="E139" s="28" t="s">
        <v>423</v>
      </c>
      <c r="F139" s="32">
        <v>4604</v>
      </c>
      <c r="G139" s="44" t="s">
        <v>424</v>
      </c>
      <c r="H139" s="44"/>
      <c r="I139" s="27" t="s">
        <v>49</v>
      </c>
      <c r="J139" s="27" t="s">
        <v>7</v>
      </c>
    </row>
    <row r="140" spans="1:10" ht="32.4" x14ac:dyDescent="0.3">
      <c r="A140" s="2" t="s">
        <v>44</v>
      </c>
      <c r="B140" s="26" t="s">
        <v>405</v>
      </c>
      <c r="C140" s="26" t="s">
        <v>46</v>
      </c>
      <c r="D140" s="28" t="s">
        <v>7</v>
      </c>
      <c r="E140" s="28" t="s">
        <v>425</v>
      </c>
      <c r="F140" s="32">
        <v>5277</v>
      </c>
      <c r="G140" s="44" t="s">
        <v>426</v>
      </c>
      <c r="H140" s="44"/>
      <c r="I140" s="27" t="s">
        <v>98</v>
      </c>
      <c r="J140" s="27" t="s">
        <v>7</v>
      </c>
    </row>
    <row r="141" spans="1:10" ht="32.4" x14ac:dyDescent="0.3">
      <c r="A141" s="2" t="s">
        <v>44</v>
      </c>
      <c r="B141" s="26" t="s">
        <v>405</v>
      </c>
      <c r="C141" s="26" t="s">
        <v>46</v>
      </c>
      <c r="D141" s="28" t="s">
        <v>7</v>
      </c>
      <c r="E141" s="28" t="s">
        <v>427</v>
      </c>
      <c r="F141" s="32">
        <v>4555</v>
      </c>
      <c r="G141" s="44" t="s">
        <v>428</v>
      </c>
      <c r="H141" s="44"/>
      <c r="I141" s="27" t="s">
        <v>98</v>
      </c>
      <c r="J141" s="27" t="s">
        <v>7</v>
      </c>
    </row>
    <row r="142" spans="1:10" ht="32.4" x14ac:dyDescent="0.3">
      <c r="A142" s="2" t="s">
        <v>52</v>
      </c>
      <c r="B142" s="26" t="s">
        <v>429</v>
      </c>
      <c r="C142" s="26" t="s">
        <v>430</v>
      </c>
      <c r="D142" s="28" t="s">
        <v>121</v>
      </c>
      <c r="E142" s="28" t="s">
        <v>431</v>
      </c>
      <c r="F142" s="32">
        <v>500</v>
      </c>
      <c r="G142" s="44" t="s">
        <v>432</v>
      </c>
      <c r="H142" s="44"/>
      <c r="I142" s="27" t="s">
        <v>433</v>
      </c>
      <c r="J142" s="27" t="s">
        <v>7</v>
      </c>
    </row>
    <row r="143" spans="1:10" ht="32.4" x14ac:dyDescent="0.3">
      <c r="A143" s="2" t="s">
        <v>52</v>
      </c>
      <c r="B143" s="26" t="s">
        <v>429</v>
      </c>
      <c r="C143" s="26" t="s">
        <v>430</v>
      </c>
      <c r="D143" s="28" t="s">
        <v>141</v>
      </c>
      <c r="E143" s="28" t="s">
        <v>434</v>
      </c>
      <c r="F143" s="32">
        <v>630</v>
      </c>
      <c r="G143" s="44" t="s">
        <v>435</v>
      </c>
      <c r="H143" s="44"/>
      <c r="I143" s="27" t="s">
        <v>433</v>
      </c>
      <c r="J143" s="27" t="s">
        <v>7</v>
      </c>
    </row>
    <row r="144" spans="1:10" ht="32.4" x14ac:dyDescent="0.3">
      <c r="A144" s="2" t="s">
        <v>52</v>
      </c>
      <c r="B144" s="26" t="s">
        <v>429</v>
      </c>
      <c r="C144" s="26" t="s">
        <v>430</v>
      </c>
      <c r="D144" s="28" t="s">
        <v>141</v>
      </c>
      <c r="E144" s="28" t="s">
        <v>436</v>
      </c>
      <c r="F144" s="32">
        <v>1695</v>
      </c>
      <c r="G144" s="44" t="s">
        <v>435</v>
      </c>
      <c r="H144" s="44"/>
      <c r="I144" s="27" t="s">
        <v>433</v>
      </c>
      <c r="J144" s="27" t="s">
        <v>7</v>
      </c>
    </row>
    <row r="145" spans="1:10" ht="32.4" x14ac:dyDescent="0.3">
      <c r="A145" s="2" t="s">
        <v>52</v>
      </c>
      <c r="B145" s="26" t="s">
        <v>429</v>
      </c>
      <c r="C145" s="26" t="s">
        <v>430</v>
      </c>
      <c r="D145" s="28" t="s">
        <v>141</v>
      </c>
      <c r="E145" s="28" t="s">
        <v>437</v>
      </c>
      <c r="F145" s="32">
        <v>3831</v>
      </c>
      <c r="G145" s="44" t="s">
        <v>438</v>
      </c>
      <c r="H145" s="44"/>
      <c r="I145" s="27" t="s">
        <v>168</v>
      </c>
      <c r="J145" s="27" t="s">
        <v>7</v>
      </c>
    </row>
    <row r="146" spans="1:10" ht="32.4" x14ac:dyDescent="0.3">
      <c r="A146" s="2" t="s">
        <v>52</v>
      </c>
      <c r="B146" s="26" t="s">
        <v>429</v>
      </c>
      <c r="C146" s="26" t="s">
        <v>439</v>
      </c>
      <c r="D146" s="28" t="s">
        <v>195</v>
      </c>
      <c r="E146" s="28" t="s">
        <v>440</v>
      </c>
      <c r="F146" s="32">
        <v>70000</v>
      </c>
      <c r="G146" s="44" t="s">
        <v>441</v>
      </c>
      <c r="H146" s="44"/>
      <c r="I146" s="27" t="s">
        <v>79</v>
      </c>
      <c r="J146" s="27" t="s">
        <v>7</v>
      </c>
    </row>
    <row r="147" spans="1:10" ht="32.4" x14ac:dyDescent="0.3">
      <c r="A147" s="2" t="s">
        <v>52</v>
      </c>
      <c r="B147" s="26" t="s">
        <v>429</v>
      </c>
      <c r="C147" s="26" t="s">
        <v>442</v>
      </c>
      <c r="D147" s="28" t="s">
        <v>141</v>
      </c>
      <c r="E147" s="28" t="s">
        <v>443</v>
      </c>
      <c r="F147" s="32">
        <v>30145</v>
      </c>
      <c r="G147" s="44" t="s">
        <v>444</v>
      </c>
      <c r="H147" s="44"/>
      <c r="I147" s="27" t="s">
        <v>393</v>
      </c>
      <c r="J147" s="27" t="s">
        <v>7</v>
      </c>
    </row>
    <row r="148" spans="1:10" ht="32.4" x14ac:dyDescent="0.3">
      <c r="A148" s="2" t="s">
        <v>52</v>
      </c>
      <c r="B148" s="26" t="s">
        <v>429</v>
      </c>
      <c r="C148" s="26" t="s">
        <v>445</v>
      </c>
      <c r="D148" s="28" t="s">
        <v>81</v>
      </c>
      <c r="E148" s="28" t="s">
        <v>446</v>
      </c>
      <c r="F148" s="32">
        <v>17419</v>
      </c>
      <c r="G148" s="44" t="s">
        <v>447</v>
      </c>
      <c r="H148" s="44"/>
      <c r="I148" s="27" t="s">
        <v>183</v>
      </c>
      <c r="J148" s="27" t="s">
        <v>7</v>
      </c>
    </row>
    <row r="149" spans="1:10" ht="32.4" x14ac:dyDescent="0.3">
      <c r="A149" s="2" t="s">
        <v>52</v>
      </c>
      <c r="B149" s="26" t="s">
        <v>429</v>
      </c>
      <c r="C149" s="26" t="s">
        <v>448</v>
      </c>
      <c r="D149" s="28" t="s">
        <v>81</v>
      </c>
      <c r="E149" s="28" t="s">
        <v>449</v>
      </c>
      <c r="F149" s="32">
        <v>6968</v>
      </c>
      <c r="G149" s="44" t="s">
        <v>450</v>
      </c>
      <c r="H149" s="44"/>
      <c r="I149" s="27" t="s">
        <v>239</v>
      </c>
      <c r="J149" s="27" t="s">
        <v>7</v>
      </c>
    </row>
    <row r="150" spans="1:10" ht="32.4" x14ac:dyDescent="0.3">
      <c r="A150" s="2" t="s">
        <v>52</v>
      </c>
      <c r="B150" s="26" t="s">
        <v>429</v>
      </c>
      <c r="C150" s="26" t="s">
        <v>451</v>
      </c>
      <c r="D150" s="28" t="s">
        <v>81</v>
      </c>
      <c r="E150" s="28" t="s">
        <v>452</v>
      </c>
      <c r="F150" s="32">
        <v>6968</v>
      </c>
      <c r="G150" s="44" t="s">
        <v>453</v>
      </c>
      <c r="H150" s="44"/>
      <c r="I150" s="27" t="s">
        <v>239</v>
      </c>
      <c r="J150" s="27" t="s">
        <v>7</v>
      </c>
    </row>
    <row r="151" spans="1:10" ht="32.4" x14ac:dyDescent="0.3">
      <c r="A151" s="2" t="s">
        <v>52</v>
      </c>
      <c r="B151" s="26" t="s">
        <v>429</v>
      </c>
      <c r="C151" s="26" t="s">
        <v>454</v>
      </c>
      <c r="D151" s="28" t="s">
        <v>81</v>
      </c>
      <c r="E151" s="28" t="s">
        <v>455</v>
      </c>
      <c r="F151" s="32">
        <v>20894</v>
      </c>
      <c r="G151" s="44" t="s">
        <v>456</v>
      </c>
      <c r="H151" s="44"/>
      <c r="I151" s="27" t="s">
        <v>163</v>
      </c>
      <c r="J151" s="27" t="s">
        <v>7</v>
      </c>
    </row>
    <row r="152" spans="1:10" ht="32.4" x14ac:dyDescent="0.3">
      <c r="A152" s="2" t="s">
        <v>52</v>
      </c>
      <c r="B152" s="26" t="s">
        <v>457</v>
      </c>
      <c r="C152" s="26" t="s">
        <v>458</v>
      </c>
      <c r="D152" s="28" t="s">
        <v>141</v>
      </c>
      <c r="E152" s="28" t="s">
        <v>459</v>
      </c>
      <c r="F152" s="32">
        <v>53100</v>
      </c>
      <c r="G152" s="44" t="s">
        <v>460</v>
      </c>
      <c r="H152" s="44"/>
      <c r="I152" s="27" t="s">
        <v>58</v>
      </c>
      <c r="J152" s="27" t="s">
        <v>7</v>
      </c>
    </row>
    <row r="153" spans="1:10" ht="32.4" x14ac:dyDescent="0.3">
      <c r="A153" s="2" t="s">
        <v>52</v>
      </c>
      <c r="B153" s="26" t="s">
        <v>457</v>
      </c>
      <c r="C153" s="26" t="s">
        <v>461</v>
      </c>
      <c r="D153" s="28" t="s">
        <v>141</v>
      </c>
      <c r="E153" s="28" t="s">
        <v>462</v>
      </c>
      <c r="F153" s="32">
        <v>10220</v>
      </c>
      <c r="G153" s="44" t="s">
        <v>463</v>
      </c>
      <c r="H153" s="44"/>
      <c r="I153" s="27" t="s">
        <v>94</v>
      </c>
      <c r="J153" s="27" t="s">
        <v>7</v>
      </c>
    </row>
    <row r="154" spans="1:10" ht="32.4" x14ac:dyDescent="0.3">
      <c r="A154" s="2" t="s">
        <v>52</v>
      </c>
      <c r="B154" s="26" t="s">
        <v>457</v>
      </c>
      <c r="C154" s="26" t="s">
        <v>464</v>
      </c>
      <c r="D154" s="28" t="s">
        <v>141</v>
      </c>
      <c r="E154" s="28" t="s">
        <v>465</v>
      </c>
      <c r="F154" s="32">
        <v>13660</v>
      </c>
      <c r="G154" s="44" t="s">
        <v>466</v>
      </c>
      <c r="H154" s="44"/>
      <c r="I154" s="27" t="s">
        <v>337</v>
      </c>
      <c r="J154" s="27" t="s">
        <v>7</v>
      </c>
    </row>
    <row r="155" spans="1:10" ht="32.4" x14ac:dyDescent="0.3">
      <c r="A155" s="2" t="s">
        <v>52</v>
      </c>
      <c r="B155" s="26" t="s">
        <v>457</v>
      </c>
      <c r="C155" s="26" t="s">
        <v>467</v>
      </c>
      <c r="D155" s="28" t="s">
        <v>141</v>
      </c>
      <c r="E155" s="28" t="s">
        <v>468</v>
      </c>
      <c r="F155" s="32">
        <v>11910</v>
      </c>
      <c r="G155" s="44" t="s">
        <v>469</v>
      </c>
      <c r="H155" s="44"/>
      <c r="I155" s="27" t="s">
        <v>337</v>
      </c>
      <c r="J155" s="27" t="s">
        <v>7</v>
      </c>
    </row>
    <row r="156" spans="1:10" ht="32.4" x14ac:dyDescent="0.3">
      <c r="A156" s="2" t="s">
        <v>52</v>
      </c>
      <c r="B156" s="26" t="s">
        <v>457</v>
      </c>
      <c r="C156" s="26" t="s">
        <v>470</v>
      </c>
      <c r="D156" s="28" t="s">
        <v>471</v>
      </c>
      <c r="E156" s="28" t="s">
        <v>472</v>
      </c>
      <c r="F156" s="32">
        <v>4084</v>
      </c>
      <c r="G156" s="44" t="s">
        <v>473</v>
      </c>
      <c r="H156" s="44"/>
      <c r="I156" s="27" t="s">
        <v>211</v>
      </c>
      <c r="J156" s="27" t="s">
        <v>7</v>
      </c>
    </row>
    <row r="157" spans="1:10" ht="32.4" x14ac:dyDescent="0.3">
      <c r="A157" s="2" t="s">
        <v>52</v>
      </c>
      <c r="B157" s="26" t="s">
        <v>457</v>
      </c>
      <c r="C157" s="26" t="s">
        <v>470</v>
      </c>
      <c r="D157" s="28" t="s">
        <v>471</v>
      </c>
      <c r="E157" s="28" t="s">
        <v>474</v>
      </c>
      <c r="F157" s="32">
        <v>2042</v>
      </c>
      <c r="G157" s="44" t="s">
        <v>475</v>
      </c>
      <c r="H157" s="44"/>
      <c r="I157" s="27" t="s">
        <v>211</v>
      </c>
      <c r="J157" s="27" t="s">
        <v>7</v>
      </c>
    </row>
    <row r="158" spans="1:10" ht="48.6" x14ac:dyDescent="0.3">
      <c r="A158" s="2" t="s">
        <v>52</v>
      </c>
      <c r="B158" s="26" t="s">
        <v>457</v>
      </c>
      <c r="C158" s="26" t="s">
        <v>470</v>
      </c>
      <c r="D158" s="28" t="s">
        <v>110</v>
      </c>
      <c r="E158" s="28" t="s">
        <v>476</v>
      </c>
      <c r="F158" s="32">
        <v>4000</v>
      </c>
      <c r="G158" s="44" t="s">
        <v>477</v>
      </c>
      <c r="H158" s="44"/>
      <c r="I158" s="27" t="s">
        <v>478</v>
      </c>
      <c r="J158" s="27" t="s">
        <v>7</v>
      </c>
    </row>
    <row r="159" spans="1:10" x14ac:dyDescent="0.3">
      <c r="A159" s="2" t="s">
        <v>52</v>
      </c>
      <c r="B159" s="26" t="s">
        <v>479</v>
      </c>
      <c r="C159" s="26" t="s">
        <v>480</v>
      </c>
      <c r="D159" s="28" t="s">
        <v>115</v>
      </c>
      <c r="E159" s="28" t="s">
        <v>481</v>
      </c>
      <c r="F159" s="32">
        <v>1100</v>
      </c>
      <c r="G159" s="44" t="s">
        <v>482</v>
      </c>
      <c r="H159" s="44"/>
      <c r="I159" s="27" t="s">
        <v>70</v>
      </c>
      <c r="J159" s="27" t="s">
        <v>7</v>
      </c>
    </row>
    <row r="160" spans="1:10" ht="32.4" x14ac:dyDescent="0.3">
      <c r="A160" s="2" t="s">
        <v>52</v>
      </c>
      <c r="B160" s="26" t="s">
        <v>479</v>
      </c>
      <c r="C160" s="26" t="s">
        <v>483</v>
      </c>
      <c r="D160" s="28" t="s">
        <v>216</v>
      </c>
      <c r="E160" s="28" t="s">
        <v>484</v>
      </c>
      <c r="F160" s="32">
        <v>638</v>
      </c>
      <c r="G160" s="44" t="s">
        <v>485</v>
      </c>
      <c r="H160" s="44"/>
      <c r="I160" s="27" t="s">
        <v>486</v>
      </c>
      <c r="J160" s="27" t="s">
        <v>7</v>
      </c>
    </row>
    <row r="161" spans="1:10" x14ac:dyDescent="0.3">
      <c r="A161" s="2" t="s">
        <v>52</v>
      </c>
      <c r="B161" s="26" t="s">
        <v>479</v>
      </c>
      <c r="C161" s="26" t="s">
        <v>483</v>
      </c>
      <c r="D161" s="28" t="s">
        <v>62</v>
      </c>
      <c r="E161" s="28" t="s">
        <v>487</v>
      </c>
      <c r="F161" s="32">
        <v>1458</v>
      </c>
      <c r="G161" s="44" t="s">
        <v>488</v>
      </c>
      <c r="H161" s="44"/>
      <c r="I161" s="27" t="s">
        <v>489</v>
      </c>
      <c r="J161" s="27" t="s">
        <v>7</v>
      </c>
    </row>
    <row r="162" spans="1:10" ht="32.4" x14ac:dyDescent="0.3">
      <c r="A162" s="2" t="s">
        <v>52</v>
      </c>
      <c r="B162" s="26" t="s">
        <v>479</v>
      </c>
      <c r="C162" s="26" t="s">
        <v>483</v>
      </c>
      <c r="D162" s="28" t="s">
        <v>141</v>
      </c>
      <c r="E162" s="28" t="s">
        <v>490</v>
      </c>
      <c r="F162" s="32">
        <v>203</v>
      </c>
      <c r="G162" s="44" t="s">
        <v>491</v>
      </c>
      <c r="H162" s="44"/>
      <c r="I162" s="27" t="s">
        <v>183</v>
      </c>
      <c r="J162" s="27" t="s">
        <v>7</v>
      </c>
    </row>
    <row r="163" spans="1:10" ht="32.4" x14ac:dyDescent="0.3">
      <c r="A163" s="2" t="s">
        <v>52</v>
      </c>
      <c r="B163" s="26" t="s">
        <v>479</v>
      </c>
      <c r="C163" s="26" t="s">
        <v>492</v>
      </c>
      <c r="D163" s="28" t="s">
        <v>62</v>
      </c>
      <c r="E163" s="28" t="s">
        <v>493</v>
      </c>
      <c r="F163" s="32">
        <v>10000</v>
      </c>
      <c r="G163" s="44" t="s">
        <v>494</v>
      </c>
      <c r="H163" s="44"/>
      <c r="I163" s="27" t="s">
        <v>393</v>
      </c>
      <c r="J163" s="27" t="s">
        <v>7</v>
      </c>
    </row>
    <row r="164" spans="1:10" ht="32.4" x14ac:dyDescent="0.3">
      <c r="A164" s="2" t="s">
        <v>52</v>
      </c>
      <c r="B164" s="26" t="s">
        <v>479</v>
      </c>
      <c r="C164" s="26" t="s">
        <v>492</v>
      </c>
      <c r="D164" s="28" t="s">
        <v>141</v>
      </c>
      <c r="E164" s="28" t="s">
        <v>495</v>
      </c>
      <c r="F164" s="32">
        <v>7740</v>
      </c>
      <c r="G164" s="44" t="s">
        <v>496</v>
      </c>
      <c r="H164" s="44"/>
      <c r="I164" s="27" t="s">
        <v>211</v>
      </c>
      <c r="J164" s="27" t="s">
        <v>7</v>
      </c>
    </row>
    <row r="165" spans="1:10" x14ac:dyDescent="0.3">
      <c r="A165" s="2" t="s">
        <v>52</v>
      </c>
      <c r="B165" s="26" t="s">
        <v>479</v>
      </c>
      <c r="C165" s="26" t="s">
        <v>492</v>
      </c>
      <c r="D165" s="28" t="s">
        <v>130</v>
      </c>
      <c r="E165" s="28" t="s">
        <v>497</v>
      </c>
      <c r="F165" s="32">
        <v>2200</v>
      </c>
      <c r="G165" s="44" t="s">
        <v>498</v>
      </c>
      <c r="H165" s="44"/>
      <c r="I165" s="27" t="s">
        <v>499</v>
      </c>
      <c r="J165" s="27" t="s">
        <v>7</v>
      </c>
    </row>
    <row r="166" spans="1:10" ht="32.4" x14ac:dyDescent="0.3">
      <c r="A166" s="2" t="s">
        <v>52</v>
      </c>
      <c r="B166" s="26" t="s">
        <v>479</v>
      </c>
      <c r="C166" s="26" t="s">
        <v>500</v>
      </c>
      <c r="D166" s="28" t="s">
        <v>322</v>
      </c>
      <c r="E166" s="28" t="s">
        <v>501</v>
      </c>
      <c r="F166" s="32">
        <v>9193</v>
      </c>
      <c r="G166" s="44" t="s">
        <v>502</v>
      </c>
      <c r="H166" s="44"/>
      <c r="I166" s="27" t="s">
        <v>58</v>
      </c>
      <c r="J166" s="27" t="s">
        <v>7</v>
      </c>
    </row>
    <row r="167" spans="1:10" ht="32.4" x14ac:dyDescent="0.3">
      <c r="A167" s="2" t="s">
        <v>52</v>
      </c>
      <c r="B167" s="26" t="s">
        <v>479</v>
      </c>
      <c r="C167" s="26" t="s">
        <v>500</v>
      </c>
      <c r="D167" s="28" t="s">
        <v>322</v>
      </c>
      <c r="E167" s="28" t="s">
        <v>503</v>
      </c>
      <c r="F167" s="32">
        <v>5000</v>
      </c>
      <c r="G167" s="44" t="s">
        <v>504</v>
      </c>
      <c r="H167" s="44"/>
      <c r="I167" s="27" t="s">
        <v>58</v>
      </c>
      <c r="J167" s="27" t="s">
        <v>7</v>
      </c>
    </row>
    <row r="168" spans="1:10" ht="32.4" x14ac:dyDescent="0.3">
      <c r="A168" s="2" t="s">
        <v>52</v>
      </c>
      <c r="B168" s="26" t="s">
        <v>479</v>
      </c>
      <c r="C168" s="26" t="s">
        <v>500</v>
      </c>
      <c r="D168" s="28" t="s">
        <v>130</v>
      </c>
      <c r="E168" s="28" t="s">
        <v>505</v>
      </c>
      <c r="F168" s="32">
        <v>1200</v>
      </c>
      <c r="G168" s="44" t="s">
        <v>506</v>
      </c>
      <c r="H168" s="44"/>
      <c r="I168" s="27" t="s">
        <v>168</v>
      </c>
      <c r="J168" s="27" t="s">
        <v>7</v>
      </c>
    </row>
    <row r="169" spans="1:10" ht="32.4" x14ac:dyDescent="0.3">
      <c r="A169" s="2" t="s">
        <v>52</v>
      </c>
      <c r="B169" s="26" t="s">
        <v>479</v>
      </c>
      <c r="C169" s="26" t="s">
        <v>500</v>
      </c>
      <c r="D169" s="28" t="s">
        <v>130</v>
      </c>
      <c r="E169" s="28" t="s">
        <v>507</v>
      </c>
      <c r="F169" s="32">
        <v>1395</v>
      </c>
      <c r="G169" s="44" t="s">
        <v>508</v>
      </c>
      <c r="H169" s="44"/>
      <c r="I169" s="27" t="s">
        <v>168</v>
      </c>
      <c r="J169" s="27" t="s">
        <v>7</v>
      </c>
    </row>
    <row r="170" spans="1:10" ht="32.4" x14ac:dyDescent="0.3">
      <c r="A170" s="2" t="s">
        <v>52</v>
      </c>
      <c r="B170" s="26" t="s">
        <v>479</v>
      </c>
      <c r="C170" s="26" t="s">
        <v>500</v>
      </c>
      <c r="D170" s="28" t="s">
        <v>232</v>
      </c>
      <c r="E170" s="28" t="s">
        <v>509</v>
      </c>
      <c r="F170" s="32">
        <v>6000</v>
      </c>
      <c r="G170" s="44" t="s">
        <v>510</v>
      </c>
      <c r="H170" s="44"/>
      <c r="I170" s="27" t="s">
        <v>84</v>
      </c>
      <c r="J170" s="27" t="s">
        <v>7</v>
      </c>
    </row>
    <row r="171" spans="1:10" ht="32.4" x14ac:dyDescent="0.3">
      <c r="A171" s="2" t="s">
        <v>52</v>
      </c>
      <c r="B171" s="26" t="s">
        <v>479</v>
      </c>
      <c r="C171" s="26" t="s">
        <v>500</v>
      </c>
      <c r="D171" s="28" t="s">
        <v>141</v>
      </c>
      <c r="E171" s="28" t="s">
        <v>511</v>
      </c>
      <c r="F171" s="32">
        <v>2378</v>
      </c>
      <c r="G171" s="44" t="s">
        <v>512</v>
      </c>
      <c r="H171" s="44"/>
      <c r="I171" s="27" t="s">
        <v>393</v>
      </c>
      <c r="J171" s="27" t="s">
        <v>7</v>
      </c>
    </row>
    <row r="172" spans="1:10" ht="32.4" x14ac:dyDescent="0.3">
      <c r="A172" s="2" t="s">
        <v>52</v>
      </c>
      <c r="B172" s="26" t="s">
        <v>479</v>
      </c>
      <c r="C172" s="26" t="s">
        <v>513</v>
      </c>
      <c r="D172" s="28" t="s">
        <v>124</v>
      </c>
      <c r="E172" s="28" t="s">
        <v>514</v>
      </c>
      <c r="F172" s="32">
        <v>1320</v>
      </c>
      <c r="G172" s="44" t="s">
        <v>515</v>
      </c>
      <c r="H172" s="44"/>
      <c r="I172" s="27" t="s">
        <v>168</v>
      </c>
      <c r="J172" s="27" t="s">
        <v>7</v>
      </c>
    </row>
    <row r="173" spans="1:10" ht="32.4" x14ac:dyDescent="0.3">
      <c r="A173" s="2" t="s">
        <v>52</v>
      </c>
      <c r="B173" s="26" t="s">
        <v>516</v>
      </c>
      <c r="C173" s="26" t="s">
        <v>517</v>
      </c>
      <c r="D173" s="28" t="s">
        <v>141</v>
      </c>
      <c r="E173" s="28" t="s">
        <v>518</v>
      </c>
      <c r="F173" s="32">
        <v>16430</v>
      </c>
      <c r="G173" s="44" t="s">
        <v>519</v>
      </c>
      <c r="H173" s="44"/>
      <c r="I173" s="27" t="s">
        <v>337</v>
      </c>
      <c r="J173" s="27" t="s">
        <v>7</v>
      </c>
    </row>
    <row r="174" spans="1:10" ht="48.6" x14ac:dyDescent="0.3">
      <c r="A174" s="2" t="s">
        <v>52</v>
      </c>
      <c r="B174" s="26" t="s">
        <v>516</v>
      </c>
      <c r="C174" s="26" t="s">
        <v>520</v>
      </c>
      <c r="D174" s="28" t="s">
        <v>110</v>
      </c>
      <c r="E174" s="28" t="s">
        <v>521</v>
      </c>
      <c r="F174" s="32">
        <v>13000</v>
      </c>
      <c r="G174" s="44" t="s">
        <v>522</v>
      </c>
      <c r="H174" s="44"/>
      <c r="I174" s="27" t="s">
        <v>65</v>
      </c>
      <c r="J174" s="27" t="s">
        <v>7</v>
      </c>
    </row>
    <row r="175" spans="1:10" ht="32.4" x14ac:dyDescent="0.3">
      <c r="A175" s="2" t="s">
        <v>52</v>
      </c>
      <c r="B175" s="26" t="s">
        <v>516</v>
      </c>
      <c r="C175" s="26" t="s">
        <v>523</v>
      </c>
      <c r="D175" s="28" t="s">
        <v>245</v>
      </c>
      <c r="E175" s="28" t="s">
        <v>524</v>
      </c>
      <c r="F175" s="32">
        <v>10000</v>
      </c>
      <c r="G175" s="44" t="s">
        <v>525</v>
      </c>
      <c r="H175" s="44"/>
      <c r="I175" s="27" t="s">
        <v>526</v>
      </c>
      <c r="J175" s="27" t="s">
        <v>7</v>
      </c>
    </row>
    <row r="176" spans="1:10" ht="48.6" x14ac:dyDescent="0.3">
      <c r="A176" s="2" t="s">
        <v>52</v>
      </c>
      <c r="B176" s="26" t="s">
        <v>516</v>
      </c>
      <c r="C176" s="26" t="s">
        <v>527</v>
      </c>
      <c r="D176" s="28" t="s">
        <v>110</v>
      </c>
      <c r="E176" s="28" t="s">
        <v>528</v>
      </c>
      <c r="F176" s="32">
        <v>11157</v>
      </c>
      <c r="G176" s="44" t="s">
        <v>529</v>
      </c>
      <c r="H176" s="44"/>
      <c r="I176" s="27" t="s">
        <v>74</v>
      </c>
      <c r="J176" s="27" t="s">
        <v>7</v>
      </c>
    </row>
    <row r="177" spans="1:10" ht="32.4" x14ac:dyDescent="0.3">
      <c r="A177" s="2" t="s">
        <v>52</v>
      </c>
      <c r="B177" s="26" t="s">
        <v>516</v>
      </c>
      <c r="C177" s="26" t="s">
        <v>530</v>
      </c>
      <c r="D177" s="28" t="s">
        <v>115</v>
      </c>
      <c r="E177" s="28" t="s">
        <v>531</v>
      </c>
      <c r="F177" s="32">
        <v>10175</v>
      </c>
      <c r="G177" s="44" t="s">
        <v>532</v>
      </c>
      <c r="H177" s="44"/>
      <c r="I177" s="27" t="s">
        <v>478</v>
      </c>
      <c r="J177" s="27" t="s">
        <v>7</v>
      </c>
    </row>
    <row r="178" spans="1:10" ht="32.4" x14ac:dyDescent="0.3">
      <c r="A178" s="2" t="s">
        <v>52</v>
      </c>
      <c r="B178" s="26" t="s">
        <v>516</v>
      </c>
      <c r="C178" s="26" t="s">
        <v>533</v>
      </c>
      <c r="D178" s="28" t="s">
        <v>115</v>
      </c>
      <c r="E178" s="28" t="s">
        <v>534</v>
      </c>
      <c r="F178" s="32">
        <v>192</v>
      </c>
      <c r="G178" s="44" t="s">
        <v>535</v>
      </c>
      <c r="H178" s="44"/>
      <c r="I178" s="27" t="s">
        <v>478</v>
      </c>
      <c r="J178" s="27" t="s">
        <v>7</v>
      </c>
    </row>
    <row r="179" spans="1:10" ht="32.4" x14ac:dyDescent="0.3">
      <c r="A179" s="2" t="s">
        <v>52</v>
      </c>
      <c r="B179" s="26" t="s">
        <v>516</v>
      </c>
      <c r="C179" s="26" t="s">
        <v>533</v>
      </c>
      <c r="D179" s="28" t="s">
        <v>216</v>
      </c>
      <c r="E179" s="28" t="s">
        <v>536</v>
      </c>
      <c r="F179" s="32">
        <v>629</v>
      </c>
      <c r="G179" s="44" t="s">
        <v>537</v>
      </c>
      <c r="H179" s="44"/>
      <c r="I179" s="27" t="s">
        <v>49</v>
      </c>
      <c r="J179" s="27" t="s">
        <v>7</v>
      </c>
    </row>
    <row r="180" spans="1:10" x14ac:dyDescent="0.3">
      <c r="A180" s="2" t="s">
        <v>52</v>
      </c>
      <c r="B180" s="26" t="s">
        <v>516</v>
      </c>
      <c r="C180" s="26" t="s">
        <v>533</v>
      </c>
      <c r="D180" s="28" t="s">
        <v>124</v>
      </c>
      <c r="E180" s="28" t="s">
        <v>538</v>
      </c>
      <c r="F180" s="32">
        <v>80</v>
      </c>
      <c r="G180" s="44" t="s">
        <v>327</v>
      </c>
      <c r="H180" s="44"/>
      <c r="I180" s="27" t="s">
        <v>328</v>
      </c>
      <c r="J180" s="27" t="s">
        <v>7</v>
      </c>
    </row>
    <row r="181" spans="1:10" ht="32.4" x14ac:dyDescent="0.3">
      <c r="A181" s="2" t="s">
        <v>52</v>
      </c>
      <c r="B181" s="26" t="s">
        <v>516</v>
      </c>
      <c r="C181" s="26" t="s">
        <v>533</v>
      </c>
      <c r="D181" s="28" t="s">
        <v>141</v>
      </c>
      <c r="E181" s="28" t="s">
        <v>538</v>
      </c>
      <c r="F181" s="32">
        <v>72</v>
      </c>
      <c r="G181" s="44" t="s">
        <v>327</v>
      </c>
      <c r="H181" s="44"/>
      <c r="I181" s="27" t="s">
        <v>328</v>
      </c>
      <c r="J181" s="27" t="s">
        <v>7</v>
      </c>
    </row>
    <row r="182" spans="1:10" ht="48.6" x14ac:dyDescent="0.3">
      <c r="A182" s="2" t="s">
        <v>52</v>
      </c>
      <c r="B182" s="26" t="s">
        <v>516</v>
      </c>
      <c r="C182" s="26" t="s">
        <v>539</v>
      </c>
      <c r="D182" s="28" t="s">
        <v>110</v>
      </c>
      <c r="E182" s="28" t="s">
        <v>540</v>
      </c>
      <c r="F182" s="32">
        <v>13739</v>
      </c>
      <c r="G182" s="44" t="s">
        <v>541</v>
      </c>
      <c r="H182" s="44"/>
      <c r="I182" s="27" t="s">
        <v>74</v>
      </c>
      <c r="J182" s="27" t="s">
        <v>7</v>
      </c>
    </row>
    <row r="183" spans="1:10" ht="48.6" x14ac:dyDescent="0.3">
      <c r="A183" s="2" t="s">
        <v>52</v>
      </c>
      <c r="B183" s="26" t="s">
        <v>516</v>
      </c>
      <c r="C183" s="26" t="s">
        <v>542</v>
      </c>
      <c r="D183" s="28" t="s">
        <v>110</v>
      </c>
      <c r="E183" s="28" t="s">
        <v>543</v>
      </c>
      <c r="F183" s="32">
        <v>10042</v>
      </c>
      <c r="G183" s="44" t="s">
        <v>529</v>
      </c>
      <c r="H183" s="44"/>
      <c r="I183" s="27" t="s">
        <v>74</v>
      </c>
      <c r="J183" s="27" t="s">
        <v>7</v>
      </c>
    </row>
    <row r="184" spans="1:10" ht="48.6" x14ac:dyDescent="0.3">
      <c r="A184" s="2" t="s">
        <v>52</v>
      </c>
      <c r="B184" s="26" t="s">
        <v>516</v>
      </c>
      <c r="C184" s="26" t="s">
        <v>544</v>
      </c>
      <c r="D184" s="28" t="s">
        <v>110</v>
      </c>
      <c r="E184" s="28" t="s">
        <v>545</v>
      </c>
      <c r="F184" s="32">
        <v>10588</v>
      </c>
      <c r="G184" s="44" t="s">
        <v>529</v>
      </c>
      <c r="H184" s="44"/>
      <c r="I184" s="27" t="s">
        <v>74</v>
      </c>
      <c r="J184" s="27" t="s">
        <v>7</v>
      </c>
    </row>
    <row r="185" spans="1:10" x14ac:dyDescent="0.3">
      <c r="A185" s="2" t="s">
        <v>52</v>
      </c>
      <c r="B185" s="26" t="s">
        <v>516</v>
      </c>
      <c r="C185" s="26" t="s">
        <v>546</v>
      </c>
      <c r="D185" s="28" t="s">
        <v>115</v>
      </c>
      <c r="E185" s="28" t="s">
        <v>547</v>
      </c>
      <c r="F185" s="32">
        <v>22400</v>
      </c>
      <c r="G185" s="44" t="s">
        <v>548</v>
      </c>
      <c r="H185" s="44"/>
      <c r="I185" s="27" t="s">
        <v>70</v>
      </c>
      <c r="J185" s="27" t="s">
        <v>7</v>
      </c>
    </row>
    <row r="186" spans="1:10" x14ac:dyDescent="0.3">
      <c r="A186" s="2" t="s">
        <v>52</v>
      </c>
      <c r="B186" s="26" t="s">
        <v>516</v>
      </c>
      <c r="C186" s="26" t="s">
        <v>549</v>
      </c>
      <c r="D186" s="28" t="s">
        <v>115</v>
      </c>
      <c r="E186" s="28" t="s">
        <v>550</v>
      </c>
      <c r="F186" s="32">
        <v>17125</v>
      </c>
      <c r="G186" s="44" t="s">
        <v>551</v>
      </c>
      <c r="H186" s="44"/>
      <c r="I186" s="27" t="s">
        <v>118</v>
      </c>
      <c r="J186" s="27" t="s">
        <v>7</v>
      </c>
    </row>
    <row r="187" spans="1:10" ht="32.4" x14ac:dyDescent="0.3">
      <c r="A187" s="2" t="s">
        <v>52</v>
      </c>
      <c r="B187" s="26" t="s">
        <v>516</v>
      </c>
      <c r="C187" s="26" t="s">
        <v>552</v>
      </c>
      <c r="D187" s="28" t="s">
        <v>216</v>
      </c>
      <c r="E187" s="28" t="s">
        <v>553</v>
      </c>
      <c r="F187" s="32">
        <v>660</v>
      </c>
      <c r="G187" s="44" t="s">
        <v>554</v>
      </c>
      <c r="H187" s="44"/>
      <c r="I187" s="27" t="s">
        <v>49</v>
      </c>
      <c r="J187" s="27" t="s">
        <v>7</v>
      </c>
    </row>
    <row r="188" spans="1:10" ht="32.4" x14ac:dyDescent="0.3">
      <c r="A188" s="2" t="s">
        <v>52</v>
      </c>
      <c r="B188" s="26" t="s">
        <v>516</v>
      </c>
      <c r="C188" s="26" t="s">
        <v>552</v>
      </c>
      <c r="D188" s="28" t="s">
        <v>216</v>
      </c>
      <c r="E188" s="28" t="s">
        <v>555</v>
      </c>
      <c r="F188" s="32">
        <v>1263</v>
      </c>
      <c r="G188" s="44" t="s">
        <v>556</v>
      </c>
      <c r="H188" s="44"/>
      <c r="I188" s="27" t="s">
        <v>133</v>
      </c>
      <c r="J188" s="27" t="s">
        <v>7</v>
      </c>
    </row>
    <row r="189" spans="1:10" ht="32.4" x14ac:dyDescent="0.3">
      <c r="A189" s="2" t="s">
        <v>52</v>
      </c>
      <c r="B189" s="26" t="s">
        <v>516</v>
      </c>
      <c r="C189" s="26" t="s">
        <v>552</v>
      </c>
      <c r="D189" s="28" t="s">
        <v>245</v>
      </c>
      <c r="E189" s="28" t="s">
        <v>557</v>
      </c>
      <c r="F189" s="32">
        <v>10000</v>
      </c>
      <c r="G189" s="44" t="s">
        <v>558</v>
      </c>
      <c r="H189" s="44"/>
      <c r="I189" s="27" t="s">
        <v>559</v>
      </c>
      <c r="J189" s="27" t="s">
        <v>7</v>
      </c>
    </row>
    <row r="190" spans="1:10" ht="32.4" x14ac:dyDescent="0.3">
      <c r="A190" s="2" t="s">
        <v>52</v>
      </c>
      <c r="B190" s="26" t="s">
        <v>516</v>
      </c>
      <c r="C190" s="26" t="s">
        <v>560</v>
      </c>
      <c r="D190" s="28" t="s">
        <v>55</v>
      </c>
      <c r="E190" s="28" t="s">
        <v>561</v>
      </c>
      <c r="F190" s="32">
        <v>5000</v>
      </c>
      <c r="G190" s="44" t="s">
        <v>562</v>
      </c>
      <c r="H190" s="44"/>
      <c r="I190" s="27" t="s">
        <v>70</v>
      </c>
      <c r="J190" s="27" t="s">
        <v>7</v>
      </c>
    </row>
    <row r="191" spans="1:10" ht="32.4" x14ac:dyDescent="0.3">
      <c r="A191" s="2" t="s">
        <v>52</v>
      </c>
      <c r="B191" s="26" t="s">
        <v>516</v>
      </c>
      <c r="C191" s="26" t="s">
        <v>560</v>
      </c>
      <c r="D191" s="28" t="s">
        <v>55</v>
      </c>
      <c r="E191" s="28" t="s">
        <v>563</v>
      </c>
      <c r="F191" s="32">
        <v>5000</v>
      </c>
      <c r="G191" s="44" t="s">
        <v>564</v>
      </c>
      <c r="H191" s="44"/>
      <c r="I191" s="27" t="s">
        <v>70</v>
      </c>
      <c r="J191" s="27" t="s">
        <v>7</v>
      </c>
    </row>
    <row r="192" spans="1:10" ht="32.4" x14ac:dyDescent="0.3">
      <c r="A192" s="2" t="s">
        <v>52</v>
      </c>
      <c r="B192" s="26" t="s">
        <v>516</v>
      </c>
      <c r="C192" s="26" t="s">
        <v>560</v>
      </c>
      <c r="D192" s="28" t="s">
        <v>55</v>
      </c>
      <c r="E192" s="28" t="s">
        <v>565</v>
      </c>
      <c r="F192" s="32">
        <v>5000</v>
      </c>
      <c r="G192" s="44" t="s">
        <v>566</v>
      </c>
      <c r="H192" s="44"/>
      <c r="I192" s="27" t="s">
        <v>70</v>
      </c>
      <c r="J192" s="27" t="s">
        <v>7</v>
      </c>
    </row>
    <row r="193" spans="1:10" ht="32.4" x14ac:dyDescent="0.3">
      <c r="A193" s="2" t="s">
        <v>52</v>
      </c>
      <c r="B193" s="26" t="s">
        <v>516</v>
      </c>
      <c r="C193" s="26" t="s">
        <v>560</v>
      </c>
      <c r="D193" s="28" t="s">
        <v>55</v>
      </c>
      <c r="E193" s="28" t="s">
        <v>567</v>
      </c>
      <c r="F193" s="32">
        <v>5000</v>
      </c>
      <c r="G193" s="44" t="s">
        <v>568</v>
      </c>
      <c r="H193" s="44"/>
      <c r="I193" s="27" t="s">
        <v>70</v>
      </c>
      <c r="J193" s="27" t="s">
        <v>7</v>
      </c>
    </row>
    <row r="194" spans="1:10" ht="32.4" x14ac:dyDescent="0.3">
      <c r="A194" s="2" t="s">
        <v>52</v>
      </c>
      <c r="B194" s="26" t="s">
        <v>516</v>
      </c>
      <c r="C194" s="26" t="s">
        <v>560</v>
      </c>
      <c r="D194" s="28" t="s">
        <v>55</v>
      </c>
      <c r="E194" s="28" t="s">
        <v>569</v>
      </c>
      <c r="F194" s="32">
        <v>5000</v>
      </c>
      <c r="G194" s="44" t="s">
        <v>570</v>
      </c>
      <c r="H194" s="44"/>
      <c r="I194" s="27" t="s">
        <v>70</v>
      </c>
      <c r="J194" s="27" t="s">
        <v>7</v>
      </c>
    </row>
    <row r="195" spans="1:10" ht="32.4" x14ac:dyDescent="0.3">
      <c r="A195" s="2" t="s">
        <v>52</v>
      </c>
      <c r="B195" s="26" t="s">
        <v>516</v>
      </c>
      <c r="C195" s="26" t="s">
        <v>560</v>
      </c>
      <c r="D195" s="28" t="s">
        <v>55</v>
      </c>
      <c r="E195" s="28" t="s">
        <v>571</v>
      </c>
      <c r="F195" s="32">
        <v>5000</v>
      </c>
      <c r="G195" s="44" t="s">
        <v>572</v>
      </c>
      <c r="H195" s="44"/>
      <c r="I195" s="27" t="s">
        <v>70</v>
      </c>
      <c r="J195" s="27" t="s">
        <v>7</v>
      </c>
    </row>
    <row r="196" spans="1:10" ht="32.4" x14ac:dyDescent="0.3">
      <c r="A196" s="2" t="s">
        <v>52</v>
      </c>
      <c r="B196" s="26" t="s">
        <v>516</v>
      </c>
      <c r="C196" s="26" t="s">
        <v>560</v>
      </c>
      <c r="D196" s="28" t="s">
        <v>55</v>
      </c>
      <c r="E196" s="28" t="s">
        <v>573</v>
      </c>
      <c r="F196" s="32">
        <v>5000</v>
      </c>
      <c r="G196" s="44" t="s">
        <v>574</v>
      </c>
      <c r="H196" s="44"/>
      <c r="I196" s="27" t="s">
        <v>70</v>
      </c>
      <c r="J196" s="27" t="s">
        <v>7</v>
      </c>
    </row>
    <row r="197" spans="1:10" ht="48.6" x14ac:dyDescent="0.3">
      <c r="A197" s="2" t="s">
        <v>52</v>
      </c>
      <c r="B197" s="26" t="s">
        <v>516</v>
      </c>
      <c r="C197" s="26" t="s">
        <v>560</v>
      </c>
      <c r="D197" s="28" t="s">
        <v>110</v>
      </c>
      <c r="E197" s="28" t="s">
        <v>575</v>
      </c>
      <c r="F197" s="32">
        <v>7778</v>
      </c>
      <c r="G197" s="44" t="s">
        <v>541</v>
      </c>
      <c r="H197" s="44"/>
      <c r="I197" s="27" t="s">
        <v>74</v>
      </c>
      <c r="J197" s="27" t="s">
        <v>7</v>
      </c>
    </row>
    <row r="198" spans="1:10" ht="32.4" x14ac:dyDescent="0.3">
      <c r="A198" s="2" t="s">
        <v>52</v>
      </c>
      <c r="B198" s="26" t="s">
        <v>516</v>
      </c>
      <c r="C198" s="26" t="s">
        <v>560</v>
      </c>
      <c r="D198" s="28" t="s">
        <v>141</v>
      </c>
      <c r="E198" s="28" t="s">
        <v>576</v>
      </c>
      <c r="F198" s="32">
        <v>1600</v>
      </c>
      <c r="G198" s="44" t="s">
        <v>577</v>
      </c>
      <c r="H198" s="44"/>
      <c r="I198" s="27" t="s">
        <v>202</v>
      </c>
      <c r="J198" s="27" t="s">
        <v>7</v>
      </c>
    </row>
    <row r="199" spans="1:10" ht="32.4" x14ac:dyDescent="0.3">
      <c r="A199" s="2" t="s">
        <v>52</v>
      </c>
      <c r="B199" s="26" t="s">
        <v>516</v>
      </c>
      <c r="C199" s="26" t="s">
        <v>578</v>
      </c>
      <c r="D199" s="28" t="s">
        <v>81</v>
      </c>
      <c r="E199" s="28" t="s">
        <v>579</v>
      </c>
      <c r="F199" s="32">
        <v>12949</v>
      </c>
      <c r="G199" s="44" t="s">
        <v>580</v>
      </c>
      <c r="H199" s="44"/>
      <c r="I199" s="27" t="s">
        <v>499</v>
      </c>
      <c r="J199" s="27" t="s">
        <v>7</v>
      </c>
    </row>
    <row r="200" spans="1:10" ht="32.4" x14ac:dyDescent="0.3">
      <c r="A200" s="2" t="s">
        <v>52</v>
      </c>
      <c r="B200" s="26" t="s">
        <v>516</v>
      </c>
      <c r="C200" s="26" t="s">
        <v>581</v>
      </c>
      <c r="D200" s="28" t="s">
        <v>367</v>
      </c>
      <c r="E200" s="28" t="s">
        <v>582</v>
      </c>
      <c r="F200" s="32">
        <v>13285</v>
      </c>
      <c r="G200" s="44" t="s">
        <v>583</v>
      </c>
      <c r="H200" s="44"/>
      <c r="I200" s="27" t="s">
        <v>370</v>
      </c>
      <c r="J200" s="27" t="s">
        <v>7</v>
      </c>
    </row>
    <row r="201" spans="1:10" x14ac:dyDescent="0.3">
      <c r="A201" s="2" t="s">
        <v>44</v>
      </c>
      <c r="B201" s="26" t="s">
        <v>584</v>
      </c>
      <c r="C201" s="26" t="s">
        <v>46</v>
      </c>
      <c r="D201" s="28" t="s">
        <v>7</v>
      </c>
      <c r="E201" s="28" t="s">
        <v>585</v>
      </c>
      <c r="F201" s="32">
        <v>42220</v>
      </c>
      <c r="G201" s="44" t="s">
        <v>586</v>
      </c>
      <c r="H201" s="44"/>
      <c r="I201" s="27" t="s">
        <v>587</v>
      </c>
      <c r="J201" s="27" t="s">
        <v>7</v>
      </c>
    </row>
    <row r="202" spans="1:10" x14ac:dyDescent="0.3">
      <c r="A202" s="2" t="s">
        <v>44</v>
      </c>
      <c r="B202" s="26" t="s">
        <v>588</v>
      </c>
      <c r="C202" s="26" t="s">
        <v>46</v>
      </c>
      <c r="D202" s="28" t="s">
        <v>7</v>
      </c>
      <c r="E202" s="28" t="s">
        <v>589</v>
      </c>
      <c r="F202" s="32">
        <v>3679</v>
      </c>
      <c r="G202" s="44" t="s">
        <v>590</v>
      </c>
      <c r="H202" s="44"/>
      <c r="I202" s="27" t="s">
        <v>591</v>
      </c>
      <c r="J202" s="27" t="s">
        <v>7</v>
      </c>
    </row>
    <row r="203" spans="1:10" ht="32.4" x14ac:dyDescent="0.3">
      <c r="A203" s="2" t="s">
        <v>52</v>
      </c>
      <c r="B203" s="26" t="s">
        <v>592</v>
      </c>
      <c r="C203" s="26" t="s">
        <v>593</v>
      </c>
      <c r="D203" s="28" t="s">
        <v>141</v>
      </c>
      <c r="E203" s="28" t="s">
        <v>594</v>
      </c>
      <c r="F203" s="32">
        <v>23500</v>
      </c>
      <c r="G203" s="44" t="s">
        <v>595</v>
      </c>
      <c r="H203" s="44"/>
      <c r="I203" s="27" t="s">
        <v>98</v>
      </c>
      <c r="J203" s="27" t="s">
        <v>7</v>
      </c>
    </row>
    <row r="204" spans="1:10" ht="32.4" x14ac:dyDescent="0.3">
      <c r="A204" s="2" t="s">
        <v>52</v>
      </c>
      <c r="B204" s="26" t="s">
        <v>592</v>
      </c>
      <c r="C204" s="26" t="s">
        <v>596</v>
      </c>
      <c r="D204" s="28" t="s">
        <v>115</v>
      </c>
      <c r="E204" s="28" t="s">
        <v>597</v>
      </c>
      <c r="F204" s="32">
        <v>69370</v>
      </c>
      <c r="G204" s="44" t="s">
        <v>598</v>
      </c>
      <c r="H204" s="44"/>
      <c r="I204" s="27" t="s">
        <v>98</v>
      </c>
      <c r="J204" s="27" t="s">
        <v>7</v>
      </c>
    </row>
    <row r="205" spans="1:10" ht="32.4" x14ac:dyDescent="0.3">
      <c r="A205" s="2" t="s">
        <v>52</v>
      </c>
      <c r="B205" s="26" t="s">
        <v>592</v>
      </c>
      <c r="C205" s="26" t="s">
        <v>599</v>
      </c>
      <c r="D205" s="28" t="s">
        <v>141</v>
      </c>
      <c r="E205" s="28" t="s">
        <v>600</v>
      </c>
      <c r="F205" s="32">
        <v>2900</v>
      </c>
      <c r="G205" s="44" t="s">
        <v>601</v>
      </c>
      <c r="H205" s="44"/>
      <c r="I205" s="27" t="s">
        <v>353</v>
      </c>
      <c r="J205" s="27" t="s">
        <v>7</v>
      </c>
    </row>
    <row r="206" spans="1:10" ht="32.4" x14ac:dyDescent="0.3">
      <c r="A206" s="2" t="s">
        <v>52</v>
      </c>
      <c r="B206" s="26" t="s">
        <v>592</v>
      </c>
      <c r="C206" s="26" t="s">
        <v>599</v>
      </c>
      <c r="D206" s="28" t="s">
        <v>141</v>
      </c>
      <c r="E206" s="28" t="s">
        <v>602</v>
      </c>
      <c r="F206" s="32">
        <v>2622</v>
      </c>
      <c r="G206" s="44" t="s">
        <v>603</v>
      </c>
      <c r="H206" s="44"/>
      <c r="I206" s="27" t="s">
        <v>98</v>
      </c>
      <c r="J206" s="27" t="s">
        <v>7</v>
      </c>
    </row>
    <row r="207" spans="1:10" ht="32.4" x14ac:dyDescent="0.3">
      <c r="A207" s="2" t="s">
        <v>52</v>
      </c>
      <c r="B207" s="26" t="s">
        <v>592</v>
      </c>
      <c r="C207" s="26" t="s">
        <v>599</v>
      </c>
      <c r="D207" s="28" t="s">
        <v>121</v>
      </c>
      <c r="E207" s="28" t="s">
        <v>602</v>
      </c>
      <c r="F207" s="32">
        <v>787</v>
      </c>
      <c r="G207" s="44" t="s">
        <v>603</v>
      </c>
      <c r="H207" s="44"/>
      <c r="I207" s="27" t="s">
        <v>98</v>
      </c>
      <c r="J207" s="27" t="s">
        <v>7</v>
      </c>
    </row>
    <row r="208" spans="1:10" ht="32.4" x14ac:dyDescent="0.3">
      <c r="A208" s="2" t="s">
        <v>52</v>
      </c>
      <c r="B208" s="26" t="s">
        <v>592</v>
      </c>
      <c r="C208" s="26" t="s">
        <v>599</v>
      </c>
      <c r="D208" s="28" t="s">
        <v>208</v>
      </c>
      <c r="E208" s="28" t="s">
        <v>604</v>
      </c>
      <c r="F208" s="32">
        <v>2980</v>
      </c>
      <c r="G208" s="44" t="s">
        <v>605</v>
      </c>
      <c r="H208" s="44"/>
      <c r="I208" s="27" t="s">
        <v>499</v>
      </c>
      <c r="J208" s="27" t="s">
        <v>7</v>
      </c>
    </row>
    <row r="209" spans="1:10" ht="32.4" x14ac:dyDescent="0.3">
      <c r="A209" s="2" t="s">
        <v>52</v>
      </c>
      <c r="B209" s="26" t="s">
        <v>592</v>
      </c>
      <c r="C209" s="26" t="s">
        <v>599</v>
      </c>
      <c r="D209" s="28" t="s">
        <v>141</v>
      </c>
      <c r="E209" s="28" t="s">
        <v>606</v>
      </c>
      <c r="F209" s="32">
        <v>1289</v>
      </c>
      <c r="G209" s="44" t="s">
        <v>607</v>
      </c>
      <c r="H209" s="44"/>
      <c r="I209" s="27" t="s">
        <v>133</v>
      </c>
      <c r="J209" s="27" t="s">
        <v>7</v>
      </c>
    </row>
    <row r="210" spans="1:10" ht="32.4" x14ac:dyDescent="0.3">
      <c r="A210" s="2" t="s">
        <v>52</v>
      </c>
      <c r="B210" s="26" t="s">
        <v>592</v>
      </c>
      <c r="C210" s="26" t="s">
        <v>599</v>
      </c>
      <c r="D210" s="28" t="s">
        <v>141</v>
      </c>
      <c r="E210" s="28" t="s">
        <v>608</v>
      </c>
      <c r="F210" s="32">
        <v>8793</v>
      </c>
      <c r="G210" s="44" t="s">
        <v>609</v>
      </c>
      <c r="H210" s="44"/>
      <c r="I210" s="27" t="s">
        <v>84</v>
      </c>
      <c r="J210" s="27" t="s">
        <v>7</v>
      </c>
    </row>
    <row r="211" spans="1:10" ht="32.4" x14ac:dyDescent="0.3">
      <c r="A211" s="2" t="s">
        <v>52</v>
      </c>
      <c r="B211" s="26" t="s">
        <v>592</v>
      </c>
      <c r="C211" s="26" t="s">
        <v>599</v>
      </c>
      <c r="D211" s="28" t="s">
        <v>245</v>
      </c>
      <c r="E211" s="28" t="s">
        <v>610</v>
      </c>
      <c r="F211" s="32">
        <v>6823</v>
      </c>
      <c r="G211" s="44" t="s">
        <v>611</v>
      </c>
      <c r="H211" s="44"/>
      <c r="I211" s="27" t="s">
        <v>272</v>
      </c>
      <c r="J211" s="27" t="s">
        <v>7</v>
      </c>
    </row>
    <row r="212" spans="1:10" ht="32.4" x14ac:dyDescent="0.3">
      <c r="A212" s="2" t="s">
        <v>52</v>
      </c>
      <c r="B212" s="26" t="s">
        <v>592</v>
      </c>
      <c r="C212" s="26" t="s">
        <v>612</v>
      </c>
      <c r="D212" s="28" t="s">
        <v>141</v>
      </c>
      <c r="E212" s="28" t="s">
        <v>613</v>
      </c>
      <c r="F212" s="32">
        <v>3813</v>
      </c>
      <c r="G212" s="44" t="s">
        <v>160</v>
      </c>
      <c r="H212" s="44"/>
      <c r="I212" s="27" t="s">
        <v>84</v>
      </c>
      <c r="J212" s="27" t="s">
        <v>7</v>
      </c>
    </row>
    <row r="213" spans="1:10" x14ac:dyDescent="0.3">
      <c r="A213" s="2" t="s">
        <v>52</v>
      </c>
      <c r="B213" s="26" t="s">
        <v>592</v>
      </c>
      <c r="C213" s="26" t="s">
        <v>612</v>
      </c>
      <c r="D213" s="28" t="s">
        <v>124</v>
      </c>
      <c r="E213" s="28" t="s">
        <v>614</v>
      </c>
      <c r="F213" s="32">
        <v>340</v>
      </c>
      <c r="G213" s="44" t="s">
        <v>615</v>
      </c>
      <c r="H213" s="44"/>
      <c r="I213" s="27" t="s">
        <v>127</v>
      </c>
      <c r="J213" s="27" t="s">
        <v>7</v>
      </c>
    </row>
    <row r="214" spans="1:10" ht="32.4" x14ac:dyDescent="0.3">
      <c r="A214" s="2" t="s">
        <v>52</v>
      </c>
      <c r="B214" s="26" t="s">
        <v>592</v>
      </c>
      <c r="C214" s="26" t="s">
        <v>612</v>
      </c>
      <c r="D214" s="28" t="s">
        <v>62</v>
      </c>
      <c r="E214" s="28" t="s">
        <v>616</v>
      </c>
      <c r="F214" s="32">
        <v>8000</v>
      </c>
      <c r="G214" s="44" t="s">
        <v>617</v>
      </c>
      <c r="H214" s="44"/>
      <c r="I214" s="27" t="s">
        <v>235</v>
      </c>
      <c r="J214" s="27" t="s">
        <v>7</v>
      </c>
    </row>
    <row r="215" spans="1:10" ht="32.4" x14ac:dyDescent="0.3">
      <c r="A215" s="2" t="s">
        <v>52</v>
      </c>
      <c r="B215" s="26" t="s">
        <v>592</v>
      </c>
      <c r="C215" s="26" t="s">
        <v>612</v>
      </c>
      <c r="D215" s="28" t="s">
        <v>141</v>
      </c>
      <c r="E215" s="28" t="s">
        <v>618</v>
      </c>
      <c r="F215" s="32">
        <v>2500</v>
      </c>
      <c r="G215" s="44" t="s">
        <v>619</v>
      </c>
      <c r="H215" s="44"/>
      <c r="I215" s="27" t="s">
        <v>235</v>
      </c>
      <c r="J215" s="27" t="s">
        <v>7</v>
      </c>
    </row>
    <row r="216" spans="1:10" ht="32.4" x14ac:dyDescent="0.3">
      <c r="A216" s="2" t="s">
        <v>52</v>
      </c>
      <c r="B216" s="26" t="s">
        <v>592</v>
      </c>
      <c r="C216" s="26" t="s">
        <v>612</v>
      </c>
      <c r="D216" s="28" t="s">
        <v>121</v>
      </c>
      <c r="E216" s="28" t="s">
        <v>620</v>
      </c>
      <c r="F216" s="32">
        <v>270</v>
      </c>
      <c r="G216" s="44" t="s">
        <v>621</v>
      </c>
      <c r="H216" s="44"/>
      <c r="I216" s="27" t="s">
        <v>223</v>
      </c>
      <c r="J216" s="27" t="s">
        <v>7</v>
      </c>
    </row>
    <row r="217" spans="1:10" ht="32.4" x14ac:dyDescent="0.3">
      <c r="A217" s="2" t="s">
        <v>52</v>
      </c>
      <c r="B217" s="26" t="s">
        <v>592</v>
      </c>
      <c r="C217" s="26" t="s">
        <v>622</v>
      </c>
      <c r="D217" s="28" t="s">
        <v>141</v>
      </c>
      <c r="E217" s="28" t="s">
        <v>623</v>
      </c>
      <c r="F217" s="32">
        <v>55354</v>
      </c>
      <c r="G217" s="44" t="s">
        <v>624</v>
      </c>
      <c r="H217" s="44"/>
      <c r="I217" s="27" t="s">
        <v>7</v>
      </c>
      <c r="J217" s="27" t="s">
        <v>7</v>
      </c>
    </row>
    <row r="218" spans="1:10" ht="32.4" x14ac:dyDescent="0.3">
      <c r="A218" s="2" t="s">
        <v>52</v>
      </c>
      <c r="B218" s="26" t="s">
        <v>592</v>
      </c>
      <c r="C218" s="26" t="s">
        <v>625</v>
      </c>
      <c r="D218" s="28" t="s">
        <v>141</v>
      </c>
      <c r="E218" s="28" t="s">
        <v>626</v>
      </c>
      <c r="F218" s="32">
        <v>8542</v>
      </c>
      <c r="G218" s="44" t="s">
        <v>627</v>
      </c>
      <c r="H218" s="44"/>
      <c r="I218" s="27" t="s">
        <v>489</v>
      </c>
      <c r="J218" s="27" t="s">
        <v>7</v>
      </c>
    </row>
    <row r="219" spans="1:10" ht="32.4" x14ac:dyDescent="0.3">
      <c r="A219" s="2" t="s">
        <v>52</v>
      </c>
      <c r="B219" s="26" t="s">
        <v>592</v>
      </c>
      <c r="C219" s="26" t="s">
        <v>628</v>
      </c>
      <c r="D219" s="28" t="s">
        <v>141</v>
      </c>
      <c r="E219" s="28" t="s">
        <v>629</v>
      </c>
      <c r="F219" s="32">
        <v>17666</v>
      </c>
      <c r="G219" s="44" t="s">
        <v>630</v>
      </c>
      <c r="H219" s="44"/>
      <c r="I219" s="27" t="s">
        <v>325</v>
      </c>
      <c r="J219" s="27" t="s">
        <v>7</v>
      </c>
    </row>
    <row r="220" spans="1:10" ht="32.4" x14ac:dyDescent="0.3">
      <c r="A220" s="2" t="s">
        <v>52</v>
      </c>
      <c r="B220" s="26" t="s">
        <v>592</v>
      </c>
      <c r="C220" s="26" t="s">
        <v>631</v>
      </c>
      <c r="D220" s="28" t="s">
        <v>245</v>
      </c>
      <c r="E220" s="28" t="s">
        <v>632</v>
      </c>
      <c r="F220" s="32">
        <v>13000</v>
      </c>
      <c r="G220" s="44" t="s">
        <v>633</v>
      </c>
      <c r="H220" s="44"/>
      <c r="I220" s="27" t="s">
        <v>248</v>
      </c>
      <c r="J220" s="27" t="s">
        <v>7</v>
      </c>
    </row>
    <row r="221" spans="1:10" ht="32.4" x14ac:dyDescent="0.3">
      <c r="A221" s="2" t="s">
        <v>52</v>
      </c>
      <c r="B221" s="26" t="s">
        <v>592</v>
      </c>
      <c r="C221" s="26" t="s">
        <v>634</v>
      </c>
      <c r="D221" s="28" t="s">
        <v>635</v>
      </c>
      <c r="E221" s="28" t="s">
        <v>636</v>
      </c>
      <c r="F221" s="32">
        <v>13100</v>
      </c>
      <c r="G221" s="44" t="s">
        <v>637</v>
      </c>
      <c r="H221" s="44"/>
      <c r="I221" s="27" t="s">
        <v>150</v>
      </c>
      <c r="J221" s="27" t="s">
        <v>7</v>
      </c>
    </row>
    <row r="222" spans="1:10" ht="32.4" x14ac:dyDescent="0.3">
      <c r="A222" s="2" t="s">
        <v>52</v>
      </c>
      <c r="B222" s="26" t="s">
        <v>592</v>
      </c>
      <c r="C222" s="26" t="s">
        <v>638</v>
      </c>
      <c r="D222" s="28" t="s">
        <v>141</v>
      </c>
      <c r="E222" s="28" t="s">
        <v>639</v>
      </c>
      <c r="F222" s="32">
        <v>11460</v>
      </c>
      <c r="G222" s="44" t="s">
        <v>640</v>
      </c>
      <c r="H222" s="44"/>
      <c r="I222" s="27" t="s">
        <v>337</v>
      </c>
      <c r="J222" s="27" t="s">
        <v>7</v>
      </c>
    </row>
    <row r="223" spans="1:10" ht="32.4" x14ac:dyDescent="0.3">
      <c r="A223" s="2" t="s">
        <v>52</v>
      </c>
      <c r="B223" s="26" t="s">
        <v>592</v>
      </c>
      <c r="C223" s="26" t="s">
        <v>641</v>
      </c>
      <c r="D223" s="28" t="s">
        <v>141</v>
      </c>
      <c r="E223" s="28" t="s">
        <v>642</v>
      </c>
      <c r="F223" s="32">
        <v>13012</v>
      </c>
      <c r="G223" s="44" t="s">
        <v>643</v>
      </c>
      <c r="H223" s="44"/>
      <c r="I223" s="27" t="s">
        <v>337</v>
      </c>
      <c r="J223" s="27" t="s">
        <v>7</v>
      </c>
    </row>
    <row r="224" spans="1:10" ht="32.4" x14ac:dyDescent="0.3">
      <c r="A224" s="2" t="s">
        <v>52</v>
      </c>
      <c r="B224" s="26" t="s">
        <v>592</v>
      </c>
      <c r="C224" s="26" t="s">
        <v>644</v>
      </c>
      <c r="D224" s="28" t="s">
        <v>245</v>
      </c>
      <c r="E224" s="28" t="s">
        <v>645</v>
      </c>
      <c r="F224" s="32">
        <v>17500</v>
      </c>
      <c r="G224" s="44" t="s">
        <v>646</v>
      </c>
      <c r="H224" s="44"/>
      <c r="I224" s="27" t="s">
        <v>647</v>
      </c>
      <c r="J224" s="27" t="s">
        <v>7</v>
      </c>
    </row>
    <row r="225" spans="1:10" ht="32.4" x14ac:dyDescent="0.3">
      <c r="A225" s="2" t="s">
        <v>52</v>
      </c>
      <c r="B225" s="26" t="s">
        <v>592</v>
      </c>
      <c r="C225" s="26" t="s">
        <v>648</v>
      </c>
      <c r="D225" s="28" t="s">
        <v>121</v>
      </c>
      <c r="E225" s="28" t="s">
        <v>649</v>
      </c>
      <c r="F225" s="32">
        <v>13465</v>
      </c>
      <c r="G225" s="44" t="s">
        <v>650</v>
      </c>
      <c r="H225" s="44"/>
      <c r="I225" s="27" t="s">
        <v>98</v>
      </c>
      <c r="J225" s="27" t="s">
        <v>7</v>
      </c>
    </row>
    <row r="226" spans="1:10" ht="32.4" x14ac:dyDescent="0.3">
      <c r="A226" s="2" t="s">
        <v>52</v>
      </c>
      <c r="B226" s="26" t="s">
        <v>592</v>
      </c>
      <c r="C226" s="26" t="s">
        <v>651</v>
      </c>
      <c r="D226" s="28" t="s">
        <v>245</v>
      </c>
      <c r="E226" s="28" t="s">
        <v>652</v>
      </c>
      <c r="F226" s="32">
        <v>26000</v>
      </c>
      <c r="G226" s="44" t="s">
        <v>653</v>
      </c>
      <c r="H226" s="44"/>
      <c r="I226" s="27" t="s">
        <v>654</v>
      </c>
      <c r="J226" s="27" t="s">
        <v>7</v>
      </c>
    </row>
    <row r="227" spans="1:10" x14ac:dyDescent="0.3">
      <c r="A227" s="2" t="s">
        <v>52</v>
      </c>
      <c r="B227" s="26" t="s">
        <v>592</v>
      </c>
      <c r="C227" s="26" t="s">
        <v>655</v>
      </c>
      <c r="D227" s="28" t="s">
        <v>62</v>
      </c>
      <c r="E227" s="28" t="s">
        <v>656</v>
      </c>
      <c r="F227" s="32">
        <v>1737</v>
      </c>
      <c r="G227" s="44" t="s">
        <v>657</v>
      </c>
      <c r="H227" s="44"/>
      <c r="I227" s="27" t="s">
        <v>342</v>
      </c>
      <c r="J227" s="27" t="s">
        <v>7</v>
      </c>
    </row>
    <row r="228" spans="1:10" ht="32.4" x14ac:dyDescent="0.3">
      <c r="A228" s="2" t="s">
        <v>52</v>
      </c>
      <c r="B228" s="26" t="s">
        <v>592</v>
      </c>
      <c r="C228" s="26" t="s">
        <v>658</v>
      </c>
      <c r="D228" s="28" t="s">
        <v>81</v>
      </c>
      <c r="E228" s="28" t="s">
        <v>659</v>
      </c>
      <c r="F228" s="32">
        <v>3187</v>
      </c>
      <c r="G228" s="44" t="s">
        <v>660</v>
      </c>
      <c r="H228" s="44"/>
      <c r="I228" s="27" t="s">
        <v>235</v>
      </c>
      <c r="J228" s="27" t="s">
        <v>7</v>
      </c>
    </row>
    <row r="229" spans="1:10" ht="32.4" x14ac:dyDescent="0.3">
      <c r="A229" s="2" t="s">
        <v>52</v>
      </c>
      <c r="B229" s="26" t="s">
        <v>592</v>
      </c>
      <c r="C229" s="26" t="s">
        <v>661</v>
      </c>
      <c r="D229" s="28" t="s">
        <v>81</v>
      </c>
      <c r="E229" s="28" t="s">
        <v>662</v>
      </c>
      <c r="F229" s="32">
        <v>7447</v>
      </c>
      <c r="G229" s="44" t="s">
        <v>663</v>
      </c>
      <c r="H229" s="44"/>
      <c r="I229" s="27" t="s">
        <v>84</v>
      </c>
      <c r="J229" s="27" t="s">
        <v>7</v>
      </c>
    </row>
    <row r="230" spans="1:10" ht="32.4" x14ac:dyDescent="0.3">
      <c r="A230" s="2" t="s">
        <v>52</v>
      </c>
      <c r="B230" s="26" t="s">
        <v>592</v>
      </c>
      <c r="C230" s="26" t="s">
        <v>664</v>
      </c>
      <c r="D230" s="28" t="s">
        <v>81</v>
      </c>
      <c r="E230" s="28" t="s">
        <v>665</v>
      </c>
      <c r="F230" s="32">
        <v>5385</v>
      </c>
      <c r="G230" s="44" t="s">
        <v>666</v>
      </c>
      <c r="H230" s="44"/>
      <c r="I230" s="27" t="s">
        <v>84</v>
      </c>
      <c r="J230" s="27" t="s">
        <v>7</v>
      </c>
    </row>
    <row r="231" spans="1:10" ht="48.6" x14ac:dyDescent="0.3">
      <c r="A231" s="2" t="s">
        <v>52</v>
      </c>
      <c r="B231" s="26" t="s">
        <v>592</v>
      </c>
      <c r="C231" s="26" t="s">
        <v>667</v>
      </c>
      <c r="D231" s="28" t="s">
        <v>110</v>
      </c>
      <c r="E231" s="28" t="s">
        <v>668</v>
      </c>
      <c r="F231" s="32">
        <v>6127</v>
      </c>
      <c r="G231" s="44" t="s">
        <v>669</v>
      </c>
      <c r="H231" s="44"/>
      <c r="I231" s="27" t="s">
        <v>84</v>
      </c>
      <c r="J231" s="27" t="s">
        <v>7</v>
      </c>
    </row>
    <row r="232" spans="1:10" ht="48.6" x14ac:dyDescent="0.3">
      <c r="A232" s="2" t="s">
        <v>52</v>
      </c>
      <c r="B232" s="26" t="s">
        <v>592</v>
      </c>
      <c r="C232" s="26" t="s">
        <v>670</v>
      </c>
      <c r="D232" s="28" t="s">
        <v>110</v>
      </c>
      <c r="E232" s="28" t="s">
        <v>671</v>
      </c>
      <c r="F232" s="32">
        <v>10211</v>
      </c>
      <c r="G232" s="44" t="s">
        <v>672</v>
      </c>
      <c r="H232" s="44"/>
      <c r="I232" s="27" t="s">
        <v>84</v>
      </c>
      <c r="J232" s="27" t="s">
        <v>7</v>
      </c>
    </row>
    <row r="233" spans="1:10" ht="48.6" x14ac:dyDescent="0.3">
      <c r="A233" s="2" t="s">
        <v>52</v>
      </c>
      <c r="B233" s="26" t="s">
        <v>592</v>
      </c>
      <c r="C233" s="26" t="s">
        <v>673</v>
      </c>
      <c r="D233" s="28" t="s">
        <v>110</v>
      </c>
      <c r="E233" s="28" t="s">
        <v>674</v>
      </c>
      <c r="F233" s="32">
        <v>10211</v>
      </c>
      <c r="G233" s="44" t="s">
        <v>672</v>
      </c>
      <c r="H233" s="44"/>
      <c r="I233" s="27" t="s">
        <v>84</v>
      </c>
      <c r="J233" s="27" t="s">
        <v>7</v>
      </c>
    </row>
    <row r="234" spans="1:10" ht="48.6" x14ac:dyDescent="0.3">
      <c r="A234" s="2" t="s">
        <v>52</v>
      </c>
      <c r="B234" s="26" t="s">
        <v>592</v>
      </c>
      <c r="C234" s="26" t="s">
        <v>675</v>
      </c>
      <c r="D234" s="28" t="s">
        <v>110</v>
      </c>
      <c r="E234" s="28" t="s">
        <v>676</v>
      </c>
      <c r="F234" s="32">
        <v>3063</v>
      </c>
      <c r="G234" s="44" t="s">
        <v>677</v>
      </c>
      <c r="H234" s="44"/>
      <c r="I234" s="27" t="s">
        <v>70</v>
      </c>
      <c r="J234" s="27" t="s">
        <v>7</v>
      </c>
    </row>
    <row r="235" spans="1:10" ht="48.6" x14ac:dyDescent="0.3">
      <c r="A235" s="2" t="s">
        <v>52</v>
      </c>
      <c r="B235" s="26" t="s">
        <v>592</v>
      </c>
      <c r="C235" s="26" t="s">
        <v>675</v>
      </c>
      <c r="D235" s="28" t="s">
        <v>110</v>
      </c>
      <c r="E235" s="28" t="s">
        <v>678</v>
      </c>
      <c r="F235" s="32">
        <v>6126</v>
      </c>
      <c r="G235" s="44" t="s">
        <v>679</v>
      </c>
      <c r="H235" s="44"/>
      <c r="I235" s="27" t="s">
        <v>168</v>
      </c>
      <c r="J235" s="27" t="s">
        <v>7</v>
      </c>
    </row>
    <row r="236" spans="1:10" ht="48.6" x14ac:dyDescent="0.3">
      <c r="A236" s="2" t="s">
        <v>52</v>
      </c>
      <c r="B236" s="26" t="s">
        <v>592</v>
      </c>
      <c r="C236" s="26" t="s">
        <v>675</v>
      </c>
      <c r="D236" s="28" t="s">
        <v>110</v>
      </c>
      <c r="E236" s="28" t="s">
        <v>680</v>
      </c>
      <c r="F236" s="32">
        <v>2042</v>
      </c>
      <c r="G236" s="44" t="s">
        <v>681</v>
      </c>
      <c r="H236" s="44"/>
      <c r="I236" s="27" t="s">
        <v>168</v>
      </c>
      <c r="J236" s="27" t="s">
        <v>7</v>
      </c>
    </row>
    <row r="237" spans="1:10" ht="48.6" x14ac:dyDescent="0.3">
      <c r="A237" s="2" t="s">
        <v>52</v>
      </c>
      <c r="B237" s="26" t="s">
        <v>592</v>
      </c>
      <c r="C237" s="26" t="s">
        <v>675</v>
      </c>
      <c r="D237" s="28" t="s">
        <v>110</v>
      </c>
      <c r="E237" s="28" t="s">
        <v>682</v>
      </c>
      <c r="F237" s="32">
        <v>6127</v>
      </c>
      <c r="G237" s="44" t="s">
        <v>683</v>
      </c>
      <c r="H237" s="44"/>
      <c r="I237" s="27" t="s">
        <v>499</v>
      </c>
      <c r="J237" s="27" t="s">
        <v>7</v>
      </c>
    </row>
    <row r="238" spans="1:10" ht="32.4" x14ac:dyDescent="0.3">
      <c r="A238" s="2" t="s">
        <v>52</v>
      </c>
      <c r="B238" s="26" t="s">
        <v>592</v>
      </c>
      <c r="C238" s="26" t="s">
        <v>684</v>
      </c>
      <c r="D238" s="28" t="s">
        <v>81</v>
      </c>
      <c r="E238" s="28" t="s">
        <v>685</v>
      </c>
      <c r="F238" s="32">
        <v>6733</v>
      </c>
      <c r="G238" s="44" t="s">
        <v>686</v>
      </c>
      <c r="H238" s="44"/>
      <c r="I238" s="27" t="s">
        <v>183</v>
      </c>
      <c r="J238" s="27" t="s">
        <v>7</v>
      </c>
    </row>
    <row r="239" spans="1:10" ht="32.4" x14ac:dyDescent="0.3">
      <c r="A239" s="2" t="s">
        <v>52</v>
      </c>
      <c r="B239" s="26" t="s">
        <v>592</v>
      </c>
      <c r="C239" s="26" t="s">
        <v>687</v>
      </c>
      <c r="D239" s="28" t="s">
        <v>81</v>
      </c>
      <c r="E239" s="28" t="s">
        <v>688</v>
      </c>
      <c r="F239" s="32">
        <v>6868</v>
      </c>
      <c r="G239" s="44" t="s">
        <v>689</v>
      </c>
      <c r="H239" s="44"/>
      <c r="I239" s="27" t="s">
        <v>102</v>
      </c>
      <c r="J239" s="27" t="s">
        <v>7</v>
      </c>
    </row>
    <row r="240" spans="1:10" ht="32.4" x14ac:dyDescent="0.3">
      <c r="A240" s="2" t="s">
        <v>52</v>
      </c>
      <c r="B240" s="26" t="s">
        <v>592</v>
      </c>
      <c r="C240" s="26" t="s">
        <v>690</v>
      </c>
      <c r="D240" s="28" t="s">
        <v>81</v>
      </c>
      <c r="E240" s="28" t="s">
        <v>691</v>
      </c>
      <c r="F240" s="32">
        <v>29785</v>
      </c>
      <c r="G240" s="44" t="s">
        <v>692</v>
      </c>
      <c r="H240" s="44"/>
      <c r="I240" s="27" t="s">
        <v>49</v>
      </c>
      <c r="J240" s="27" t="s">
        <v>7</v>
      </c>
    </row>
    <row r="241" spans="1:10" ht="48.6" x14ac:dyDescent="0.3">
      <c r="A241" s="2" t="s">
        <v>52</v>
      </c>
      <c r="B241" s="26" t="s">
        <v>592</v>
      </c>
      <c r="C241" s="26" t="s">
        <v>693</v>
      </c>
      <c r="D241" s="28" t="s">
        <v>110</v>
      </c>
      <c r="E241" s="28" t="s">
        <v>694</v>
      </c>
      <c r="F241" s="32">
        <v>4000</v>
      </c>
      <c r="G241" s="44" t="s">
        <v>695</v>
      </c>
      <c r="H241" s="44"/>
      <c r="I241" s="27" t="s">
        <v>478</v>
      </c>
      <c r="J241" s="27" t="s">
        <v>7</v>
      </c>
    </row>
    <row r="242" spans="1:10" ht="48.6" x14ac:dyDescent="0.3">
      <c r="A242" s="2" t="s">
        <v>52</v>
      </c>
      <c r="B242" s="26" t="s">
        <v>592</v>
      </c>
      <c r="C242" s="26" t="s">
        <v>696</v>
      </c>
      <c r="D242" s="28" t="s">
        <v>110</v>
      </c>
      <c r="E242" s="28" t="s">
        <v>7</v>
      </c>
      <c r="F242" s="32">
        <v>16338</v>
      </c>
      <c r="G242" s="44" t="s">
        <v>697</v>
      </c>
      <c r="H242" s="44"/>
      <c r="I242" s="27" t="s">
        <v>7</v>
      </c>
      <c r="J242" s="27" t="s">
        <v>7</v>
      </c>
    </row>
    <row r="243" spans="1:10" x14ac:dyDescent="0.3">
      <c r="A243" s="2" t="s">
        <v>44</v>
      </c>
      <c r="B243" s="26" t="s">
        <v>592</v>
      </c>
      <c r="C243" s="26" t="s">
        <v>46</v>
      </c>
      <c r="D243" s="28" t="s">
        <v>7</v>
      </c>
      <c r="E243" s="28" t="s">
        <v>698</v>
      </c>
      <c r="F243" s="32">
        <v>3032</v>
      </c>
      <c r="G243" s="44" t="s">
        <v>699</v>
      </c>
      <c r="H243" s="44"/>
      <c r="I243" s="27" t="s">
        <v>700</v>
      </c>
      <c r="J243" s="27" t="s">
        <v>7</v>
      </c>
    </row>
    <row r="244" spans="1:10" ht="32.4" x14ac:dyDescent="0.3">
      <c r="A244" s="2" t="s">
        <v>52</v>
      </c>
      <c r="B244" s="26" t="s">
        <v>701</v>
      </c>
      <c r="C244" s="26" t="s">
        <v>702</v>
      </c>
      <c r="D244" s="28" t="s">
        <v>703</v>
      </c>
      <c r="E244" s="28" t="s">
        <v>704</v>
      </c>
      <c r="F244" s="32">
        <v>3715</v>
      </c>
      <c r="G244" s="44" t="s">
        <v>705</v>
      </c>
      <c r="H244" s="44"/>
      <c r="I244" s="27" t="s">
        <v>342</v>
      </c>
      <c r="J244" s="27" t="s">
        <v>7</v>
      </c>
    </row>
    <row r="245" spans="1:10" ht="32.4" x14ac:dyDescent="0.3">
      <c r="A245" s="2" t="s">
        <v>52</v>
      </c>
      <c r="B245" s="26" t="s">
        <v>701</v>
      </c>
      <c r="C245" s="26" t="s">
        <v>702</v>
      </c>
      <c r="D245" s="28" t="s">
        <v>703</v>
      </c>
      <c r="E245" s="28" t="s">
        <v>706</v>
      </c>
      <c r="F245" s="32">
        <v>3715</v>
      </c>
      <c r="G245" s="44" t="s">
        <v>707</v>
      </c>
      <c r="H245" s="44"/>
      <c r="I245" s="27" t="s">
        <v>342</v>
      </c>
      <c r="J245" s="27" t="s">
        <v>7</v>
      </c>
    </row>
    <row r="246" spans="1:10" ht="32.4" x14ac:dyDescent="0.3">
      <c r="A246" s="2" t="s">
        <v>52</v>
      </c>
      <c r="B246" s="26" t="s">
        <v>701</v>
      </c>
      <c r="C246" s="26" t="s">
        <v>702</v>
      </c>
      <c r="D246" s="28" t="s">
        <v>55</v>
      </c>
      <c r="E246" s="28" t="s">
        <v>708</v>
      </c>
      <c r="F246" s="32">
        <v>3115</v>
      </c>
      <c r="G246" s="44" t="s">
        <v>709</v>
      </c>
      <c r="H246" s="44"/>
      <c r="I246" s="27" t="s">
        <v>342</v>
      </c>
      <c r="J246" s="27" t="s">
        <v>7</v>
      </c>
    </row>
    <row r="247" spans="1:10" ht="32.4" x14ac:dyDescent="0.3">
      <c r="A247" s="2" t="s">
        <v>52</v>
      </c>
      <c r="B247" s="26" t="s">
        <v>701</v>
      </c>
      <c r="C247" s="26" t="s">
        <v>702</v>
      </c>
      <c r="D247" s="28" t="s">
        <v>55</v>
      </c>
      <c r="E247" s="28" t="s">
        <v>710</v>
      </c>
      <c r="F247" s="32">
        <v>3115</v>
      </c>
      <c r="G247" s="44" t="s">
        <v>711</v>
      </c>
      <c r="H247" s="44"/>
      <c r="I247" s="27" t="s">
        <v>342</v>
      </c>
      <c r="J247" s="27" t="s">
        <v>7</v>
      </c>
    </row>
    <row r="248" spans="1:10" ht="32.4" x14ac:dyDescent="0.3">
      <c r="A248" s="2" t="s">
        <v>52</v>
      </c>
      <c r="B248" s="26" t="s">
        <v>701</v>
      </c>
      <c r="C248" s="26" t="s">
        <v>712</v>
      </c>
      <c r="D248" s="28" t="s">
        <v>232</v>
      </c>
      <c r="E248" s="28" t="s">
        <v>713</v>
      </c>
      <c r="F248" s="32">
        <v>600</v>
      </c>
      <c r="G248" s="44" t="s">
        <v>714</v>
      </c>
      <c r="H248" s="44"/>
      <c r="I248" s="27" t="s">
        <v>342</v>
      </c>
      <c r="J248" s="27" t="s">
        <v>7</v>
      </c>
    </row>
    <row r="249" spans="1:10" ht="32.4" x14ac:dyDescent="0.3">
      <c r="A249" s="2" t="s">
        <v>52</v>
      </c>
      <c r="B249" s="26" t="s">
        <v>701</v>
      </c>
      <c r="C249" s="26" t="s">
        <v>712</v>
      </c>
      <c r="D249" s="28" t="s">
        <v>147</v>
      </c>
      <c r="E249" s="28" t="s">
        <v>715</v>
      </c>
      <c r="F249" s="32">
        <v>114</v>
      </c>
      <c r="G249" s="44" t="s">
        <v>716</v>
      </c>
      <c r="H249" s="44"/>
      <c r="I249" s="27" t="s">
        <v>168</v>
      </c>
      <c r="J249" s="27" t="s">
        <v>7</v>
      </c>
    </row>
    <row r="250" spans="1:10" ht="32.4" x14ac:dyDescent="0.3">
      <c r="A250" s="2" t="s">
        <v>52</v>
      </c>
      <c r="B250" s="26" t="s">
        <v>701</v>
      </c>
      <c r="C250" s="26" t="s">
        <v>712</v>
      </c>
      <c r="D250" s="28" t="s">
        <v>232</v>
      </c>
      <c r="E250" s="28" t="s">
        <v>717</v>
      </c>
      <c r="F250" s="32">
        <v>600</v>
      </c>
      <c r="G250" s="44" t="s">
        <v>718</v>
      </c>
      <c r="H250" s="44"/>
      <c r="I250" s="27" t="s">
        <v>168</v>
      </c>
      <c r="J250" s="27" t="s">
        <v>7</v>
      </c>
    </row>
    <row r="251" spans="1:10" ht="32.4" x14ac:dyDescent="0.3">
      <c r="A251" s="2" t="s">
        <v>52</v>
      </c>
      <c r="B251" s="26" t="s">
        <v>701</v>
      </c>
      <c r="C251" s="26" t="s">
        <v>712</v>
      </c>
      <c r="D251" s="28" t="s">
        <v>147</v>
      </c>
      <c r="E251" s="28" t="s">
        <v>719</v>
      </c>
      <c r="F251" s="32">
        <v>114</v>
      </c>
      <c r="G251" s="44" t="s">
        <v>720</v>
      </c>
      <c r="H251" s="44"/>
      <c r="I251" s="27" t="s">
        <v>168</v>
      </c>
      <c r="J251" s="27" t="s">
        <v>7</v>
      </c>
    </row>
    <row r="252" spans="1:10" ht="32.4" x14ac:dyDescent="0.3">
      <c r="A252" s="2" t="s">
        <v>52</v>
      </c>
      <c r="B252" s="26" t="s">
        <v>701</v>
      </c>
      <c r="C252" s="26" t="s">
        <v>712</v>
      </c>
      <c r="D252" s="28" t="s">
        <v>208</v>
      </c>
      <c r="E252" s="28" t="s">
        <v>721</v>
      </c>
      <c r="F252" s="32">
        <v>2980</v>
      </c>
      <c r="G252" s="44" t="s">
        <v>722</v>
      </c>
      <c r="H252" s="44"/>
      <c r="I252" s="27" t="s">
        <v>98</v>
      </c>
      <c r="J252" s="27" t="s">
        <v>7</v>
      </c>
    </row>
    <row r="253" spans="1:10" ht="32.4" x14ac:dyDescent="0.3">
      <c r="A253" s="2" t="s">
        <v>52</v>
      </c>
      <c r="B253" s="26" t="s">
        <v>701</v>
      </c>
      <c r="C253" s="26" t="s">
        <v>712</v>
      </c>
      <c r="D253" s="28" t="s">
        <v>208</v>
      </c>
      <c r="E253" s="28" t="s">
        <v>723</v>
      </c>
      <c r="F253" s="32">
        <v>200</v>
      </c>
      <c r="G253" s="44" t="s">
        <v>724</v>
      </c>
      <c r="H253" s="44"/>
      <c r="I253" s="27" t="s">
        <v>499</v>
      </c>
      <c r="J253" s="27" t="s">
        <v>7</v>
      </c>
    </row>
    <row r="254" spans="1:10" ht="32.4" x14ac:dyDescent="0.3">
      <c r="A254" s="2" t="s">
        <v>52</v>
      </c>
      <c r="B254" s="26" t="s">
        <v>701</v>
      </c>
      <c r="C254" s="26" t="s">
        <v>712</v>
      </c>
      <c r="D254" s="28" t="s">
        <v>55</v>
      </c>
      <c r="E254" s="28" t="s">
        <v>725</v>
      </c>
      <c r="F254" s="32">
        <v>7980</v>
      </c>
      <c r="G254" s="44" t="s">
        <v>726</v>
      </c>
      <c r="H254" s="44"/>
      <c r="I254" s="27" t="s">
        <v>58</v>
      </c>
      <c r="J254" s="27" t="s">
        <v>7</v>
      </c>
    </row>
    <row r="255" spans="1:10" ht="32.4" x14ac:dyDescent="0.3">
      <c r="A255" s="2" t="s">
        <v>52</v>
      </c>
      <c r="B255" s="26" t="s">
        <v>701</v>
      </c>
      <c r="C255" s="26" t="s">
        <v>712</v>
      </c>
      <c r="D255" s="28" t="s">
        <v>245</v>
      </c>
      <c r="E255" s="28" t="s">
        <v>727</v>
      </c>
      <c r="F255" s="32">
        <v>3320</v>
      </c>
      <c r="G255" s="44" t="s">
        <v>728</v>
      </c>
      <c r="H255" s="44"/>
      <c r="I255" s="27" t="s">
        <v>248</v>
      </c>
      <c r="J255" s="27" t="s">
        <v>7</v>
      </c>
    </row>
    <row r="256" spans="1:10" ht="32.4" x14ac:dyDescent="0.3">
      <c r="A256" s="2" t="s">
        <v>52</v>
      </c>
      <c r="B256" s="26" t="s">
        <v>701</v>
      </c>
      <c r="C256" s="26" t="s">
        <v>712</v>
      </c>
      <c r="D256" s="28" t="s">
        <v>208</v>
      </c>
      <c r="E256" s="28" t="s">
        <v>729</v>
      </c>
      <c r="F256" s="32">
        <v>1580</v>
      </c>
      <c r="G256" s="44" t="s">
        <v>730</v>
      </c>
      <c r="H256" s="44"/>
      <c r="I256" s="27" t="s">
        <v>70</v>
      </c>
      <c r="J256" s="27" t="s">
        <v>7</v>
      </c>
    </row>
    <row r="257" spans="1:10" x14ac:dyDescent="0.3">
      <c r="A257" s="2" t="s">
        <v>52</v>
      </c>
      <c r="B257" s="26" t="s">
        <v>701</v>
      </c>
      <c r="C257" s="26" t="s">
        <v>712</v>
      </c>
      <c r="D257" s="28" t="s">
        <v>130</v>
      </c>
      <c r="E257" s="28" t="s">
        <v>731</v>
      </c>
      <c r="F257" s="32">
        <v>1200</v>
      </c>
      <c r="G257" s="44" t="s">
        <v>732</v>
      </c>
      <c r="H257" s="44"/>
      <c r="I257" s="27" t="s">
        <v>70</v>
      </c>
      <c r="J257" s="27" t="s">
        <v>7</v>
      </c>
    </row>
    <row r="258" spans="1:10" x14ac:dyDescent="0.3">
      <c r="A258" s="2" t="s">
        <v>52</v>
      </c>
      <c r="B258" s="26" t="s">
        <v>701</v>
      </c>
      <c r="C258" s="26" t="s">
        <v>712</v>
      </c>
      <c r="D258" s="28" t="s">
        <v>124</v>
      </c>
      <c r="E258" s="28" t="s">
        <v>733</v>
      </c>
      <c r="F258" s="32">
        <v>240</v>
      </c>
      <c r="G258" s="44" t="s">
        <v>734</v>
      </c>
      <c r="H258" s="44"/>
      <c r="I258" s="27" t="s">
        <v>127</v>
      </c>
      <c r="J258" s="27" t="s">
        <v>7</v>
      </c>
    </row>
    <row r="259" spans="1:10" ht="32.4" x14ac:dyDescent="0.3">
      <c r="A259" s="2" t="s">
        <v>735</v>
      </c>
      <c r="B259" s="26" t="s">
        <v>701</v>
      </c>
      <c r="C259" s="26" t="s">
        <v>736</v>
      </c>
      <c r="D259" s="28" t="s">
        <v>737</v>
      </c>
      <c r="E259" s="28" t="s">
        <v>738</v>
      </c>
      <c r="F259" s="32">
        <v>200000</v>
      </c>
      <c r="G259" s="44" t="s">
        <v>739</v>
      </c>
      <c r="H259" s="44"/>
      <c r="I259" s="27" t="s">
        <v>740</v>
      </c>
      <c r="J259" s="27" t="s">
        <v>7</v>
      </c>
    </row>
    <row r="260" spans="1:10" x14ac:dyDescent="0.3">
      <c r="A260" s="2" t="s">
        <v>52</v>
      </c>
      <c r="B260" s="26" t="s">
        <v>701</v>
      </c>
      <c r="C260" s="26" t="s">
        <v>741</v>
      </c>
      <c r="D260" s="28" t="s">
        <v>115</v>
      </c>
      <c r="E260" s="28" t="s">
        <v>742</v>
      </c>
      <c r="F260" s="32">
        <v>75000</v>
      </c>
      <c r="G260" s="44" t="s">
        <v>743</v>
      </c>
      <c r="H260" s="44"/>
      <c r="I260" s="27" t="s">
        <v>744</v>
      </c>
      <c r="J260" s="27" t="s">
        <v>7</v>
      </c>
    </row>
    <row r="261" spans="1:10" x14ac:dyDescent="0.3">
      <c r="A261" s="2" t="s">
        <v>44</v>
      </c>
      <c r="B261" s="26" t="s">
        <v>701</v>
      </c>
      <c r="C261" s="26" t="s">
        <v>46</v>
      </c>
      <c r="D261" s="28" t="s">
        <v>7</v>
      </c>
      <c r="E261" s="28" t="s">
        <v>745</v>
      </c>
      <c r="F261" s="32">
        <v>9993</v>
      </c>
      <c r="G261" s="44" t="s">
        <v>746</v>
      </c>
      <c r="H261" s="44"/>
      <c r="I261" s="27" t="s">
        <v>747</v>
      </c>
      <c r="J261" s="27" t="s">
        <v>7</v>
      </c>
    </row>
    <row r="262" spans="1:10" x14ac:dyDescent="0.3">
      <c r="A262" s="2" t="s">
        <v>44</v>
      </c>
      <c r="B262" s="26" t="s">
        <v>701</v>
      </c>
      <c r="C262" s="26" t="s">
        <v>46</v>
      </c>
      <c r="D262" s="28" t="s">
        <v>7</v>
      </c>
      <c r="E262" s="28" t="s">
        <v>748</v>
      </c>
      <c r="F262" s="32">
        <v>652</v>
      </c>
      <c r="G262" s="44" t="s">
        <v>485</v>
      </c>
      <c r="H262" s="44"/>
      <c r="I262" s="27" t="s">
        <v>486</v>
      </c>
      <c r="J262" s="27" t="s">
        <v>7</v>
      </c>
    </row>
    <row r="263" spans="1:10" x14ac:dyDescent="0.3">
      <c r="A263" s="61" t="s">
        <v>44</v>
      </c>
      <c r="B263" s="62" t="s">
        <v>701</v>
      </c>
      <c r="C263" s="62" t="s">
        <v>46</v>
      </c>
      <c r="D263" s="63" t="s">
        <v>7</v>
      </c>
      <c r="E263" s="63" t="s">
        <v>749</v>
      </c>
      <c r="F263" s="64">
        <v>9832</v>
      </c>
      <c r="G263" s="65" t="s">
        <v>750</v>
      </c>
      <c r="H263" s="65"/>
      <c r="I263" s="66" t="s">
        <v>751</v>
      </c>
      <c r="J263" s="66" t="s">
        <v>7</v>
      </c>
    </row>
    <row r="264" spans="1:10" ht="32.4" x14ac:dyDescent="0.3">
      <c r="A264" s="2" t="s">
        <v>52</v>
      </c>
      <c r="B264" s="26" t="s">
        <v>752</v>
      </c>
      <c r="C264" s="26" t="s">
        <v>753</v>
      </c>
      <c r="D264" s="28" t="s">
        <v>55</v>
      </c>
      <c r="E264" s="28" t="s">
        <v>754</v>
      </c>
      <c r="F264" s="32">
        <v>39010</v>
      </c>
      <c r="G264" s="44" t="s">
        <v>755</v>
      </c>
      <c r="H264" s="44"/>
      <c r="I264" s="27" t="s">
        <v>353</v>
      </c>
      <c r="J264" s="27" t="s">
        <v>7</v>
      </c>
    </row>
    <row r="265" spans="1:10" ht="32.4" x14ac:dyDescent="0.3">
      <c r="A265" s="2" t="s">
        <v>52</v>
      </c>
      <c r="B265" s="26" t="s">
        <v>752</v>
      </c>
      <c r="C265" s="26" t="s">
        <v>756</v>
      </c>
      <c r="D265" s="28" t="s">
        <v>245</v>
      </c>
      <c r="E265" s="28" t="s">
        <v>757</v>
      </c>
      <c r="F265" s="32">
        <v>18279</v>
      </c>
      <c r="G265" s="44" t="s">
        <v>758</v>
      </c>
      <c r="H265" s="44"/>
      <c r="I265" s="27" t="s">
        <v>248</v>
      </c>
      <c r="J265" s="27" t="s">
        <v>7</v>
      </c>
    </row>
    <row r="266" spans="1:10" ht="32.4" x14ac:dyDescent="0.3">
      <c r="A266" s="2" t="s">
        <v>52</v>
      </c>
      <c r="B266" s="26" t="s">
        <v>752</v>
      </c>
      <c r="C266" s="26" t="s">
        <v>759</v>
      </c>
      <c r="D266" s="28" t="s">
        <v>141</v>
      </c>
      <c r="E266" s="28" t="s">
        <v>760</v>
      </c>
      <c r="F266" s="32">
        <v>12090</v>
      </c>
      <c r="G266" s="44" t="s">
        <v>761</v>
      </c>
      <c r="H266" s="44"/>
      <c r="I266" s="27" t="s">
        <v>118</v>
      </c>
      <c r="J266" s="27" t="s">
        <v>7</v>
      </c>
    </row>
    <row r="267" spans="1:10" ht="32.4" x14ac:dyDescent="0.3">
      <c r="A267" s="2" t="s">
        <v>52</v>
      </c>
      <c r="B267" s="26" t="s">
        <v>752</v>
      </c>
      <c r="C267" s="26" t="s">
        <v>762</v>
      </c>
      <c r="D267" s="28" t="s">
        <v>141</v>
      </c>
      <c r="E267" s="28" t="s">
        <v>763</v>
      </c>
      <c r="F267" s="32">
        <v>18180</v>
      </c>
      <c r="G267" s="44" t="s">
        <v>764</v>
      </c>
      <c r="H267" s="44"/>
      <c r="I267" s="27" t="s">
        <v>211</v>
      </c>
      <c r="J267" s="27" t="s">
        <v>7</v>
      </c>
    </row>
    <row r="268" spans="1:10" ht="32.4" x14ac:dyDescent="0.3">
      <c r="A268" s="2" t="s">
        <v>52</v>
      </c>
      <c r="B268" s="26" t="s">
        <v>752</v>
      </c>
      <c r="C268" s="26" t="s">
        <v>765</v>
      </c>
      <c r="D268" s="28" t="s">
        <v>141</v>
      </c>
      <c r="E268" s="28" t="s">
        <v>766</v>
      </c>
      <c r="F268" s="32">
        <v>13500</v>
      </c>
      <c r="G268" s="44" t="s">
        <v>767</v>
      </c>
      <c r="H268" s="44"/>
      <c r="I268" s="27" t="s">
        <v>168</v>
      </c>
      <c r="J268" s="27" t="s">
        <v>7</v>
      </c>
    </row>
    <row r="269" spans="1:10" ht="32.4" x14ac:dyDescent="0.3">
      <c r="A269" s="2" t="s">
        <v>52</v>
      </c>
      <c r="B269" s="26" t="s">
        <v>752</v>
      </c>
      <c r="C269" s="26" t="s">
        <v>768</v>
      </c>
      <c r="D269" s="28" t="s">
        <v>121</v>
      </c>
      <c r="E269" s="28" t="s">
        <v>769</v>
      </c>
      <c r="F269" s="32">
        <v>400</v>
      </c>
      <c r="G269" s="44" t="s">
        <v>770</v>
      </c>
      <c r="H269" s="44"/>
      <c r="I269" s="27" t="s">
        <v>353</v>
      </c>
      <c r="J269" s="27" t="s">
        <v>7</v>
      </c>
    </row>
    <row r="270" spans="1:10" ht="32.4" x14ac:dyDescent="0.3">
      <c r="A270" s="2" t="s">
        <v>52</v>
      </c>
      <c r="B270" s="26" t="s">
        <v>752</v>
      </c>
      <c r="C270" s="26" t="s">
        <v>768</v>
      </c>
      <c r="D270" s="28" t="s">
        <v>141</v>
      </c>
      <c r="E270" s="28" t="s">
        <v>771</v>
      </c>
      <c r="F270" s="32">
        <v>10000</v>
      </c>
      <c r="G270" s="44" t="s">
        <v>772</v>
      </c>
      <c r="H270" s="44"/>
      <c r="I270" s="27" t="s">
        <v>337</v>
      </c>
      <c r="J270" s="27" t="s">
        <v>7</v>
      </c>
    </row>
    <row r="271" spans="1:10" ht="32.4" x14ac:dyDescent="0.3">
      <c r="A271" s="2" t="s">
        <v>52</v>
      </c>
      <c r="B271" s="26" t="s">
        <v>752</v>
      </c>
      <c r="C271" s="26" t="s">
        <v>768</v>
      </c>
      <c r="D271" s="28" t="s">
        <v>141</v>
      </c>
      <c r="E271" s="28" t="s">
        <v>773</v>
      </c>
      <c r="F271" s="32">
        <v>2000</v>
      </c>
      <c r="G271" s="44" t="s">
        <v>774</v>
      </c>
      <c r="H271" s="44"/>
      <c r="I271" s="27" t="s">
        <v>102</v>
      </c>
      <c r="J271" s="27" t="s">
        <v>7</v>
      </c>
    </row>
    <row r="272" spans="1:10" ht="32.4" x14ac:dyDescent="0.3">
      <c r="A272" s="2" t="s">
        <v>52</v>
      </c>
      <c r="B272" s="26" t="s">
        <v>752</v>
      </c>
      <c r="C272" s="26" t="s">
        <v>768</v>
      </c>
      <c r="D272" s="28" t="s">
        <v>141</v>
      </c>
      <c r="E272" s="28" t="s">
        <v>775</v>
      </c>
      <c r="F272" s="32">
        <v>7530</v>
      </c>
      <c r="G272" s="44" t="s">
        <v>776</v>
      </c>
      <c r="H272" s="44"/>
      <c r="I272" s="27" t="s">
        <v>347</v>
      </c>
      <c r="J272" s="27" t="s">
        <v>7</v>
      </c>
    </row>
    <row r="273" spans="1:10" ht="32.4" x14ac:dyDescent="0.3">
      <c r="A273" s="2" t="s">
        <v>52</v>
      </c>
      <c r="B273" s="26" t="s">
        <v>752</v>
      </c>
      <c r="C273" s="26" t="s">
        <v>768</v>
      </c>
      <c r="D273" s="28" t="s">
        <v>121</v>
      </c>
      <c r="E273" s="28" t="s">
        <v>777</v>
      </c>
      <c r="F273" s="32">
        <v>4000</v>
      </c>
      <c r="G273" s="44" t="s">
        <v>778</v>
      </c>
      <c r="H273" s="44"/>
      <c r="I273" s="27" t="s">
        <v>779</v>
      </c>
      <c r="J273" s="27" t="s">
        <v>7</v>
      </c>
    </row>
    <row r="274" spans="1:10" x14ac:dyDescent="0.3">
      <c r="A274" s="2" t="s">
        <v>52</v>
      </c>
      <c r="B274" s="26" t="s">
        <v>752</v>
      </c>
      <c r="C274" s="26" t="s">
        <v>768</v>
      </c>
      <c r="D274" s="28" t="s">
        <v>130</v>
      </c>
      <c r="E274" s="28" t="s">
        <v>780</v>
      </c>
      <c r="F274" s="32">
        <v>960</v>
      </c>
      <c r="G274" s="44" t="s">
        <v>781</v>
      </c>
      <c r="H274" s="44"/>
      <c r="I274" s="27" t="s">
        <v>70</v>
      </c>
      <c r="J274" s="27" t="s">
        <v>7</v>
      </c>
    </row>
    <row r="275" spans="1:10" x14ac:dyDescent="0.3">
      <c r="A275" s="2" t="s">
        <v>52</v>
      </c>
      <c r="B275" s="26" t="s">
        <v>752</v>
      </c>
      <c r="C275" s="26" t="s">
        <v>782</v>
      </c>
      <c r="D275" s="28" t="s">
        <v>115</v>
      </c>
      <c r="E275" s="28" t="s">
        <v>783</v>
      </c>
      <c r="F275" s="32">
        <v>3360</v>
      </c>
      <c r="G275" s="44" t="s">
        <v>784</v>
      </c>
      <c r="H275" s="44"/>
      <c r="I275" s="27" t="s">
        <v>70</v>
      </c>
      <c r="J275" s="27" t="s">
        <v>7</v>
      </c>
    </row>
    <row r="276" spans="1:10" ht="32.4" x14ac:dyDescent="0.3">
      <c r="A276" s="2" t="s">
        <v>52</v>
      </c>
      <c r="B276" s="26" t="s">
        <v>752</v>
      </c>
      <c r="C276" s="26" t="s">
        <v>782</v>
      </c>
      <c r="D276" s="28" t="s">
        <v>141</v>
      </c>
      <c r="E276" s="28" t="s">
        <v>785</v>
      </c>
      <c r="F276" s="32">
        <v>288</v>
      </c>
      <c r="G276" s="44" t="s">
        <v>786</v>
      </c>
      <c r="H276" s="44"/>
      <c r="I276" s="27" t="s">
        <v>779</v>
      </c>
      <c r="J276" s="27" t="s">
        <v>7</v>
      </c>
    </row>
    <row r="277" spans="1:10" ht="32.4" x14ac:dyDescent="0.3">
      <c r="A277" s="2" t="s">
        <v>52</v>
      </c>
      <c r="B277" s="26" t="s">
        <v>752</v>
      </c>
      <c r="C277" s="26" t="s">
        <v>782</v>
      </c>
      <c r="D277" s="28" t="s">
        <v>141</v>
      </c>
      <c r="E277" s="28" t="s">
        <v>785</v>
      </c>
      <c r="F277" s="32">
        <v>558</v>
      </c>
      <c r="G277" s="44" t="s">
        <v>786</v>
      </c>
      <c r="H277" s="44"/>
      <c r="I277" s="27" t="s">
        <v>779</v>
      </c>
      <c r="J277" s="27" t="s">
        <v>7</v>
      </c>
    </row>
    <row r="278" spans="1:10" ht="32.4" x14ac:dyDescent="0.3">
      <c r="A278" s="2" t="s">
        <v>52</v>
      </c>
      <c r="B278" s="26" t="s">
        <v>752</v>
      </c>
      <c r="C278" s="26" t="s">
        <v>782</v>
      </c>
      <c r="D278" s="28" t="s">
        <v>141</v>
      </c>
      <c r="E278" s="28" t="s">
        <v>785</v>
      </c>
      <c r="F278" s="32">
        <v>224</v>
      </c>
      <c r="G278" s="44" t="s">
        <v>786</v>
      </c>
      <c r="H278" s="44"/>
      <c r="I278" s="27" t="s">
        <v>779</v>
      </c>
      <c r="J278" s="27" t="s">
        <v>7</v>
      </c>
    </row>
    <row r="279" spans="1:10" ht="32.4" x14ac:dyDescent="0.3">
      <c r="A279" s="2" t="s">
        <v>52</v>
      </c>
      <c r="B279" s="26" t="s">
        <v>752</v>
      </c>
      <c r="C279" s="26" t="s">
        <v>782</v>
      </c>
      <c r="D279" s="28" t="s">
        <v>115</v>
      </c>
      <c r="E279" s="28" t="s">
        <v>787</v>
      </c>
      <c r="F279" s="32">
        <v>8755</v>
      </c>
      <c r="G279" s="44" t="s">
        <v>788</v>
      </c>
      <c r="H279" s="44"/>
      <c r="I279" s="27" t="s">
        <v>98</v>
      </c>
      <c r="J279" s="27" t="s">
        <v>7</v>
      </c>
    </row>
    <row r="280" spans="1:10" ht="32.4" x14ac:dyDescent="0.3">
      <c r="A280" s="2" t="s">
        <v>52</v>
      </c>
      <c r="B280" s="26" t="s">
        <v>752</v>
      </c>
      <c r="C280" s="26" t="s">
        <v>782</v>
      </c>
      <c r="D280" s="28" t="s">
        <v>245</v>
      </c>
      <c r="E280" s="28" t="s">
        <v>789</v>
      </c>
      <c r="F280" s="32">
        <v>10000</v>
      </c>
      <c r="G280" s="44" t="s">
        <v>790</v>
      </c>
      <c r="H280" s="44"/>
      <c r="I280" s="27" t="s">
        <v>791</v>
      </c>
      <c r="J280" s="27" t="s">
        <v>7</v>
      </c>
    </row>
    <row r="281" spans="1:10" ht="32.4" x14ac:dyDescent="0.3">
      <c r="A281" s="2" t="s">
        <v>52</v>
      </c>
      <c r="B281" s="26" t="s">
        <v>752</v>
      </c>
      <c r="C281" s="26" t="s">
        <v>792</v>
      </c>
      <c r="D281" s="28" t="s">
        <v>208</v>
      </c>
      <c r="E281" s="28" t="s">
        <v>793</v>
      </c>
      <c r="F281" s="32">
        <v>1120</v>
      </c>
      <c r="G281" s="44" t="s">
        <v>794</v>
      </c>
      <c r="H281" s="44"/>
      <c r="I281" s="27" t="s">
        <v>499</v>
      </c>
      <c r="J281" s="27" t="s">
        <v>7</v>
      </c>
    </row>
    <row r="282" spans="1:10" ht="32.4" x14ac:dyDescent="0.3">
      <c r="A282" s="2" t="s">
        <v>52</v>
      </c>
      <c r="B282" s="26" t="s">
        <v>752</v>
      </c>
      <c r="C282" s="26" t="s">
        <v>792</v>
      </c>
      <c r="D282" s="28" t="s">
        <v>121</v>
      </c>
      <c r="E282" s="28" t="s">
        <v>795</v>
      </c>
      <c r="F282" s="32">
        <v>8547</v>
      </c>
      <c r="G282" s="44" t="s">
        <v>796</v>
      </c>
      <c r="H282" s="44"/>
      <c r="I282" s="27" t="s">
        <v>499</v>
      </c>
      <c r="J282" s="27" t="s">
        <v>7</v>
      </c>
    </row>
    <row r="283" spans="1:10" ht="32.4" x14ac:dyDescent="0.3">
      <c r="A283" s="2" t="s">
        <v>52</v>
      </c>
      <c r="B283" s="26" t="s">
        <v>752</v>
      </c>
      <c r="C283" s="26" t="s">
        <v>792</v>
      </c>
      <c r="D283" s="28" t="s">
        <v>245</v>
      </c>
      <c r="E283" s="28" t="s">
        <v>797</v>
      </c>
      <c r="F283" s="32">
        <v>9135</v>
      </c>
      <c r="G283" s="44" t="s">
        <v>798</v>
      </c>
      <c r="H283" s="44"/>
      <c r="I283" s="27" t="s">
        <v>799</v>
      </c>
      <c r="J283" s="27" t="s">
        <v>7</v>
      </c>
    </row>
    <row r="284" spans="1:10" ht="32.4" x14ac:dyDescent="0.3">
      <c r="A284" s="2" t="s">
        <v>52</v>
      </c>
      <c r="B284" s="26" t="s">
        <v>752</v>
      </c>
      <c r="C284" s="26" t="s">
        <v>792</v>
      </c>
      <c r="D284" s="28" t="s">
        <v>245</v>
      </c>
      <c r="E284" s="28" t="s">
        <v>800</v>
      </c>
      <c r="F284" s="32">
        <v>900</v>
      </c>
      <c r="G284" s="44" t="s">
        <v>801</v>
      </c>
      <c r="H284" s="44"/>
      <c r="I284" s="27" t="s">
        <v>799</v>
      </c>
      <c r="J284" s="27" t="s">
        <v>7</v>
      </c>
    </row>
    <row r="285" spans="1:10" ht="32.4" x14ac:dyDescent="0.3">
      <c r="A285" s="2" t="s">
        <v>52</v>
      </c>
      <c r="B285" s="26" t="s">
        <v>752</v>
      </c>
      <c r="C285" s="26" t="s">
        <v>792</v>
      </c>
      <c r="D285" s="28" t="s">
        <v>141</v>
      </c>
      <c r="E285" s="28" t="s">
        <v>802</v>
      </c>
      <c r="F285" s="32">
        <v>7251</v>
      </c>
      <c r="G285" s="44" t="s">
        <v>803</v>
      </c>
      <c r="H285" s="44"/>
      <c r="I285" s="27" t="s">
        <v>804</v>
      </c>
      <c r="J285" s="27" t="s">
        <v>7</v>
      </c>
    </row>
    <row r="286" spans="1:10" ht="32.4" x14ac:dyDescent="0.3">
      <c r="A286" s="2" t="s">
        <v>52</v>
      </c>
      <c r="B286" s="26" t="s">
        <v>752</v>
      </c>
      <c r="C286" s="26" t="s">
        <v>792</v>
      </c>
      <c r="D286" s="28" t="s">
        <v>141</v>
      </c>
      <c r="E286" s="28" t="s">
        <v>805</v>
      </c>
      <c r="F286" s="32">
        <v>955</v>
      </c>
      <c r="G286" s="44" t="s">
        <v>806</v>
      </c>
      <c r="H286" s="44"/>
      <c r="I286" s="27" t="s">
        <v>248</v>
      </c>
      <c r="J286" s="27" t="s">
        <v>7</v>
      </c>
    </row>
    <row r="287" spans="1:10" x14ac:dyDescent="0.3">
      <c r="A287" s="2" t="s">
        <v>52</v>
      </c>
      <c r="B287" s="26" t="s">
        <v>752</v>
      </c>
      <c r="C287" s="26" t="s">
        <v>792</v>
      </c>
      <c r="D287" s="28" t="s">
        <v>115</v>
      </c>
      <c r="E287" s="28" t="s">
        <v>807</v>
      </c>
      <c r="F287" s="32">
        <v>724</v>
      </c>
      <c r="G287" s="44" t="s">
        <v>808</v>
      </c>
      <c r="H287" s="44"/>
      <c r="I287" s="27" t="s">
        <v>248</v>
      </c>
      <c r="J287" s="27" t="s">
        <v>7</v>
      </c>
    </row>
    <row r="288" spans="1:10" x14ac:dyDescent="0.3">
      <c r="A288" s="2" t="s">
        <v>52</v>
      </c>
      <c r="B288" s="26" t="s">
        <v>752</v>
      </c>
      <c r="C288" s="26" t="s">
        <v>792</v>
      </c>
      <c r="D288" s="28" t="s">
        <v>62</v>
      </c>
      <c r="E288" s="28" t="s">
        <v>807</v>
      </c>
      <c r="F288" s="32">
        <v>1200</v>
      </c>
      <c r="G288" s="44" t="s">
        <v>808</v>
      </c>
      <c r="H288" s="44"/>
      <c r="I288" s="27" t="s">
        <v>248</v>
      </c>
      <c r="J288" s="27" t="s">
        <v>7</v>
      </c>
    </row>
    <row r="289" spans="1:10" ht="32.4" x14ac:dyDescent="0.3">
      <c r="A289" s="2" t="s">
        <v>52</v>
      </c>
      <c r="B289" s="26" t="s">
        <v>752</v>
      </c>
      <c r="C289" s="26" t="s">
        <v>792</v>
      </c>
      <c r="D289" s="28" t="s">
        <v>245</v>
      </c>
      <c r="E289" s="28" t="s">
        <v>809</v>
      </c>
      <c r="F289" s="32">
        <v>1470</v>
      </c>
      <c r="G289" s="44" t="s">
        <v>810</v>
      </c>
      <c r="H289" s="44"/>
      <c r="I289" s="27" t="s">
        <v>248</v>
      </c>
      <c r="J289" s="27" t="s">
        <v>7</v>
      </c>
    </row>
    <row r="290" spans="1:10" ht="32.4" x14ac:dyDescent="0.3">
      <c r="A290" s="2" t="s">
        <v>52</v>
      </c>
      <c r="B290" s="26" t="s">
        <v>752</v>
      </c>
      <c r="C290" s="26" t="s">
        <v>792</v>
      </c>
      <c r="D290" s="28" t="s">
        <v>245</v>
      </c>
      <c r="E290" s="28" t="s">
        <v>811</v>
      </c>
      <c r="F290" s="32">
        <v>6000</v>
      </c>
      <c r="G290" s="44" t="s">
        <v>812</v>
      </c>
      <c r="H290" s="44"/>
      <c r="I290" s="27" t="s">
        <v>248</v>
      </c>
      <c r="J290" s="27" t="s">
        <v>7</v>
      </c>
    </row>
    <row r="291" spans="1:10" ht="32.4" x14ac:dyDescent="0.3">
      <c r="A291" s="2" t="s">
        <v>52</v>
      </c>
      <c r="B291" s="26" t="s">
        <v>752</v>
      </c>
      <c r="C291" s="26" t="s">
        <v>813</v>
      </c>
      <c r="D291" s="28" t="s">
        <v>81</v>
      </c>
      <c r="E291" s="28" t="s">
        <v>814</v>
      </c>
      <c r="F291" s="32">
        <v>21904</v>
      </c>
      <c r="G291" s="44" t="s">
        <v>815</v>
      </c>
      <c r="H291" s="44"/>
      <c r="I291" s="27" t="s">
        <v>211</v>
      </c>
      <c r="J291" s="27" t="s">
        <v>7</v>
      </c>
    </row>
    <row r="292" spans="1:10" ht="32.4" x14ac:dyDescent="0.3">
      <c r="A292" s="2" t="s">
        <v>52</v>
      </c>
      <c r="B292" s="26" t="s">
        <v>752</v>
      </c>
      <c r="C292" s="26" t="s">
        <v>816</v>
      </c>
      <c r="D292" s="28" t="s">
        <v>81</v>
      </c>
      <c r="E292" s="28" t="s">
        <v>817</v>
      </c>
      <c r="F292" s="32">
        <v>12271</v>
      </c>
      <c r="G292" s="44" t="s">
        <v>818</v>
      </c>
      <c r="H292" s="44"/>
      <c r="I292" s="27" t="s">
        <v>211</v>
      </c>
      <c r="J292" s="27" t="s">
        <v>7</v>
      </c>
    </row>
    <row r="293" spans="1:10" ht="48.6" x14ac:dyDescent="0.3">
      <c r="A293" s="2" t="s">
        <v>52</v>
      </c>
      <c r="B293" s="26" t="s">
        <v>752</v>
      </c>
      <c r="C293" s="26" t="s">
        <v>819</v>
      </c>
      <c r="D293" s="28" t="s">
        <v>110</v>
      </c>
      <c r="E293" s="28" t="s">
        <v>820</v>
      </c>
      <c r="F293" s="32">
        <v>4084</v>
      </c>
      <c r="G293" s="44" t="s">
        <v>821</v>
      </c>
      <c r="H293" s="44"/>
      <c r="I293" s="27" t="s">
        <v>98</v>
      </c>
      <c r="J293" s="27" t="s">
        <v>7</v>
      </c>
    </row>
    <row r="294" spans="1:10" ht="32.4" x14ac:dyDescent="0.3">
      <c r="A294" s="2" t="s">
        <v>52</v>
      </c>
      <c r="B294" s="26" t="s">
        <v>752</v>
      </c>
      <c r="C294" s="26" t="s">
        <v>819</v>
      </c>
      <c r="D294" s="28" t="s">
        <v>208</v>
      </c>
      <c r="E294" s="28" t="s">
        <v>822</v>
      </c>
      <c r="F294" s="32">
        <v>1530</v>
      </c>
      <c r="G294" s="44" t="s">
        <v>823</v>
      </c>
      <c r="H294" s="44"/>
      <c r="I294" s="27" t="s">
        <v>79</v>
      </c>
      <c r="J294" s="27" t="s">
        <v>7</v>
      </c>
    </row>
    <row r="295" spans="1:10" ht="48.6" x14ac:dyDescent="0.3">
      <c r="A295" s="2" t="s">
        <v>52</v>
      </c>
      <c r="B295" s="26" t="s">
        <v>752</v>
      </c>
      <c r="C295" s="26" t="s">
        <v>819</v>
      </c>
      <c r="D295" s="28" t="s">
        <v>110</v>
      </c>
      <c r="E295" s="28" t="s">
        <v>822</v>
      </c>
      <c r="F295" s="32">
        <v>2000</v>
      </c>
      <c r="G295" s="44" t="s">
        <v>823</v>
      </c>
      <c r="H295" s="44"/>
      <c r="I295" s="27" t="s">
        <v>79</v>
      </c>
      <c r="J295" s="27" t="s">
        <v>7</v>
      </c>
    </row>
    <row r="296" spans="1:10" ht="48.6" x14ac:dyDescent="0.3">
      <c r="A296" s="2" t="s">
        <v>52</v>
      </c>
      <c r="B296" s="26" t="s">
        <v>752</v>
      </c>
      <c r="C296" s="26" t="s">
        <v>819</v>
      </c>
      <c r="D296" s="28" t="s">
        <v>110</v>
      </c>
      <c r="E296" s="28" t="s">
        <v>824</v>
      </c>
      <c r="F296" s="32">
        <v>4084</v>
      </c>
      <c r="G296" s="44" t="s">
        <v>825</v>
      </c>
      <c r="H296" s="44"/>
      <c r="I296" s="27" t="s">
        <v>150</v>
      </c>
      <c r="J296" s="27" t="s">
        <v>7</v>
      </c>
    </row>
    <row r="297" spans="1:10" ht="48.6" x14ac:dyDescent="0.3">
      <c r="A297" s="2" t="s">
        <v>52</v>
      </c>
      <c r="B297" s="26" t="s">
        <v>752</v>
      </c>
      <c r="C297" s="26" t="s">
        <v>819</v>
      </c>
      <c r="D297" s="28" t="s">
        <v>110</v>
      </c>
      <c r="E297" s="28" t="s">
        <v>826</v>
      </c>
      <c r="F297" s="32">
        <v>4000</v>
      </c>
      <c r="G297" s="44" t="s">
        <v>827</v>
      </c>
      <c r="H297" s="44"/>
      <c r="I297" s="27" t="s">
        <v>478</v>
      </c>
      <c r="J297" s="27" t="s">
        <v>7</v>
      </c>
    </row>
    <row r="298" spans="1:10" ht="48.6" x14ac:dyDescent="0.3">
      <c r="A298" s="2" t="s">
        <v>52</v>
      </c>
      <c r="B298" s="26" t="s">
        <v>752</v>
      </c>
      <c r="C298" s="26" t="s">
        <v>819</v>
      </c>
      <c r="D298" s="28" t="s">
        <v>110</v>
      </c>
      <c r="E298" s="28" t="s">
        <v>828</v>
      </c>
      <c r="F298" s="32">
        <v>6127</v>
      </c>
      <c r="G298" s="44" t="s">
        <v>829</v>
      </c>
      <c r="H298" s="44"/>
      <c r="I298" s="27" t="s">
        <v>49</v>
      </c>
      <c r="J298" s="27" t="s">
        <v>7</v>
      </c>
    </row>
    <row r="299" spans="1:10" ht="48.6" x14ac:dyDescent="0.3">
      <c r="A299" s="2" t="s">
        <v>52</v>
      </c>
      <c r="B299" s="26" t="s">
        <v>752</v>
      </c>
      <c r="C299" s="26" t="s">
        <v>819</v>
      </c>
      <c r="D299" s="28" t="s">
        <v>110</v>
      </c>
      <c r="E299" s="28" t="s">
        <v>830</v>
      </c>
      <c r="F299" s="32">
        <v>4084</v>
      </c>
      <c r="G299" s="44" t="s">
        <v>831</v>
      </c>
      <c r="H299" s="44"/>
      <c r="I299" s="27" t="s">
        <v>235</v>
      </c>
      <c r="J299" s="27" t="s">
        <v>7</v>
      </c>
    </row>
    <row r="300" spans="1:10" ht="32.4" x14ac:dyDescent="0.3">
      <c r="A300" s="2" t="s">
        <v>52</v>
      </c>
      <c r="B300" s="26" t="s">
        <v>832</v>
      </c>
      <c r="C300" s="26" t="s">
        <v>833</v>
      </c>
      <c r="D300" s="28" t="s">
        <v>121</v>
      </c>
      <c r="E300" s="28" t="s">
        <v>834</v>
      </c>
      <c r="F300" s="32">
        <v>9000</v>
      </c>
      <c r="G300" s="44" t="s">
        <v>835</v>
      </c>
      <c r="H300" s="44"/>
      <c r="I300" s="27" t="s">
        <v>49</v>
      </c>
      <c r="J300" s="27" t="s">
        <v>7</v>
      </c>
    </row>
    <row r="301" spans="1:10" ht="32.4" x14ac:dyDescent="0.3">
      <c r="A301" s="2" t="s">
        <v>52</v>
      </c>
      <c r="B301" s="26" t="s">
        <v>832</v>
      </c>
      <c r="C301" s="26" t="s">
        <v>833</v>
      </c>
      <c r="D301" s="28" t="s">
        <v>245</v>
      </c>
      <c r="E301" s="28" t="s">
        <v>836</v>
      </c>
      <c r="F301" s="32">
        <v>1932</v>
      </c>
      <c r="G301" s="44" t="s">
        <v>837</v>
      </c>
      <c r="H301" s="44"/>
      <c r="I301" s="27" t="s">
        <v>838</v>
      </c>
      <c r="J301" s="27" t="s">
        <v>7</v>
      </c>
    </row>
    <row r="302" spans="1:10" ht="32.4" x14ac:dyDescent="0.3">
      <c r="A302" s="2" t="s">
        <v>52</v>
      </c>
      <c r="B302" s="26" t="s">
        <v>832</v>
      </c>
      <c r="C302" s="26" t="s">
        <v>839</v>
      </c>
      <c r="D302" s="28" t="s">
        <v>245</v>
      </c>
      <c r="E302" s="28" t="s">
        <v>840</v>
      </c>
      <c r="F302" s="32">
        <v>4830</v>
      </c>
      <c r="G302" s="44" t="s">
        <v>841</v>
      </c>
      <c r="H302" s="44"/>
      <c r="I302" s="27" t="s">
        <v>842</v>
      </c>
      <c r="J302" s="27" t="s">
        <v>7</v>
      </c>
    </row>
    <row r="303" spans="1:10" ht="32.4" x14ac:dyDescent="0.3">
      <c r="A303" s="2" t="s">
        <v>52</v>
      </c>
      <c r="B303" s="26" t="s">
        <v>832</v>
      </c>
      <c r="C303" s="26" t="s">
        <v>839</v>
      </c>
      <c r="D303" s="28" t="s">
        <v>121</v>
      </c>
      <c r="E303" s="28" t="s">
        <v>843</v>
      </c>
      <c r="F303" s="32">
        <v>852</v>
      </c>
      <c r="G303" s="44" t="s">
        <v>844</v>
      </c>
      <c r="H303" s="44"/>
      <c r="I303" s="27" t="s">
        <v>842</v>
      </c>
      <c r="J303" s="27" t="s">
        <v>7</v>
      </c>
    </row>
    <row r="304" spans="1:10" ht="32.4" x14ac:dyDescent="0.3">
      <c r="A304" s="2" t="s">
        <v>52</v>
      </c>
      <c r="B304" s="26" t="s">
        <v>832</v>
      </c>
      <c r="C304" s="26" t="s">
        <v>839</v>
      </c>
      <c r="D304" s="28" t="s">
        <v>141</v>
      </c>
      <c r="E304" s="28" t="s">
        <v>845</v>
      </c>
      <c r="F304" s="32">
        <v>61</v>
      </c>
      <c r="G304" s="44" t="s">
        <v>846</v>
      </c>
      <c r="H304" s="44"/>
      <c r="I304" s="27" t="s">
        <v>842</v>
      </c>
      <c r="J304" s="27" t="s">
        <v>7</v>
      </c>
    </row>
    <row r="305" spans="1:10" ht="32.4" x14ac:dyDescent="0.3">
      <c r="A305" s="2" t="s">
        <v>52</v>
      </c>
      <c r="B305" s="26" t="s">
        <v>832</v>
      </c>
      <c r="C305" s="26" t="s">
        <v>839</v>
      </c>
      <c r="D305" s="28" t="s">
        <v>115</v>
      </c>
      <c r="E305" s="28" t="s">
        <v>847</v>
      </c>
      <c r="F305" s="32">
        <v>1975</v>
      </c>
      <c r="G305" s="44" t="s">
        <v>848</v>
      </c>
      <c r="H305" s="44"/>
      <c r="I305" s="27" t="s">
        <v>98</v>
      </c>
      <c r="J305" s="27" t="s">
        <v>7</v>
      </c>
    </row>
    <row r="306" spans="1:10" ht="32.4" x14ac:dyDescent="0.3">
      <c r="A306" s="2" t="s">
        <v>52</v>
      </c>
      <c r="B306" s="26" t="s">
        <v>832</v>
      </c>
      <c r="C306" s="26" t="s">
        <v>839</v>
      </c>
      <c r="D306" s="28" t="s">
        <v>121</v>
      </c>
      <c r="E306" s="28" t="s">
        <v>849</v>
      </c>
      <c r="F306" s="32">
        <v>336</v>
      </c>
      <c r="G306" s="44" t="s">
        <v>850</v>
      </c>
      <c r="H306" s="44"/>
      <c r="I306" s="27" t="s">
        <v>353</v>
      </c>
      <c r="J306" s="27" t="s">
        <v>7</v>
      </c>
    </row>
    <row r="307" spans="1:10" ht="32.4" x14ac:dyDescent="0.3">
      <c r="A307" s="2" t="s">
        <v>52</v>
      </c>
      <c r="B307" s="26" t="s">
        <v>832</v>
      </c>
      <c r="C307" s="26" t="s">
        <v>851</v>
      </c>
      <c r="D307" s="28" t="s">
        <v>208</v>
      </c>
      <c r="E307" s="28" t="s">
        <v>852</v>
      </c>
      <c r="F307" s="32">
        <v>280</v>
      </c>
      <c r="G307" s="44" t="s">
        <v>853</v>
      </c>
      <c r="H307" s="44"/>
      <c r="I307" s="27" t="s">
        <v>499</v>
      </c>
      <c r="J307" s="27" t="s">
        <v>7</v>
      </c>
    </row>
    <row r="308" spans="1:10" ht="32.4" x14ac:dyDescent="0.3">
      <c r="A308" s="2" t="s">
        <v>52</v>
      </c>
      <c r="B308" s="26" t="s">
        <v>854</v>
      </c>
      <c r="C308" s="26" t="s">
        <v>855</v>
      </c>
      <c r="D308" s="28" t="s">
        <v>141</v>
      </c>
      <c r="E308" s="28" t="s">
        <v>856</v>
      </c>
      <c r="F308" s="32">
        <v>14562</v>
      </c>
      <c r="G308" s="44" t="s">
        <v>857</v>
      </c>
      <c r="H308" s="44"/>
      <c r="I308" s="27" t="s">
        <v>337</v>
      </c>
      <c r="J308" s="27" t="s">
        <v>7</v>
      </c>
    </row>
    <row r="309" spans="1:10" ht="32.4" x14ac:dyDescent="0.3">
      <c r="A309" s="2" t="s">
        <v>52</v>
      </c>
      <c r="B309" s="26" t="s">
        <v>854</v>
      </c>
      <c r="C309" s="26" t="s">
        <v>858</v>
      </c>
      <c r="D309" s="28" t="s">
        <v>245</v>
      </c>
      <c r="E309" s="28" t="s">
        <v>859</v>
      </c>
      <c r="F309" s="32">
        <v>20000</v>
      </c>
      <c r="G309" s="44" t="s">
        <v>860</v>
      </c>
      <c r="H309" s="44"/>
      <c r="I309" s="27" t="s">
        <v>647</v>
      </c>
      <c r="J309" s="27" t="s">
        <v>7</v>
      </c>
    </row>
    <row r="310" spans="1:10" ht="32.4" x14ac:dyDescent="0.3">
      <c r="A310" s="2" t="s">
        <v>52</v>
      </c>
      <c r="B310" s="26" t="s">
        <v>854</v>
      </c>
      <c r="C310" s="26" t="s">
        <v>861</v>
      </c>
      <c r="D310" s="28" t="s">
        <v>55</v>
      </c>
      <c r="E310" s="28" t="s">
        <v>862</v>
      </c>
      <c r="F310" s="32">
        <v>3905</v>
      </c>
      <c r="G310" s="44" t="s">
        <v>863</v>
      </c>
      <c r="H310" s="44"/>
      <c r="I310" s="27" t="s">
        <v>168</v>
      </c>
      <c r="J310" s="27" t="s">
        <v>7</v>
      </c>
    </row>
    <row r="311" spans="1:10" ht="32.4" x14ac:dyDescent="0.3">
      <c r="A311" s="2" t="s">
        <v>52</v>
      </c>
      <c r="B311" s="26" t="s">
        <v>854</v>
      </c>
      <c r="C311" s="26" t="s">
        <v>861</v>
      </c>
      <c r="D311" s="28" t="s">
        <v>703</v>
      </c>
      <c r="E311" s="28" t="s">
        <v>864</v>
      </c>
      <c r="F311" s="32">
        <v>1248</v>
      </c>
      <c r="G311" s="44" t="s">
        <v>865</v>
      </c>
      <c r="H311" s="44"/>
      <c r="I311" s="27" t="s">
        <v>866</v>
      </c>
      <c r="J311" s="27" t="s">
        <v>7</v>
      </c>
    </row>
    <row r="312" spans="1:10" ht="32.4" x14ac:dyDescent="0.3">
      <c r="A312" s="2" t="s">
        <v>52</v>
      </c>
      <c r="B312" s="26" t="s">
        <v>854</v>
      </c>
      <c r="C312" s="26" t="s">
        <v>867</v>
      </c>
      <c r="D312" s="28" t="s">
        <v>141</v>
      </c>
      <c r="E312" s="28" t="s">
        <v>868</v>
      </c>
      <c r="F312" s="32">
        <v>2850</v>
      </c>
      <c r="G312" s="44" t="s">
        <v>869</v>
      </c>
      <c r="H312" s="44"/>
      <c r="I312" s="27" t="s">
        <v>870</v>
      </c>
      <c r="J312" s="27" t="s">
        <v>7</v>
      </c>
    </row>
    <row r="313" spans="1:10" ht="32.4" x14ac:dyDescent="0.3">
      <c r="A313" s="2" t="s">
        <v>52</v>
      </c>
      <c r="B313" s="26" t="s">
        <v>854</v>
      </c>
      <c r="C313" s="26" t="s">
        <v>867</v>
      </c>
      <c r="D313" s="28" t="s">
        <v>245</v>
      </c>
      <c r="E313" s="28" t="s">
        <v>871</v>
      </c>
      <c r="F313" s="32">
        <v>5800</v>
      </c>
      <c r="G313" s="44" t="s">
        <v>872</v>
      </c>
      <c r="H313" s="44"/>
      <c r="I313" s="27" t="s">
        <v>838</v>
      </c>
      <c r="J313" s="27" t="s">
        <v>7</v>
      </c>
    </row>
    <row r="314" spans="1:10" ht="32.4" x14ac:dyDescent="0.3">
      <c r="A314" s="2" t="s">
        <v>52</v>
      </c>
      <c r="B314" s="26" t="s">
        <v>854</v>
      </c>
      <c r="C314" s="26" t="s">
        <v>867</v>
      </c>
      <c r="D314" s="28" t="s">
        <v>121</v>
      </c>
      <c r="E314" s="28" t="s">
        <v>873</v>
      </c>
      <c r="F314" s="32">
        <v>5000</v>
      </c>
      <c r="G314" s="44" t="s">
        <v>874</v>
      </c>
      <c r="H314" s="44"/>
      <c r="I314" s="27" t="s">
        <v>79</v>
      </c>
      <c r="J314" s="27" t="s">
        <v>7</v>
      </c>
    </row>
    <row r="315" spans="1:10" ht="48.6" x14ac:dyDescent="0.3">
      <c r="A315" s="2" t="s">
        <v>52</v>
      </c>
      <c r="B315" s="26" t="s">
        <v>854</v>
      </c>
      <c r="C315" s="26" t="s">
        <v>875</v>
      </c>
      <c r="D315" s="28" t="s">
        <v>110</v>
      </c>
      <c r="E315" s="28" t="s">
        <v>876</v>
      </c>
      <c r="F315" s="32">
        <v>2000</v>
      </c>
      <c r="G315" s="44" t="s">
        <v>877</v>
      </c>
      <c r="H315" s="44"/>
      <c r="I315" s="27" t="s">
        <v>79</v>
      </c>
      <c r="J315" s="27" t="s">
        <v>7</v>
      </c>
    </row>
    <row r="316" spans="1:10" ht="48.6" x14ac:dyDescent="0.3">
      <c r="A316" s="2" t="s">
        <v>52</v>
      </c>
      <c r="B316" s="26" t="s">
        <v>854</v>
      </c>
      <c r="C316" s="26" t="s">
        <v>875</v>
      </c>
      <c r="D316" s="28" t="s">
        <v>110</v>
      </c>
      <c r="E316" s="28" t="s">
        <v>878</v>
      </c>
      <c r="F316" s="32">
        <v>4084</v>
      </c>
      <c r="G316" s="44" t="s">
        <v>879</v>
      </c>
      <c r="H316" s="44"/>
      <c r="I316" s="27" t="s">
        <v>499</v>
      </c>
      <c r="J316" s="27" t="s">
        <v>7</v>
      </c>
    </row>
    <row r="317" spans="1:10" ht="48.6" x14ac:dyDescent="0.3">
      <c r="A317" s="2" t="s">
        <v>52</v>
      </c>
      <c r="B317" s="26" t="s">
        <v>854</v>
      </c>
      <c r="C317" s="26" t="s">
        <v>875</v>
      </c>
      <c r="D317" s="28" t="s">
        <v>110</v>
      </c>
      <c r="E317" s="28" t="s">
        <v>880</v>
      </c>
      <c r="F317" s="32">
        <v>6127</v>
      </c>
      <c r="G317" s="44" t="s">
        <v>881</v>
      </c>
      <c r="H317" s="44"/>
      <c r="I317" s="27" t="s">
        <v>499</v>
      </c>
      <c r="J317" s="27" t="s">
        <v>7</v>
      </c>
    </row>
    <row r="318" spans="1:10" ht="48.6" x14ac:dyDescent="0.3">
      <c r="A318" s="2" t="s">
        <v>52</v>
      </c>
      <c r="B318" s="26" t="s">
        <v>854</v>
      </c>
      <c r="C318" s="26" t="s">
        <v>875</v>
      </c>
      <c r="D318" s="28" t="s">
        <v>110</v>
      </c>
      <c r="E318" s="28" t="s">
        <v>882</v>
      </c>
      <c r="F318" s="32">
        <v>3063</v>
      </c>
      <c r="G318" s="44" t="s">
        <v>883</v>
      </c>
      <c r="H318" s="44"/>
      <c r="I318" s="27" t="s">
        <v>70</v>
      </c>
      <c r="J318" s="27" t="s">
        <v>7</v>
      </c>
    </row>
    <row r="319" spans="1:10" ht="32.4" x14ac:dyDescent="0.3">
      <c r="A319" s="2" t="s">
        <v>52</v>
      </c>
      <c r="B319" s="26" t="s">
        <v>854</v>
      </c>
      <c r="C319" s="26" t="s">
        <v>884</v>
      </c>
      <c r="D319" s="28" t="s">
        <v>81</v>
      </c>
      <c r="E319" s="28" t="s">
        <v>885</v>
      </c>
      <c r="F319" s="32">
        <v>32228</v>
      </c>
      <c r="G319" s="44" t="s">
        <v>886</v>
      </c>
      <c r="H319" s="44"/>
      <c r="I319" s="27" t="s">
        <v>223</v>
      </c>
      <c r="J319" s="27" t="s">
        <v>7</v>
      </c>
    </row>
    <row r="320" spans="1:10" ht="32.4" x14ac:dyDescent="0.3">
      <c r="A320" s="2" t="s">
        <v>52</v>
      </c>
      <c r="B320" s="26" t="s">
        <v>854</v>
      </c>
      <c r="C320" s="26" t="s">
        <v>887</v>
      </c>
      <c r="D320" s="28" t="s">
        <v>81</v>
      </c>
      <c r="E320" s="28" t="s">
        <v>888</v>
      </c>
      <c r="F320" s="32">
        <v>5385</v>
      </c>
      <c r="G320" s="44" t="s">
        <v>889</v>
      </c>
      <c r="H320" s="44"/>
      <c r="I320" s="27" t="s">
        <v>84</v>
      </c>
      <c r="J320" s="27" t="s">
        <v>7</v>
      </c>
    </row>
    <row r="321" spans="1:10" ht="32.4" x14ac:dyDescent="0.3">
      <c r="A321" s="2" t="s">
        <v>52</v>
      </c>
      <c r="B321" s="26" t="s">
        <v>854</v>
      </c>
      <c r="C321" s="26" t="s">
        <v>890</v>
      </c>
      <c r="D321" s="28" t="s">
        <v>81</v>
      </c>
      <c r="E321" s="28" t="s">
        <v>891</v>
      </c>
      <c r="F321" s="32">
        <v>7447</v>
      </c>
      <c r="G321" s="44" t="s">
        <v>892</v>
      </c>
      <c r="H321" s="44"/>
      <c r="I321" s="27" t="s">
        <v>84</v>
      </c>
      <c r="J321" s="27" t="s">
        <v>7</v>
      </c>
    </row>
    <row r="322" spans="1:10" x14ac:dyDescent="0.3">
      <c r="A322" s="2" t="s">
        <v>52</v>
      </c>
      <c r="B322" s="26" t="s">
        <v>893</v>
      </c>
      <c r="C322" s="26" t="s">
        <v>894</v>
      </c>
      <c r="D322" s="28" t="s">
        <v>62</v>
      </c>
      <c r="E322" s="28" t="s">
        <v>895</v>
      </c>
      <c r="F322" s="32">
        <v>33012</v>
      </c>
      <c r="G322" s="44" t="s">
        <v>896</v>
      </c>
      <c r="H322" s="44"/>
      <c r="I322" s="27" t="s">
        <v>342</v>
      </c>
      <c r="J322" s="27" t="s">
        <v>7</v>
      </c>
    </row>
    <row r="323" spans="1:10" ht="48.6" x14ac:dyDescent="0.3">
      <c r="A323" s="2" t="s">
        <v>52</v>
      </c>
      <c r="B323" s="26" t="s">
        <v>893</v>
      </c>
      <c r="C323" s="26" t="s">
        <v>897</v>
      </c>
      <c r="D323" s="28" t="s">
        <v>110</v>
      </c>
      <c r="E323" s="28" t="s">
        <v>898</v>
      </c>
      <c r="F323" s="32">
        <v>6127</v>
      </c>
      <c r="G323" s="44" t="s">
        <v>899</v>
      </c>
      <c r="H323" s="44"/>
      <c r="I323" s="27" t="s">
        <v>499</v>
      </c>
      <c r="J323" s="27" t="s">
        <v>7</v>
      </c>
    </row>
    <row r="324" spans="1:10" x14ac:dyDescent="0.3">
      <c r="A324" s="2" t="s">
        <v>44</v>
      </c>
      <c r="B324" s="26" t="s">
        <v>893</v>
      </c>
      <c r="C324" s="26" t="s">
        <v>330</v>
      </c>
      <c r="D324" s="28" t="s">
        <v>7</v>
      </c>
      <c r="E324" s="28" t="s">
        <v>900</v>
      </c>
      <c r="F324" s="32">
        <v>11296</v>
      </c>
      <c r="G324" s="44" t="s">
        <v>901</v>
      </c>
      <c r="H324" s="44"/>
      <c r="I324" s="27" t="s">
        <v>902</v>
      </c>
      <c r="J324" s="27" t="s">
        <v>7</v>
      </c>
    </row>
    <row r="325" spans="1:10" ht="32.4" x14ac:dyDescent="0.3">
      <c r="A325" s="2" t="s">
        <v>52</v>
      </c>
      <c r="B325" s="26" t="s">
        <v>903</v>
      </c>
      <c r="C325" s="26" t="s">
        <v>904</v>
      </c>
      <c r="D325" s="28" t="s">
        <v>55</v>
      </c>
      <c r="E325" s="28" t="s">
        <v>905</v>
      </c>
      <c r="F325" s="32">
        <v>374</v>
      </c>
      <c r="G325" s="44" t="s">
        <v>906</v>
      </c>
      <c r="H325" s="44"/>
      <c r="I325" s="27" t="s">
        <v>168</v>
      </c>
      <c r="J325" s="27" t="s">
        <v>7</v>
      </c>
    </row>
    <row r="326" spans="1:10" ht="32.4" x14ac:dyDescent="0.3">
      <c r="A326" s="2" t="s">
        <v>52</v>
      </c>
      <c r="B326" s="26" t="s">
        <v>903</v>
      </c>
      <c r="C326" s="26" t="s">
        <v>907</v>
      </c>
      <c r="D326" s="28" t="s">
        <v>141</v>
      </c>
      <c r="E326" s="28" t="s">
        <v>908</v>
      </c>
      <c r="F326" s="32">
        <v>2550</v>
      </c>
      <c r="G326" s="44" t="s">
        <v>909</v>
      </c>
      <c r="H326" s="44"/>
      <c r="I326" s="27" t="s">
        <v>347</v>
      </c>
      <c r="J326" s="27" t="s">
        <v>7</v>
      </c>
    </row>
    <row r="327" spans="1:10" ht="32.4" x14ac:dyDescent="0.3">
      <c r="A327" s="2" t="s">
        <v>52</v>
      </c>
      <c r="B327" s="26" t="s">
        <v>903</v>
      </c>
      <c r="C327" s="26" t="s">
        <v>907</v>
      </c>
      <c r="D327" s="28" t="s">
        <v>910</v>
      </c>
      <c r="E327" s="28" t="s">
        <v>911</v>
      </c>
      <c r="F327" s="32">
        <v>5800</v>
      </c>
      <c r="G327" s="44" t="s">
        <v>912</v>
      </c>
      <c r="H327" s="44"/>
      <c r="I327" s="27" t="s">
        <v>163</v>
      </c>
      <c r="J327" s="27" t="s">
        <v>7</v>
      </c>
    </row>
    <row r="328" spans="1:10" ht="32.4" x14ac:dyDescent="0.3">
      <c r="A328" s="2" t="s">
        <v>52</v>
      </c>
      <c r="B328" s="26" t="s">
        <v>903</v>
      </c>
      <c r="C328" s="26" t="s">
        <v>913</v>
      </c>
      <c r="D328" s="28" t="s">
        <v>208</v>
      </c>
      <c r="E328" s="28" t="s">
        <v>914</v>
      </c>
      <c r="F328" s="32">
        <v>3060</v>
      </c>
      <c r="G328" s="44" t="s">
        <v>915</v>
      </c>
      <c r="H328" s="44"/>
      <c r="I328" s="27" t="s">
        <v>499</v>
      </c>
      <c r="J328" s="27" t="s">
        <v>7</v>
      </c>
    </row>
    <row r="329" spans="1:10" ht="32.4" x14ac:dyDescent="0.3">
      <c r="A329" s="2" t="s">
        <v>52</v>
      </c>
      <c r="B329" s="26" t="s">
        <v>903</v>
      </c>
      <c r="C329" s="26" t="s">
        <v>913</v>
      </c>
      <c r="D329" s="28" t="s">
        <v>208</v>
      </c>
      <c r="E329" s="28" t="s">
        <v>916</v>
      </c>
      <c r="F329" s="32">
        <v>2980</v>
      </c>
      <c r="G329" s="44" t="s">
        <v>917</v>
      </c>
      <c r="H329" s="44"/>
      <c r="I329" s="27" t="s">
        <v>150</v>
      </c>
      <c r="J329" s="27" t="s">
        <v>7</v>
      </c>
    </row>
    <row r="330" spans="1:10" x14ac:dyDescent="0.3">
      <c r="A330" s="2" t="s">
        <v>44</v>
      </c>
      <c r="B330" s="26" t="s">
        <v>918</v>
      </c>
      <c r="C330" s="26" t="s">
        <v>46</v>
      </c>
      <c r="D330" s="28" t="s">
        <v>7</v>
      </c>
      <c r="E330" s="28" t="s">
        <v>919</v>
      </c>
      <c r="F330" s="32">
        <v>5999</v>
      </c>
      <c r="G330" s="44" t="s">
        <v>920</v>
      </c>
      <c r="H330" s="44"/>
      <c r="I330" s="27" t="s">
        <v>248</v>
      </c>
      <c r="J330" s="27" t="s">
        <v>7</v>
      </c>
    </row>
    <row r="331" spans="1:10" x14ac:dyDescent="0.3">
      <c r="A331" s="2" t="s">
        <v>52</v>
      </c>
      <c r="B331" s="26" t="s">
        <v>921</v>
      </c>
      <c r="C331" s="26" t="s">
        <v>922</v>
      </c>
      <c r="D331" s="28" t="s">
        <v>124</v>
      </c>
      <c r="E331" s="28" t="s">
        <v>923</v>
      </c>
      <c r="F331" s="32">
        <v>36</v>
      </c>
      <c r="G331" s="44" t="s">
        <v>924</v>
      </c>
      <c r="H331" s="44"/>
      <c r="I331" s="27" t="s">
        <v>925</v>
      </c>
      <c r="J331" s="27" t="s">
        <v>7</v>
      </c>
    </row>
    <row r="332" spans="1:10" ht="32.4" x14ac:dyDescent="0.3">
      <c r="A332" s="2" t="s">
        <v>52</v>
      </c>
      <c r="B332" s="26" t="s">
        <v>921</v>
      </c>
      <c r="C332" s="26" t="s">
        <v>922</v>
      </c>
      <c r="D332" s="28" t="s">
        <v>245</v>
      </c>
      <c r="E332" s="28" t="s">
        <v>923</v>
      </c>
      <c r="F332" s="32">
        <v>14475</v>
      </c>
      <c r="G332" s="44" t="s">
        <v>924</v>
      </c>
      <c r="H332" s="44"/>
      <c r="I332" s="27" t="s">
        <v>925</v>
      </c>
      <c r="J332" s="27" t="s">
        <v>7</v>
      </c>
    </row>
    <row r="333" spans="1:10" ht="32.4" x14ac:dyDescent="0.3">
      <c r="A333" s="2" t="s">
        <v>52</v>
      </c>
      <c r="B333" s="26" t="s">
        <v>921</v>
      </c>
      <c r="C333" s="26" t="s">
        <v>922</v>
      </c>
      <c r="D333" s="28" t="s">
        <v>121</v>
      </c>
      <c r="E333" s="28" t="s">
        <v>923</v>
      </c>
      <c r="F333" s="32">
        <v>140</v>
      </c>
      <c r="G333" s="44" t="s">
        <v>924</v>
      </c>
      <c r="H333" s="44"/>
      <c r="I333" s="27" t="s">
        <v>925</v>
      </c>
      <c r="J333" s="27" t="s">
        <v>7</v>
      </c>
    </row>
    <row r="334" spans="1:10" ht="32.4" x14ac:dyDescent="0.3">
      <c r="A334" s="2" t="s">
        <v>52</v>
      </c>
      <c r="B334" s="26" t="s">
        <v>921</v>
      </c>
      <c r="C334" s="26" t="s">
        <v>922</v>
      </c>
      <c r="D334" s="28" t="s">
        <v>926</v>
      </c>
      <c r="E334" s="28" t="s">
        <v>923</v>
      </c>
      <c r="F334" s="32">
        <v>15140</v>
      </c>
      <c r="G334" s="44" t="s">
        <v>924</v>
      </c>
      <c r="H334" s="44"/>
      <c r="I334" s="27" t="s">
        <v>925</v>
      </c>
      <c r="J334" s="27" t="s">
        <v>7</v>
      </c>
    </row>
    <row r="335" spans="1:10" x14ac:dyDescent="0.3">
      <c r="A335" s="2" t="s">
        <v>52</v>
      </c>
      <c r="B335" s="26" t="s">
        <v>921</v>
      </c>
      <c r="C335" s="26" t="s">
        <v>927</v>
      </c>
      <c r="D335" s="28" t="s">
        <v>62</v>
      </c>
      <c r="E335" s="28" t="s">
        <v>928</v>
      </c>
      <c r="F335" s="32">
        <v>4919</v>
      </c>
      <c r="G335" s="44" t="s">
        <v>929</v>
      </c>
      <c r="H335" s="44"/>
      <c r="I335" s="27" t="s">
        <v>930</v>
      </c>
      <c r="J335" s="27" t="s">
        <v>7</v>
      </c>
    </row>
    <row r="336" spans="1:10" x14ac:dyDescent="0.3">
      <c r="A336" s="2" t="s">
        <v>44</v>
      </c>
      <c r="B336" s="26" t="s">
        <v>921</v>
      </c>
      <c r="C336" s="26" t="s">
        <v>330</v>
      </c>
      <c r="D336" s="28" t="s">
        <v>7</v>
      </c>
      <c r="E336" s="28" t="s">
        <v>931</v>
      </c>
      <c r="F336" s="32">
        <v>3936</v>
      </c>
      <c r="G336" s="44" t="s">
        <v>932</v>
      </c>
      <c r="H336" s="44"/>
      <c r="I336" s="27" t="s">
        <v>248</v>
      </c>
      <c r="J336" s="27" t="s">
        <v>7</v>
      </c>
    </row>
    <row r="337" spans="1:10" x14ac:dyDescent="0.3">
      <c r="A337" s="2" t="s">
        <v>44</v>
      </c>
      <c r="B337" s="26" t="s">
        <v>921</v>
      </c>
      <c r="C337" s="26" t="s">
        <v>330</v>
      </c>
      <c r="D337" s="28" t="s">
        <v>7</v>
      </c>
      <c r="E337" s="28" t="s">
        <v>933</v>
      </c>
      <c r="F337" s="32">
        <v>5040</v>
      </c>
      <c r="G337" s="44" t="s">
        <v>934</v>
      </c>
      <c r="H337" s="44"/>
      <c r="I337" s="27" t="s">
        <v>248</v>
      </c>
      <c r="J337" s="27" t="s">
        <v>7</v>
      </c>
    </row>
    <row r="338" spans="1:10" x14ac:dyDescent="0.3">
      <c r="A338" s="2" t="s">
        <v>44</v>
      </c>
      <c r="B338" s="26" t="s">
        <v>921</v>
      </c>
      <c r="C338" s="26" t="s">
        <v>46</v>
      </c>
      <c r="D338" s="28" t="s">
        <v>7</v>
      </c>
      <c r="E338" s="28" t="s">
        <v>935</v>
      </c>
      <c r="F338" s="32">
        <v>2964</v>
      </c>
      <c r="G338" s="44" t="s">
        <v>936</v>
      </c>
      <c r="H338" s="44"/>
      <c r="I338" s="27" t="s">
        <v>591</v>
      </c>
      <c r="J338" s="27" t="s">
        <v>7</v>
      </c>
    </row>
    <row r="339" spans="1:10" x14ac:dyDescent="0.3">
      <c r="A339" s="2" t="s">
        <v>44</v>
      </c>
      <c r="B339" s="26" t="s">
        <v>921</v>
      </c>
      <c r="C339" s="26" t="s">
        <v>46</v>
      </c>
      <c r="D339" s="28" t="s">
        <v>7</v>
      </c>
      <c r="E339" s="28" t="s">
        <v>937</v>
      </c>
      <c r="F339" s="32">
        <v>524</v>
      </c>
      <c r="G339" s="44" t="s">
        <v>938</v>
      </c>
      <c r="H339" s="44"/>
      <c r="I339" s="27" t="s">
        <v>591</v>
      </c>
      <c r="J339" s="27" t="s">
        <v>7</v>
      </c>
    </row>
    <row r="340" spans="1:10" ht="32.4" x14ac:dyDescent="0.3">
      <c r="A340" s="2" t="s">
        <v>52</v>
      </c>
      <c r="B340" s="26" t="s">
        <v>939</v>
      </c>
      <c r="C340" s="26" t="s">
        <v>940</v>
      </c>
      <c r="D340" s="28" t="s">
        <v>245</v>
      </c>
      <c r="E340" s="28" t="s">
        <v>941</v>
      </c>
      <c r="F340" s="32">
        <v>85900</v>
      </c>
      <c r="G340" s="44" t="s">
        <v>942</v>
      </c>
      <c r="H340" s="44"/>
      <c r="I340" s="27" t="s">
        <v>118</v>
      </c>
      <c r="J340" s="27" t="s">
        <v>7</v>
      </c>
    </row>
    <row r="341" spans="1:10" ht="32.4" x14ac:dyDescent="0.3">
      <c r="A341" s="2" t="s">
        <v>52</v>
      </c>
      <c r="B341" s="26" t="s">
        <v>939</v>
      </c>
      <c r="C341" s="26" t="s">
        <v>943</v>
      </c>
      <c r="D341" s="28" t="s">
        <v>81</v>
      </c>
      <c r="E341" s="28" t="s">
        <v>944</v>
      </c>
      <c r="F341" s="32">
        <v>3181</v>
      </c>
      <c r="G341" s="44" t="s">
        <v>93</v>
      </c>
      <c r="H341" s="44"/>
      <c r="I341" s="27" t="s">
        <v>94</v>
      </c>
      <c r="J341" s="27" t="s">
        <v>7</v>
      </c>
    </row>
    <row r="342" spans="1:10" ht="32.4" x14ac:dyDescent="0.3">
      <c r="A342" s="2" t="s">
        <v>52</v>
      </c>
      <c r="B342" s="26" t="s">
        <v>939</v>
      </c>
      <c r="C342" s="26" t="s">
        <v>945</v>
      </c>
      <c r="D342" s="28" t="s">
        <v>81</v>
      </c>
      <c r="E342" s="28" t="s">
        <v>946</v>
      </c>
      <c r="F342" s="32">
        <v>4126</v>
      </c>
      <c r="G342" s="44" t="s">
        <v>947</v>
      </c>
      <c r="H342" s="44"/>
      <c r="I342" s="27" t="s">
        <v>163</v>
      </c>
      <c r="J342" s="27" t="s">
        <v>7</v>
      </c>
    </row>
    <row r="343" spans="1:10" ht="32.4" x14ac:dyDescent="0.3">
      <c r="A343" s="2" t="s">
        <v>52</v>
      </c>
      <c r="B343" s="26" t="s">
        <v>939</v>
      </c>
      <c r="C343" s="26" t="s">
        <v>948</v>
      </c>
      <c r="D343" s="28" t="s">
        <v>81</v>
      </c>
      <c r="E343" s="28" t="s">
        <v>949</v>
      </c>
      <c r="F343" s="32">
        <v>16976</v>
      </c>
      <c r="G343" s="44" t="s">
        <v>950</v>
      </c>
      <c r="H343" s="44"/>
      <c r="I343" s="27" t="s">
        <v>163</v>
      </c>
      <c r="J343" s="27" t="s">
        <v>7</v>
      </c>
    </row>
    <row r="344" spans="1:10" ht="32.4" x14ac:dyDescent="0.3">
      <c r="A344" s="2" t="s">
        <v>52</v>
      </c>
      <c r="B344" s="26" t="s">
        <v>939</v>
      </c>
      <c r="C344" s="26" t="s">
        <v>951</v>
      </c>
      <c r="D344" s="28" t="s">
        <v>81</v>
      </c>
      <c r="E344" s="28" t="s">
        <v>952</v>
      </c>
      <c r="F344" s="32">
        <v>5385</v>
      </c>
      <c r="G344" s="44" t="s">
        <v>953</v>
      </c>
      <c r="H344" s="44"/>
      <c r="I344" s="27" t="s">
        <v>84</v>
      </c>
      <c r="J344" s="27" t="s">
        <v>7</v>
      </c>
    </row>
    <row r="345" spans="1:10" ht="32.4" x14ac:dyDescent="0.3">
      <c r="A345" s="2" t="s">
        <v>52</v>
      </c>
      <c r="B345" s="26" t="s">
        <v>939</v>
      </c>
      <c r="C345" s="26" t="s">
        <v>954</v>
      </c>
      <c r="D345" s="28" t="s">
        <v>81</v>
      </c>
      <c r="E345" s="28" t="s">
        <v>955</v>
      </c>
      <c r="F345" s="32">
        <v>3729</v>
      </c>
      <c r="G345" s="44" t="s">
        <v>956</v>
      </c>
      <c r="H345" s="44"/>
      <c r="I345" s="27" t="s">
        <v>84</v>
      </c>
      <c r="J345" s="27" t="s">
        <v>7</v>
      </c>
    </row>
    <row r="346" spans="1:10" ht="32.4" x14ac:dyDescent="0.3">
      <c r="A346" s="2" t="s">
        <v>52</v>
      </c>
      <c r="B346" s="26" t="s">
        <v>939</v>
      </c>
      <c r="C346" s="26" t="s">
        <v>957</v>
      </c>
      <c r="D346" s="28" t="s">
        <v>81</v>
      </c>
      <c r="E346" s="28" t="s">
        <v>958</v>
      </c>
      <c r="F346" s="32">
        <v>4130</v>
      </c>
      <c r="G346" s="44" t="s">
        <v>959</v>
      </c>
      <c r="H346" s="44"/>
      <c r="I346" s="27" t="s">
        <v>84</v>
      </c>
      <c r="J346" s="27" t="s">
        <v>7</v>
      </c>
    </row>
    <row r="347" spans="1:10" ht="32.4" x14ac:dyDescent="0.3">
      <c r="A347" s="2" t="s">
        <v>52</v>
      </c>
      <c r="B347" s="26" t="s">
        <v>939</v>
      </c>
      <c r="C347" s="26" t="s">
        <v>960</v>
      </c>
      <c r="D347" s="28" t="s">
        <v>81</v>
      </c>
      <c r="E347" s="28" t="s">
        <v>961</v>
      </c>
      <c r="F347" s="32">
        <v>10033</v>
      </c>
      <c r="G347" s="44" t="s">
        <v>962</v>
      </c>
      <c r="H347" s="44"/>
      <c r="I347" s="27" t="s">
        <v>84</v>
      </c>
      <c r="J347" s="27" t="s">
        <v>7</v>
      </c>
    </row>
    <row r="348" spans="1:10" ht="32.4" x14ac:dyDescent="0.3">
      <c r="A348" s="2" t="s">
        <v>52</v>
      </c>
      <c r="B348" s="26" t="s">
        <v>939</v>
      </c>
      <c r="C348" s="26" t="s">
        <v>963</v>
      </c>
      <c r="D348" s="28" t="s">
        <v>81</v>
      </c>
      <c r="E348" s="28" t="s">
        <v>964</v>
      </c>
      <c r="F348" s="32">
        <v>22235</v>
      </c>
      <c r="G348" s="44" t="s">
        <v>965</v>
      </c>
      <c r="H348" s="44"/>
      <c r="I348" s="27" t="s">
        <v>133</v>
      </c>
      <c r="J348" s="27" t="s">
        <v>7</v>
      </c>
    </row>
    <row r="349" spans="1:10" ht="32.4" x14ac:dyDescent="0.3">
      <c r="A349" s="2" t="s">
        <v>52</v>
      </c>
      <c r="B349" s="26" t="s">
        <v>939</v>
      </c>
      <c r="C349" s="26" t="s">
        <v>966</v>
      </c>
      <c r="D349" s="28" t="s">
        <v>81</v>
      </c>
      <c r="E349" s="28" t="s">
        <v>967</v>
      </c>
      <c r="F349" s="32">
        <v>28416</v>
      </c>
      <c r="G349" s="44" t="s">
        <v>968</v>
      </c>
      <c r="H349" s="44"/>
      <c r="I349" s="27" t="s">
        <v>183</v>
      </c>
      <c r="J349" s="27" t="s">
        <v>7</v>
      </c>
    </row>
    <row r="350" spans="1:10" ht="32.4" x14ac:dyDescent="0.3">
      <c r="A350" s="2" t="s">
        <v>52</v>
      </c>
      <c r="B350" s="26" t="s">
        <v>939</v>
      </c>
      <c r="C350" s="26" t="s">
        <v>969</v>
      </c>
      <c r="D350" s="28" t="s">
        <v>81</v>
      </c>
      <c r="E350" s="28" t="s">
        <v>970</v>
      </c>
      <c r="F350" s="32">
        <v>59519</v>
      </c>
      <c r="G350" s="44" t="s">
        <v>971</v>
      </c>
      <c r="H350" s="44"/>
      <c r="I350" s="27" t="s">
        <v>183</v>
      </c>
      <c r="J350" s="27" t="s">
        <v>7</v>
      </c>
    </row>
    <row r="351" spans="1:10" x14ac:dyDescent="0.3">
      <c r="A351" s="2" t="s">
        <v>44</v>
      </c>
      <c r="B351" s="26" t="s">
        <v>939</v>
      </c>
      <c r="C351" s="26" t="s">
        <v>46</v>
      </c>
      <c r="D351" s="28" t="s">
        <v>7</v>
      </c>
      <c r="E351" s="28" t="s">
        <v>972</v>
      </c>
      <c r="F351" s="32">
        <v>20000</v>
      </c>
      <c r="G351" s="44" t="s">
        <v>973</v>
      </c>
      <c r="H351" s="44"/>
      <c r="I351" s="27" t="s">
        <v>118</v>
      </c>
      <c r="J351" s="27" t="s">
        <v>7</v>
      </c>
    </row>
    <row r="352" spans="1:10" x14ac:dyDescent="0.3">
      <c r="A352" s="2" t="s">
        <v>44</v>
      </c>
      <c r="B352" s="26" t="s">
        <v>939</v>
      </c>
      <c r="C352" s="26" t="s">
        <v>46</v>
      </c>
      <c r="D352" s="28" t="s">
        <v>7</v>
      </c>
      <c r="E352" s="28" t="s">
        <v>974</v>
      </c>
      <c r="F352" s="32">
        <v>3000</v>
      </c>
      <c r="G352" s="44" t="s">
        <v>975</v>
      </c>
      <c r="H352" s="44"/>
      <c r="I352" s="27" t="s">
        <v>976</v>
      </c>
      <c r="J352" s="27" t="s">
        <v>7</v>
      </c>
    </row>
    <row r="353" spans="1:10" ht="32.4" x14ac:dyDescent="0.3">
      <c r="A353" s="2" t="s">
        <v>52</v>
      </c>
      <c r="B353" s="26" t="s">
        <v>977</v>
      </c>
      <c r="C353" s="26" t="s">
        <v>978</v>
      </c>
      <c r="D353" s="28" t="s">
        <v>55</v>
      </c>
      <c r="E353" s="28" t="s">
        <v>979</v>
      </c>
      <c r="F353" s="32">
        <v>760</v>
      </c>
      <c r="G353" s="44" t="s">
        <v>980</v>
      </c>
      <c r="H353" s="44"/>
      <c r="I353" s="27" t="s">
        <v>235</v>
      </c>
      <c r="J353" s="27" t="s">
        <v>7</v>
      </c>
    </row>
    <row r="354" spans="1:10" x14ac:dyDescent="0.3">
      <c r="A354" s="2" t="s">
        <v>44</v>
      </c>
      <c r="B354" s="26" t="s">
        <v>977</v>
      </c>
      <c r="C354" s="26" t="s">
        <v>46</v>
      </c>
      <c r="D354" s="28" t="s">
        <v>7</v>
      </c>
      <c r="E354" s="28" t="s">
        <v>981</v>
      </c>
      <c r="F354" s="32">
        <v>16010</v>
      </c>
      <c r="G354" s="44" t="s">
        <v>982</v>
      </c>
      <c r="H354" s="44"/>
      <c r="I354" s="27" t="s">
        <v>983</v>
      </c>
      <c r="J354" s="27" t="s">
        <v>7</v>
      </c>
    </row>
    <row r="355" spans="1:10" x14ac:dyDescent="0.3">
      <c r="A355" s="2" t="s">
        <v>44</v>
      </c>
      <c r="B355" s="26" t="s">
        <v>977</v>
      </c>
      <c r="C355" s="26" t="s">
        <v>46</v>
      </c>
      <c r="D355" s="28" t="s">
        <v>7</v>
      </c>
      <c r="E355" s="28" t="s">
        <v>984</v>
      </c>
      <c r="F355" s="32">
        <v>16010</v>
      </c>
      <c r="G355" s="44" t="s">
        <v>985</v>
      </c>
      <c r="H355" s="44"/>
      <c r="I355" s="27" t="s">
        <v>983</v>
      </c>
      <c r="J355" s="27" t="s">
        <v>7</v>
      </c>
    </row>
    <row r="356" spans="1:10" x14ac:dyDescent="0.3">
      <c r="A356" s="2" t="s">
        <v>44</v>
      </c>
      <c r="B356" s="26" t="s">
        <v>977</v>
      </c>
      <c r="C356" s="26" t="s">
        <v>46</v>
      </c>
      <c r="D356" s="28" t="s">
        <v>7</v>
      </c>
      <c r="E356" s="28" t="s">
        <v>986</v>
      </c>
      <c r="F356" s="32">
        <v>4000</v>
      </c>
      <c r="G356" s="44" t="s">
        <v>987</v>
      </c>
      <c r="H356" s="44"/>
      <c r="I356" s="27" t="s">
        <v>988</v>
      </c>
      <c r="J356" s="27" t="s">
        <v>7</v>
      </c>
    </row>
    <row r="357" spans="1:10" x14ac:dyDescent="0.3">
      <c r="A357" s="2" t="s">
        <v>52</v>
      </c>
      <c r="B357" s="26" t="s">
        <v>989</v>
      </c>
      <c r="C357" s="26" t="s">
        <v>990</v>
      </c>
      <c r="D357" s="28" t="s">
        <v>115</v>
      </c>
      <c r="E357" s="28" t="s">
        <v>991</v>
      </c>
      <c r="F357" s="32">
        <v>3500</v>
      </c>
      <c r="G357" s="44" t="s">
        <v>992</v>
      </c>
      <c r="H357" s="44"/>
      <c r="I357" s="27" t="s">
        <v>70</v>
      </c>
      <c r="J357" s="27" t="s">
        <v>7</v>
      </c>
    </row>
    <row r="358" spans="1:10" ht="32.4" x14ac:dyDescent="0.3">
      <c r="A358" s="2" t="s">
        <v>52</v>
      </c>
      <c r="B358" s="26" t="s">
        <v>989</v>
      </c>
      <c r="C358" s="26" t="s">
        <v>990</v>
      </c>
      <c r="D358" s="28" t="s">
        <v>141</v>
      </c>
      <c r="E358" s="28" t="s">
        <v>993</v>
      </c>
      <c r="F358" s="32">
        <v>349</v>
      </c>
      <c r="G358" s="44" t="s">
        <v>994</v>
      </c>
      <c r="H358" s="44"/>
      <c r="I358" s="27" t="s">
        <v>84</v>
      </c>
      <c r="J358" s="27" t="s">
        <v>7</v>
      </c>
    </row>
    <row r="359" spans="1:10" ht="32.4" x14ac:dyDescent="0.3">
      <c r="A359" s="2" t="s">
        <v>52</v>
      </c>
      <c r="B359" s="26" t="s">
        <v>989</v>
      </c>
      <c r="C359" s="26" t="s">
        <v>990</v>
      </c>
      <c r="D359" s="28" t="s">
        <v>216</v>
      </c>
      <c r="E359" s="28" t="s">
        <v>995</v>
      </c>
      <c r="F359" s="32">
        <v>3335</v>
      </c>
      <c r="G359" s="44" t="s">
        <v>996</v>
      </c>
      <c r="H359" s="44"/>
      <c r="I359" s="27" t="s">
        <v>84</v>
      </c>
      <c r="J359" s="27" t="s">
        <v>7</v>
      </c>
    </row>
    <row r="360" spans="1:10" ht="32.4" x14ac:dyDescent="0.3">
      <c r="A360" s="2" t="s">
        <v>52</v>
      </c>
      <c r="B360" s="26" t="s">
        <v>989</v>
      </c>
      <c r="C360" s="26" t="s">
        <v>990</v>
      </c>
      <c r="D360" s="28" t="s">
        <v>141</v>
      </c>
      <c r="E360" s="28" t="s">
        <v>997</v>
      </c>
      <c r="F360" s="32">
        <v>3250</v>
      </c>
      <c r="G360" s="44" t="s">
        <v>998</v>
      </c>
      <c r="H360" s="44"/>
      <c r="I360" s="27" t="s">
        <v>84</v>
      </c>
      <c r="J360" s="27" t="s">
        <v>7</v>
      </c>
    </row>
    <row r="361" spans="1:10" ht="32.4" x14ac:dyDescent="0.3">
      <c r="A361" s="2" t="s">
        <v>52</v>
      </c>
      <c r="B361" s="26" t="s">
        <v>989</v>
      </c>
      <c r="C361" s="26" t="s">
        <v>990</v>
      </c>
      <c r="D361" s="28" t="s">
        <v>141</v>
      </c>
      <c r="E361" s="28" t="s">
        <v>999</v>
      </c>
      <c r="F361" s="32">
        <v>3600</v>
      </c>
      <c r="G361" s="44" t="s">
        <v>1000</v>
      </c>
      <c r="H361" s="44"/>
      <c r="I361" s="27" t="s">
        <v>84</v>
      </c>
      <c r="J361" s="27" t="s">
        <v>7</v>
      </c>
    </row>
    <row r="362" spans="1:10" ht="32.4" x14ac:dyDescent="0.3">
      <c r="A362" s="2" t="s">
        <v>52</v>
      </c>
      <c r="B362" s="26" t="s">
        <v>989</v>
      </c>
      <c r="C362" s="26" t="s">
        <v>990</v>
      </c>
      <c r="D362" s="28" t="s">
        <v>141</v>
      </c>
      <c r="E362" s="28" t="s">
        <v>1001</v>
      </c>
      <c r="F362" s="32">
        <v>2950</v>
      </c>
      <c r="G362" s="44" t="s">
        <v>1002</v>
      </c>
      <c r="H362" s="44"/>
      <c r="I362" s="27" t="s">
        <v>84</v>
      </c>
      <c r="J362" s="27" t="s">
        <v>7</v>
      </c>
    </row>
    <row r="363" spans="1:10" x14ac:dyDescent="0.3">
      <c r="A363" s="2" t="s">
        <v>52</v>
      </c>
      <c r="B363" s="26" t="s">
        <v>989</v>
      </c>
      <c r="C363" s="26" t="s">
        <v>990</v>
      </c>
      <c r="D363" s="28" t="s">
        <v>124</v>
      </c>
      <c r="E363" s="28" t="s">
        <v>1003</v>
      </c>
      <c r="F363" s="32">
        <v>450</v>
      </c>
      <c r="G363" s="44" t="s">
        <v>1004</v>
      </c>
      <c r="H363" s="44"/>
      <c r="I363" s="27" t="s">
        <v>127</v>
      </c>
      <c r="J363" s="27" t="s">
        <v>7</v>
      </c>
    </row>
    <row r="364" spans="1:10" x14ac:dyDescent="0.3">
      <c r="A364" s="2" t="s">
        <v>52</v>
      </c>
      <c r="B364" s="26" t="s">
        <v>989</v>
      </c>
      <c r="C364" s="26" t="s">
        <v>990</v>
      </c>
      <c r="D364" s="28" t="s">
        <v>115</v>
      </c>
      <c r="E364" s="28" t="s">
        <v>1005</v>
      </c>
      <c r="F364" s="32">
        <v>10000</v>
      </c>
      <c r="G364" s="44" t="s">
        <v>1006</v>
      </c>
      <c r="H364" s="44"/>
      <c r="I364" s="27" t="s">
        <v>647</v>
      </c>
      <c r="J364" s="27" t="s">
        <v>7</v>
      </c>
    </row>
    <row r="365" spans="1:10" ht="32.4" x14ac:dyDescent="0.3">
      <c r="A365" s="2" t="s">
        <v>52</v>
      </c>
      <c r="B365" s="26" t="s">
        <v>989</v>
      </c>
      <c r="C365" s="26" t="s">
        <v>990</v>
      </c>
      <c r="D365" s="28" t="s">
        <v>245</v>
      </c>
      <c r="E365" s="28" t="s">
        <v>1007</v>
      </c>
      <c r="F365" s="32">
        <v>2000</v>
      </c>
      <c r="G365" s="44" t="s">
        <v>1008</v>
      </c>
      <c r="H365" s="44"/>
      <c r="I365" s="27" t="s">
        <v>1009</v>
      </c>
      <c r="J365" s="27" t="s">
        <v>7</v>
      </c>
    </row>
    <row r="366" spans="1:10" x14ac:dyDescent="0.3">
      <c r="A366" s="2" t="s">
        <v>52</v>
      </c>
      <c r="B366" s="26" t="s">
        <v>989</v>
      </c>
      <c r="C366" s="26" t="s">
        <v>990</v>
      </c>
      <c r="D366" s="28" t="s">
        <v>115</v>
      </c>
      <c r="E366" s="28" t="s">
        <v>1010</v>
      </c>
      <c r="F366" s="32">
        <v>5720</v>
      </c>
      <c r="G366" s="44" t="s">
        <v>1011</v>
      </c>
      <c r="H366" s="44"/>
      <c r="I366" s="27" t="s">
        <v>1012</v>
      </c>
      <c r="J366" s="27" t="s">
        <v>7</v>
      </c>
    </row>
    <row r="367" spans="1:10" x14ac:dyDescent="0.3">
      <c r="A367" s="2" t="s">
        <v>52</v>
      </c>
      <c r="B367" s="26" t="s">
        <v>989</v>
      </c>
      <c r="C367" s="26" t="s">
        <v>990</v>
      </c>
      <c r="D367" s="28" t="s">
        <v>115</v>
      </c>
      <c r="E367" s="28" t="s">
        <v>1013</v>
      </c>
      <c r="F367" s="32">
        <v>1524</v>
      </c>
      <c r="G367" s="44" t="s">
        <v>1014</v>
      </c>
      <c r="H367" s="44"/>
      <c r="I367" s="27" t="s">
        <v>1012</v>
      </c>
      <c r="J367" s="27" t="s">
        <v>7</v>
      </c>
    </row>
    <row r="368" spans="1:10" x14ac:dyDescent="0.3">
      <c r="A368" s="2" t="s">
        <v>52</v>
      </c>
      <c r="B368" s="26" t="s">
        <v>989</v>
      </c>
      <c r="C368" s="26" t="s">
        <v>990</v>
      </c>
      <c r="D368" s="28" t="s">
        <v>115</v>
      </c>
      <c r="E368" s="28" t="s">
        <v>1015</v>
      </c>
      <c r="F368" s="32">
        <v>3316</v>
      </c>
      <c r="G368" s="44" t="s">
        <v>1016</v>
      </c>
      <c r="H368" s="44"/>
      <c r="I368" s="27" t="s">
        <v>1012</v>
      </c>
      <c r="J368" s="27" t="s">
        <v>7</v>
      </c>
    </row>
    <row r="369" spans="1:10" ht="32.4" x14ac:dyDescent="0.3">
      <c r="A369" s="2" t="s">
        <v>52</v>
      </c>
      <c r="B369" s="26" t="s">
        <v>989</v>
      </c>
      <c r="C369" s="26" t="s">
        <v>1017</v>
      </c>
      <c r="D369" s="28" t="s">
        <v>62</v>
      </c>
      <c r="E369" s="28" t="s">
        <v>1018</v>
      </c>
      <c r="F369" s="32">
        <v>6000</v>
      </c>
      <c r="G369" s="44" t="s">
        <v>1019</v>
      </c>
      <c r="H369" s="44"/>
      <c r="I369" s="27" t="s">
        <v>235</v>
      </c>
      <c r="J369" s="27" t="s">
        <v>7</v>
      </c>
    </row>
    <row r="370" spans="1:10" ht="32.4" x14ac:dyDescent="0.3">
      <c r="A370" s="2" t="s">
        <v>52</v>
      </c>
      <c r="B370" s="26" t="s">
        <v>989</v>
      </c>
      <c r="C370" s="26" t="s">
        <v>1020</v>
      </c>
      <c r="D370" s="28" t="s">
        <v>245</v>
      </c>
      <c r="E370" s="28" t="s">
        <v>1021</v>
      </c>
      <c r="F370" s="32">
        <v>16000</v>
      </c>
      <c r="G370" s="44" t="s">
        <v>1022</v>
      </c>
      <c r="H370" s="44"/>
      <c r="I370" s="27" t="s">
        <v>1023</v>
      </c>
      <c r="J370" s="27" t="s">
        <v>7</v>
      </c>
    </row>
    <row r="371" spans="1:10" ht="32.4" x14ac:dyDescent="0.3">
      <c r="A371" s="2" t="s">
        <v>52</v>
      </c>
      <c r="B371" s="26" t="s">
        <v>989</v>
      </c>
      <c r="C371" s="26" t="s">
        <v>1024</v>
      </c>
      <c r="D371" s="28" t="s">
        <v>115</v>
      </c>
      <c r="E371" s="28" t="s">
        <v>1025</v>
      </c>
      <c r="F371" s="32">
        <v>58000</v>
      </c>
      <c r="G371" s="44" t="s">
        <v>1026</v>
      </c>
      <c r="H371" s="44"/>
      <c r="I371" s="27" t="s">
        <v>98</v>
      </c>
      <c r="J371" s="27" t="s">
        <v>7</v>
      </c>
    </row>
    <row r="372" spans="1:10" ht="32.4" x14ac:dyDescent="0.3">
      <c r="A372" s="2" t="s">
        <v>52</v>
      </c>
      <c r="B372" s="26" t="s">
        <v>989</v>
      </c>
      <c r="C372" s="26" t="s">
        <v>1027</v>
      </c>
      <c r="D372" s="28" t="s">
        <v>245</v>
      </c>
      <c r="E372" s="28" t="s">
        <v>1028</v>
      </c>
      <c r="F372" s="32">
        <v>11500</v>
      </c>
      <c r="G372" s="44" t="s">
        <v>1029</v>
      </c>
      <c r="H372" s="44"/>
      <c r="I372" s="27" t="s">
        <v>1009</v>
      </c>
      <c r="J372" s="27" t="s">
        <v>7</v>
      </c>
    </row>
    <row r="373" spans="1:10" ht="32.4" x14ac:dyDescent="0.3">
      <c r="A373" s="2" t="s">
        <v>52</v>
      </c>
      <c r="B373" s="26" t="s">
        <v>989</v>
      </c>
      <c r="C373" s="26" t="s">
        <v>1030</v>
      </c>
      <c r="D373" s="28" t="s">
        <v>245</v>
      </c>
      <c r="E373" s="28" t="s">
        <v>1031</v>
      </c>
      <c r="F373" s="32">
        <v>10600</v>
      </c>
      <c r="G373" s="44" t="s">
        <v>1032</v>
      </c>
      <c r="H373" s="44"/>
      <c r="I373" s="27" t="s">
        <v>1009</v>
      </c>
      <c r="J373" s="27" t="s">
        <v>7</v>
      </c>
    </row>
    <row r="374" spans="1:10" ht="32.4" x14ac:dyDescent="0.3">
      <c r="A374" s="2" t="s">
        <v>52</v>
      </c>
      <c r="B374" s="26" t="s">
        <v>989</v>
      </c>
      <c r="C374" s="26" t="s">
        <v>1033</v>
      </c>
      <c r="D374" s="28" t="s">
        <v>245</v>
      </c>
      <c r="E374" s="28" t="s">
        <v>1034</v>
      </c>
      <c r="F374" s="32">
        <v>17500</v>
      </c>
      <c r="G374" s="44" t="s">
        <v>1035</v>
      </c>
      <c r="H374" s="44"/>
      <c r="I374" s="27" t="s">
        <v>1009</v>
      </c>
      <c r="J374" s="27" t="s">
        <v>7</v>
      </c>
    </row>
    <row r="375" spans="1:10" ht="32.4" x14ac:dyDescent="0.3">
      <c r="A375" s="2" t="s">
        <v>52</v>
      </c>
      <c r="B375" s="26" t="s">
        <v>989</v>
      </c>
      <c r="C375" s="26" t="s">
        <v>1036</v>
      </c>
      <c r="D375" s="28" t="s">
        <v>115</v>
      </c>
      <c r="E375" s="28" t="s">
        <v>1037</v>
      </c>
      <c r="F375" s="32">
        <v>13930</v>
      </c>
      <c r="G375" s="44" t="s">
        <v>1038</v>
      </c>
      <c r="H375" s="44"/>
      <c r="I375" s="27" t="s">
        <v>98</v>
      </c>
      <c r="J375" s="27" t="s">
        <v>7</v>
      </c>
    </row>
    <row r="376" spans="1:10" ht="32.4" x14ac:dyDescent="0.3">
      <c r="A376" s="2" t="s">
        <v>52</v>
      </c>
      <c r="B376" s="26" t="s">
        <v>989</v>
      </c>
      <c r="C376" s="26" t="s">
        <v>1039</v>
      </c>
      <c r="D376" s="28" t="s">
        <v>141</v>
      </c>
      <c r="E376" s="28" t="s">
        <v>1040</v>
      </c>
      <c r="F376" s="32">
        <v>19980</v>
      </c>
      <c r="G376" s="44" t="s">
        <v>1041</v>
      </c>
      <c r="H376" s="44"/>
      <c r="I376" s="27" t="s">
        <v>1042</v>
      </c>
      <c r="J376" s="27" t="s">
        <v>7</v>
      </c>
    </row>
    <row r="377" spans="1:10" x14ac:dyDescent="0.3">
      <c r="A377" s="2" t="s">
        <v>52</v>
      </c>
      <c r="B377" s="26" t="s">
        <v>989</v>
      </c>
      <c r="C377" s="26" t="s">
        <v>1043</v>
      </c>
      <c r="D377" s="28" t="s">
        <v>115</v>
      </c>
      <c r="E377" s="28" t="s">
        <v>1044</v>
      </c>
      <c r="F377" s="32">
        <v>28300</v>
      </c>
      <c r="G377" s="44" t="s">
        <v>1045</v>
      </c>
      <c r="H377" s="44"/>
      <c r="I377" s="27" t="s">
        <v>1046</v>
      </c>
      <c r="J377" s="27" t="s">
        <v>7</v>
      </c>
    </row>
    <row r="378" spans="1:10" ht="32.4" x14ac:dyDescent="0.3">
      <c r="A378" s="2" t="s">
        <v>44</v>
      </c>
      <c r="B378" s="26" t="s">
        <v>989</v>
      </c>
      <c r="C378" s="26" t="s">
        <v>330</v>
      </c>
      <c r="D378" s="28" t="s">
        <v>7</v>
      </c>
      <c r="E378" s="28" t="s">
        <v>1047</v>
      </c>
      <c r="F378" s="32">
        <v>3019</v>
      </c>
      <c r="G378" s="44" t="s">
        <v>1048</v>
      </c>
      <c r="H378" s="44"/>
      <c r="I378" s="27" t="s">
        <v>393</v>
      </c>
      <c r="J378" s="27" t="s">
        <v>7</v>
      </c>
    </row>
    <row r="379" spans="1:10" ht="32.4" x14ac:dyDescent="0.3">
      <c r="A379" s="2" t="s">
        <v>44</v>
      </c>
      <c r="B379" s="26" t="s">
        <v>989</v>
      </c>
      <c r="C379" s="26" t="s">
        <v>330</v>
      </c>
      <c r="D379" s="28" t="s">
        <v>7</v>
      </c>
      <c r="E379" s="28" t="s">
        <v>1049</v>
      </c>
      <c r="F379" s="32">
        <v>3016</v>
      </c>
      <c r="G379" s="44" t="s">
        <v>1050</v>
      </c>
      <c r="H379" s="44"/>
      <c r="I379" s="27" t="s">
        <v>393</v>
      </c>
      <c r="J379" s="27" t="s">
        <v>7</v>
      </c>
    </row>
    <row r="380" spans="1:10" ht="32.4" x14ac:dyDescent="0.3">
      <c r="A380" s="2" t="s">
        <v>52</v>
      </c>
      <c r="B380" s="26" t="s">
        <v>1051</v>
      </c>
      <c r="C380" s="26" t="s">
        <v>1052</v>
      </c>
      <c r="D380" s="28" t="s">
        <v>1053</v>
      </c>
      <c r="E380" s="28" t="s">
        <v>1054</v>
      </c>
      <c r="F380" s="32">
        <v>2400</v>
      </c>
      <c r="G380" s="44" t="s">
        <v>1055</v>
      </c>
      <c r="H380" s="44"/>
      <c r="I380" s="27" t="s">
        <v>150</v>
      </c>
      <c r="J380" s="27" t="s">
        <v>7</v>
      </c>
    </row>
    <row r="381" spans="1:10" ht="32.4" x14ac:dyDescent="0.3">
      <c r="A381" s="2" t="s">
        <v>52</v>
      </c>
      <c r="B381" s="26" t="s">
        <v>1051</v>
      </c>
      <c r="C381" s="26" t="s">
        <v>1052</v>
      </c>
      <c r="D381" s="28" t="s">
        <v>147</v>
      </c>
      <c r="E381" s="28" t="s">
        <v>1054</v>
      </c>
      <c r="F381" s="32">
        <v>1804</v>
      </c>
      <c r="G381" s="44" t="s">
        <v>1055</v>
      </c>
      <c r="H381" s="44"/>
      <c r="I381" s="27" t="s">
        <v>150</v>
      </c>
      <c r="J381" s="27" t="s">
        <v>7</v>
      </c>
    </row>
    <row r="382" spans="1:10" ht="32.4" x14ac:dyDescent="0.3">
      <c r="A382" s="2" t="s">
        <v>52</v>
      </c>
      <c r="B382" s="26" t="s">
        <v>1051</v>
      </c>
      <c r="C382" s="26" t="s">
        <v>1052</v>
      </c>
      <c r="D382" s="28" t="s">
        <v>232</v>
      </c>
      <c r="E382" s="28" t="s">
        <v>1056</v>
      </c>
      <c r="F382" s="32">
        <v>2000</v>
      </c>
      <c r="G382" s="44" t="s">
        <v>1057</v>
      </c>
      <c r="H382" s="44"/>
      <c r="I382" s="27" t="s">
        <v>58</v>
      </c>
      <c r="J382" s="27" t="s">
        <v>7</v>
      </c>
    </row>
    <row r="383" spans="1:10" ht="32.4" x14ac:dyDescent="0.3">
      <c r="A383" s="2" t="s">
        <v>52</v>
      </c>
      <c r="B383" s="26" t="s">
        <v>1051</v>
      </c>
      <c r="C383" s="26" t="s">
        <v>1052</v>
      </c>
      <c r="D383" s="28" t="s">
        <v>121</v>
      </c>
      <c r="E383" s="28" t="s">
        <v>1058</v>
      </c>
      <c r="F383" s="32">
        <v>2270</v>
      </c>
      <c r="G383" s="44" t="s">
        <v>1059</v>
      </c>
      <c r="H383" s="44"/>
      <c r="I383" s="27" t="s">
        <v>133</v>
      </c>
      <c r="J383" s="27" t="s">
        <v>7</v>
      </c>
    </row>
    <row r="384" spans="1:10" ht="32.4" x14ac:dyDescent="0.3">
      <c r="A384" s="2" t="s">
        <v>52</v>
      </c>
      <c r="B384" s="26" t="s">
        <v>1051</v>
      </c>
      <c r="C384" s="26" t="s">
        <v>1052</v>
      </c>
      <c r="D384" s="28" t="s">
        <v>216</v>
      </c>
      <c r="E384" s="28" t="s">
        <v>1060</v>
      </c>
      <c r="F384" s="32">
        <v>1262</v>
      </c>
      <c r="G384" s="44" t="s">
        <v>1061</v>
      </c>
      <c r="H384" s="44"/>
      <c r="I384" s="27" t="s">
        <v>133</v>
      </c>
      <c r="J384" s="27" t="s">
        <v>7</v>
      </c>
    </row>
    <row r="385" spans="1:10" ht="32.4" x14ac:dyDescent="0.3">
      <c r="A385" s="2" t="s">
        <v>52</v>
      </c>
      <c r="B385" s="26" t="s">
        <v>1051</v>
      </c>
      <c r="C385" s="26" t="s">
        <v>1062</v>
      </c>
      <c r="D385" s="28" t="s">
        <v>55</v>
      </c>
      <c r="E385" s="28" t="s">
        <v>1063</v>
      </c>
      <c r="F385" s="32">
        <v>2660</v>
      </c>
      <c r="G385" s="44" t="s">
        <v>1064</v>
      </c>
      <c r="H385" s="44"/>
      <c r="I385" s="27" t="s">
        <v>58</v>
      </c>
      <c r="J385" s="27" t="s">
        <v>7</v>
      </c>
    </row>
    <row r="386" spans="1:10" ht="32.4" x14ac:dyDescent="0.3">
      <c r="A386" s="2" t="s">
        <v>52</v>
      </c>
      <c r="B386" s="26" t="s">
        <v>1051</v>
      </c>
      <c r="C386" s="26" t="s">
        <v>1062</v>
      </c>
      <c r="D386" s="28" t="s">
        <v>208</v>
      </c>
      <c r="E386" s="28" t="s">
        <v>1065</v>
      </c>
      <c r="F386" s="32">
        <v>180</v>
      </c>
      <c r="G386" s="44" t="s">
        <v>1066</v>
      </c>
      <c r="H386" s="44"/>
      <c r="I386" s="27" t="s">
        <v>98</v>
      </c>
      <c r="J386" s="27" t="s">
        <v>7</v>
      </c>
    </row>
    <row r="387" spans="1:10" ht="32.4" x14ac:dyDescent="0.3">
      <c r="A387" s="2" t="s">
        <v>52</v>
      </c>
      <c r="B387" s="26" t="s">
        <v>1051</v>
      </c>
      <c r="C387" s="26" t="s">
        <v>1062</v>
      </c>
      <c r="D387" s="28" t="s">
        <v>208</v>
      </c>
      <c r="E387" s="28" t="s">
        <v>1067</v>
      </c>
      <c r="F387" s="32">
        <v>2980</v>
      </c>
      <c r="G387" s="44" t="s">
        <v>1068</v>
      </c>
      <c r="H387" s="44"/>
      <c r="I387" s="27" t="s">
        <v>98</v>
      </c>
      <c r="J387" s="27" t="s">
        <v>7</v>
      </c>
    </row>
    <row r="388" spans="1:10" ht="32.4" x14ac:dyDescent="0.3">
      <c r="A388" s="2" t="s">
        <v>52</v>
      </c>
      <c r="B388" s="26" t="s">
        <v>1051</v>
      </c>
      <c r="C388" s="26" t="s">
        <v>1069</v>
      </c>
      <c r="D388" s="28" t="s">
        <v>245</v>
      </c>
      <c r="E388" s="28" t="s">
        <v>1070</v>
      </c>
      <c r="F388" s="32">
        <v>23000</v>
      </c>
      <c r="G388" s="44" t="s">
        <v>1071</v>
      </c>
      <c r="H388" s="44"/>
      <c r="I388" s="27" t="s">
        <v>1072</v>
      </c>
      <c r="J388" s="27" t="s">
        <v>7</v>
      </c>
    </row>
    <row r="389" spans="1:10" ht="32.4" x14ac:dyDescent="0.3">
      <c r="A389" s="2" t="s">
        <v>52</v>
      </c>
      <c r="B389" s="26" t="s">
        <v>1051</v>
      </c>
      <c r="C389" s="26" t="s">
        <v>1073</v>
      </c>
      <c r="D389" s="28" t="s">
        <v>245</v>
      </c>
      <c r="E389" s="28" t="s">
        <v>1074</v>
      </c>
      <c r="F389" s="32">
        <v>994</v>
      </c>
      <c r="G389" s="44" t="s">
        <v>1075</v>
      </c>
      <c r="H389" s="44"/>
      <c r="I389" s="27" t="s">
        <v>799</v>
      </c>
      <c r="J389" s="27" t="s">
        <v>7</v>
      </c>
    </row>
    <row r="390" spans="1:10" ht="32.4" x14ac:dyDescent="0.3">
      <c r="A390" s="2" t="s">
        <v>52</v>
      </c>
      <c r="B390" s="26" t="s">
        <v>1051</v>
      </c>
      <c r="C390" s="26" t="s">
        <v>1073</v>
      </c>
      <c r="D390" s="28" t="s">
        <v>245</v>
      </c>
      <c r="E390" s="28" t="s">
        <v>1076</v>
      </c>
      <c r="F390" s="32">
        <v>999</v>
      </c>
      <c r="G390" s="44" t="s">
        <v>1077</v>
      </c>
      <c r="H390" s="44"/>
      <c r="I390" s="27" t="s">
        <v>799</v>
      </c>
      <c r="J390" s="27" t="s">
        <v>7</v>
      </c>
    </row>
    <row r="391" spans="1:10" ht="32.4" x14ac:dyDescent="0.3">
      <c r="A391" s="2" t="s">
        <v>52</v>
      </c>
      <c r="B391" s="26" t="s">
        <v>1051</v>
      </c>
      <c r="C391" s="26" t="s">
        <v>1073</v>
      </c>
      <c r="D391" s="28" t="s">
        <v>245</v>
      </c>
      <c r="E391" s="28" t="s">
        <v>1078</v>
      </c>
      <c r="F391" s="32">
        <v>545</v>
      </c>
      <c r="G391" s="44" t="s">
        <v>1079</v>
      </c>
      <c r="H391" s="44"/>
      <c r="I391" s="27" t="s">
        <v>799</v>
      </c>
      <c r="J391" s="27" t="s">
        <v>7</v>
      </c>
    </row>
    <row r="392" spans="1:10" ht="32.4" x14ac:dyDescent="0.3">
      <c r="A392" s="2" t="s">
        <v>52</v>
      </c>
      <c r="B392" s="26" t="s">
        <v>1051</v>
      </c>
      <c r="C392" s="26" t="s">
        <v>1073</v>
      </c>
      <c r="D392" s="28" t="s">
        <v>245</v>
      </c>
      <c r="E392" s="28" t="s">
        <v>1080</v>
      </c>
      <c r="F392" s="32">
        <v>800</v>
      </c>
      <c r="G392" s="44" t="s">
        <v>1081</v>
      </c>
      <c r="H392" s="44"/>
      <c r="I392" s="27" t="s">
        <v>799</v>
      </c>
      <c r="J392" s="27" t="s">
        <v>7</v>
      </c>
    </row>
    <row r="393" spans="1:10" ht="32.4" x14ac:dyDescent="0.3">
      <c r="A393" s="2" t="s">
        <v>52</v>
      </c>
      <c r="B393" s="26" t="s">
        <v>1051</v>
      </c>
      <c r="C393" s="26" t="s">
        <v>1073</v>
      </c>
      <c r="D393" s="28" t="s">
        <v>245</v>
      </c>
      <c r="E393" s="28" t="s">
        <v>1082</v>
      </c>
      <c r="F393" s="32">
        <v>1800</v>
      </c>
      <c r="G393" s="44" t="s">
        <v>1083</v>
      </c>
      <c r="H393" s="44"/>
      <c r="I393" s="27" t="s">
        <v>799</v>
      </c>
      <c r="J393" s="27" t="s">
        <v>7</v>
      </c>
    </row>
    <row r="394" spans="1:10" x14ac:dyDescent="0.3">
      <c r="A394" s="2" t="s">
        <v>52</v>
      </c>
      <c r="B394" s="26" t="s">
        <v>1051</v>
      </c>
      <c r="C394" s="26" t="s">
        <v>1073</v>
      </c>
      <c r="D394" s="28" t="s">
        <v>130</v>
      </c>
      <c r="E394" s="28" t="s">
        <v>1084</v>
      </c>
      <c r="F394" s="32">
        <v>1200</v>
      </c>
      <c r="G394" s="44" t="s">
        <v>1085</v>
      </c>
      <c r="H394" s="44"/>
      <c r="I394" s="27" t="s">
        <v>70</v>
      </c>
      <c r="J394" s="27" t="s">
        <v>7</v>
      </c>
    </row>
    <row r="395" spans="1:10" x14ac:dyDescent="0.3">
      <c r="A395" s="2" t="s">
        <v>52</v>
      </c>
      <c r="B395" s="26" t="s">
        <v>1051</v>
      </c>
      <c r="C395" s="26" t="s">
        <v>1073</v>
      </c>
      <c r="D395" s="28" t="s">
        <v>1086</v>
      </c>
      <c r="E395" s="28" t="s">
        <v>1087</v>
      </c>
      <c r="F395" s="32">
        <v>3000</v>
      </c>
      <c r="G395" s="44" t="s">
        <v>1088</v>
      </c>
      <c r="H395" s="44"/>
      <c r="I395" s="27" t="s">
        <v>79</v>
      </c>
      <c r="J395" s="27" t="s">
        <v>7</v>
      </c>
    </row>
    <row r="396" spans="1:10" ht="32.4" x14ac:dyDescent="0.3">
      <c r="A396" s="2" t="s">
        <v>52</v>
      </c>
      <c r="B396" s="26" t="s">
        <v>1051</v>
      </c>
      <c r="C396" s="26" t="s">
        <v>1073</v>
      </c>
      <c r="D396" s="28" t="s">
        <v>141</v>
      </c>
      <c r="E396" s="28" t="s">
        <v>1089</v>
      </c>
      <c r="F396" s="32">
        <v>5627</v>
      </c>
      <c r="G396" s="44" t="s">
        <v>309</v>
      </c>
      <c r="H396" s="44"/>
      <c r="I396" s="27" t="s">
        <v>168</v>
      </c>
      <c r="J396" s="27" t="s">
        <v>7</v>
      </c>
    </row>
    <row r="397" spans="1:10" ht="32.4" x14ac:dyDescent="0.3">
      <c r="A397" s="2" t="s">
        <v>52</v>
      </c>
      <c r="B397" s="26" t="s">
        <v>1051</v>
      </c>
      <c r="C397" s="26" t="s">
        <v>1073</v>
      </c>
      <c r="D397" s="28" t="s">
        <v>141</v>
      </c>
      <c r="E397" s="28" t="s">
        <v>1090</v>
      </c>
      <c r="F397" s="32">
        <v>1682</v>
      </c>
      <c r="G397" s="44" t="s">
        <v>1091</v>
      </c>
      <c r="H397" s="44"/>
      <c r="I397" s="27" t="s">
        <v>168</v>
      </c>
      <c r="J397" s="27" t="s">
        <v>7</v>
      </c>
    </row>
    <row r="398" spans="1:10" ht="32.4" x14ac:dyDescent="0.3">
      <c r="A398" s="2" t="s">
        <v>52</v>
      </c>
      <c r="B398" s="26" t="s">
        <v>1051</v>
      </c>
      <c r="C398" s="26" t="s">
        <v>1073</v>
      </c>
      <c r="D398" s="28" t="s">
        <v>216</v>
      </c>
      <c r="E398" s="28" t="s">
        <v>1092</v>
      </c>
      <c r="F398" s="32">
        <v>1903</v>
      </c>
      <c r="G398" s="44" t="s">
        <v>1093</v>
      </c>
      <c r="H398" s="44"/>
      <c r="I398" s="27" t="s">
        <v>74</v>
      </c>
      <c r="J398" s="27" t="s">
        <v>7</v>
      </c>
    </row>
    <row r="399" spans="1:10" ht="32.4" x14ac:dyDescent="0.3">
      <c r="A399" s="2" t="s">
        <v>52</v>
      </c>
      <c r="B399" s="26" t="s">
        <v>1051</v>
      </c>
      <c r="C399" s="26" t="s">
        <v>1073</v>
      </c>
      <c r="D399" s="28" t="s">
        <v>1094</v>
      </c>
      <c r="E399" s="28" t="s">
        <v>1095</v>
      </c>
      <c r="F399" s="32">
        <v>1000</v>
      </c>
      <c r="G399" s="44" t="s">
        <v>1096</v>
      </c>
      <c r="H399" s="44"/>
      <c r="I399" s="27" t="s">
        <v>74</v>
      </c>
      <c r="J399" s="27" t="s">
        <v>7</v>
      </c>
    </row>
    <row r="400" spans="1:10" ht="48.6" x14ac:dyDescent="0.3">
      <c r="A400" s="2" t="s">
        <v>52</v>
      </c>
      <c r="B400" s="26" t="s">
        <v>1051</v>
      </c>
      <c r="C400" s="26" t="s">
        <v>1097</v>
      </c>
      <c r="D400" s="28" t="s">
        <v>110</v>
      </c>
      <c r="E400" s="28" t="s">
        <v>1098</v>
      </c>
      <c r="F400" s="32">
        <v>4084</v>
      </c>
      <c r="G400" s="44" t="s">
        <v>1099</v>
      </c>
      <c r="H400" s="44"/>
      <c r="I400" s="27" t="s">
        <v>150</v>
      </c>
      <c r="J400" s="27" t="s">
        <v>7</v>
      </c>
    </row>
    <row r="401" spans="1:10" ht="48.6" x14ac:dyDescent="0.3">
      <c r="A401" s="2" t="s">
        <v>52</v>
      </c>
      <c r="B401" s="26" t="s">
        <v>1051</v>
      </c>
      <c r="C401" s="26" t="s">
        <v>1097</v>
      </c>
      <c r="D401" s="28" t="s">
        <v>110</v>
      </c>
      <c r="E401" s="28" t="s">
        <v>1100</v>
      </c>
      <c r="F401" s="32">
        <v>4084</v>
      </c>
      <c r="G401" s="44" t="s">
        <v>1101</v>
      </c>
      <c r="H401" s="44"/>
      <c r="I401" s="27" t="s">
        <v>150</v>
      </c>
      <c r="J401" s="27" t="s">
        <v>7</v>
      </c>
    </row>
    <row r="402" spans="1:10" ht="48.6" x14ac:dyDescent="0.3">
      <c r="A402" s="2" t="s">
        <v>52</v>
      </c>
      <c r="B402" s="26" t="s">
        <v>1051</v>
      </c>
      <c r="C402" s="26" t="s">
        <v>1097</v>
      </c>
      <c r="D402" s="28" t="s">
        <v>110</v>
      </c>
      <c r="E402" s="28" t="s">
        <v>1102</v>
      </c>
      <c r="F402" s="32">
        <v>2042</v>
      </c>
      <c r="G402" s="44" t="s">
        <v>1103</v>
      </c>
      <c r="H402" s="44"/>
      <c r="I402" s="27" t="s">
        <v>168</v>
      </c>
      <c r="J402" s="27" t="s">
        <v>7</v>
      </c>
    </row>
    <row r="403" spans="1:10" ht="48.6" x14ac:dyDescent="0.3">
      <c r="A403" s="2" t="s">
        <v>52</v>
      </c>
      <c r="B403" s="26" t="s">
        <v>1051</v>
      </c>
      <c r="C403" s="26" t="s">
        <v>1097</v>
      </c>
      <c r="D403" s="28" t="s">
        <v>110</v>
      </c>
      <c r="E403" s="28" t="s">
        <v>1104</v>
      </c>
      <c r="F403" s="32">
        <v>2042</v>
      </c>
      <c r="G403" s="44" t="s">
        <v>1105</v>
      </c>
      <c r="H403" s="44"/>
      <c r="I403" s="27" t="s">
        <v>168</v>
      </c>
      <c r="J403" s="27" t="s">
        <v>7</v>
      </c>
    </row>
    <row r="404" spans="1:10" ht="48.6" x14ac:dyDescent="0.3">
      <c r="A404" s="2" t="s">
        <v>52</v>
      </c>
      <c r="B404" s="26" t="s">
        <v>1051</v>
      </c>
      <c r="C404" s="26" t="s">
        <v>1097</v>
      </c>
      <c r="D404" s="28" t="s">
        <v>110</v>
      </c>
      <c r="E404" s="28" t="s">
        <v>1106</v>
      </c>
      <c r="F404" s="32">
        <v>4084</v>
      </c>
      <c r="G404" s="44" t="s">
        <v>1107</v>
      </c>
      <c r="H404" s="44"/>
      <c r="I404" s="27" t="s">
        <v>98</v>
      </c>
      <c r="J404" s="27" t="s">
        <v>7</v>
      </c>
    </row>
    <row r="405" spans="1:10" ht="48.6" x14ac:dyDescent="0.3">
      <c r="A405" s="2" t="s">
        <v>52</v>
      </c>
      <c r="B405" s="26" t="s">
        <v>1051</v>
      </c>
      <c r="C405" s="26" t="s">
        <v>1097</v>
      </c>
      <c r="D405" s="28" t="s">
        <v>110</v>
      </c>
      <c r="E405" s="28" t="s">
        <v>1108</v>
      </c>
      <c r="F405" s="32">
        <v>4084</v>
      </c>
      <c r="G405" s="44" t="s">
        <v>1109</v>
      </c>
      <c r="H405" s="44"/>
      <c r="I405" s="27" t="s">
        <v>98</v>
      </c>
      <c r="J405" s="27" t="s">
        <v>7</v>
      </c>
    </row>
    <row r="406" spans="1:10" ht="48.6" x14ac:dyDescent="0.3">
      <c r="A406" s="2" t="s">
        <v>52</v>
      </c>
      <c r="B406" s="26" t="s">
        <v>1051</v>
      </c>
      <c r="C406" s="26" t="s">
        <v>1097</v>
      </c>
      <c r="D406" s="28" t="s">
        <v>110</v>
      </c>
      <c r="E406" s="28" t="s">
        <v>1110</v>
      </c>
      <c r="F406" s="32">
        <v>4084</v>
      </c>
      <c r="G406" s="44" t="s">
        <v>1111</v>
      </c>
      <c r="H406" s="44"/>
      <c r="I406" s="27" t="s">
        <v>98</v>
      </c>
      <c r="J406" s="27" t="s">
        <v>7</v>
      </c>
    </row>
    <row r="407" spans="1:10" ht="48.6" x14ac:dyDescent="0.3">
      <c r="A407" s="2" t="s">
        <v>52</v>
      </c>
      <c r="B407" s="26" t="s">
        <v>1051</v>
      </c>
      <c r="C407" s="26" t="s">
        <v>1097</v>
      </c>
      <c r="D407" s="28" t="s">
        <v>110</v>
      </c>
      <c r="E407" s="28" t="s">
        <v>1112</v>
      </c>
      <c r="F407" s="32">
        <v>3063</v>
      </c>
      <c r="G407" s="44" t="s">
        <v>1113</v>
      </c>
      <c r="H407" s="44"/>
      <c r="I407" s="27" t="s">
        <v>70</v>
      </c>
      <c r="J407" s="27" t="s">
        <v>7</v>
      </c>
    </row>
    <row r="408" spans="1:10" ht="48.6" x14ac:dyDescent="0.3">
      <c r="A408" s="2" t="s">
        <v>52</v>
      </c>
      <c r="B408" s="26" t="s">
        <v>1051</v>
      </c>
      <c r="C408" s="26" t="s">
        <v>1097</v>
      </c>
      <c r="D408" s="28" t="s">
        <v>110</v>
      </c>
      <c r="E408" s="28" t="s">
        <v>1114</v>
      </c>
      <c r="F408" s="32">
        <v>3063</v>
      </c>
      <c r="G408" s="44" t="s">
        <v>1115</v>
      </c>
      <c r="H408" s="44"/>
      <c r="I408" s="27" t="s">
        <v>70</v>
      </c>
      <c r="J408" s="27" t="s">
        <v>7</v>
      </c>
    </row>
    <row r="409" spans="1:10" x14ac:dyDescent="0.3">
      <c r="A409" s="2" t="s">
        <v>44</v>
      </c>
      <c r="B409" s="26" t="s">
        <v>1051</v>
      </c>
      <c r="C409" s="26" t="s">
        <v>46</v>
      </c>
      <c r="D409" s="28" t="s">
        <v>7</v>
      </c>
      <c r="E409" s="28" t="s">
        <v>1116</v>
      </c>
      <c r="F409" s="32">
        <v>2980</v>
      </c>
      <c r="G409" s="44" t="s">
        <v>1117</v>
      </c>
      <c r="H409" s="44"/>
      <c r="I409" s="27" t="s">
        <v>1118</v>
      </c>
      <c r="J409" s="27" t="s">
        <v>7</v>
      </c>
    </row>
    <row r="410" spans="1:10" x14ac:dyDescent="0.3">
      <c r="A410" s="2" t="s">
        <v>44</v>
      </c>
      <c r="B410" s="26" t="s">
        <v>1119</v>
      </c>
      <c r="C410" s="26" t="s">
        <v>46</v>
      </c>
      <c r="D410" s="28" t="s">
        <v>7</v>
      </c>
      <c r="E410" s="28" t="s">
        <v>1120</v>
      </c>
      <c r="F410" s="32">
        <v>2120</v>
      </c>
      <c r="G410" s="44" t="s">
        <v>1121</v>
      </c>
      <c r="H410" s="44"/>
      <c r="I410" s="27" t="s">
        <v>1122</v>
      </c>
      <c r="J410" s="27" t="s">
        <v>7</v>
      </c>
    </row>
    <row r="411" spans="1:10" ht="32.4" x14ac:dyDescent="0.3">
      <c r="A411" s="2" t="s">
        <v>52</v>
      </c>
      <c r="B411" s="26" t="s">
        <v>1123</v>
      </c>
      <c r="C411" s="26" t="s">
        <v>1124</v>
      </c>
      <c r="D411" s="28" t="s">
        <v>121</v>
      </c>
      <c r="E411" s="28" t="s">
        <v>1125</v>
      </c>
      <c r="F411" s="32">
        <v>752</v>
      </c>
      <c r="G411" s="44" t="s">
        <v>1126</v>
      </c>
      <c r="H411" s="44"/>
      <c r="I411" s="27" t="s">
        <v>925</v>
      </c>
      <c r="J411" s="27" t="s">
        <v>7</v>
      </c>
    </row>
    <row r="412" spans="1:10" ht="32.4" x14ac:dyDescent="0.3">
      <c r="A412" s="2" t="s">
        <v>52</v>
      </c>
      <c r="B412" s="26" t="s">
        <v>1123</v>
      </c>
      <c r="C412" s="26" t="s">
        <v>1124</v>
      </c>
      <c r="D412" s="28" t="s">
        <v>245</v>
      </c>
      <c r="E412" s="28" t="s">
        <v>1125</v>
      </c>
      <c r="F412" s="32">
        <v>67055</v>
      </c>
      <c r="G412" s="44" t="s">
        <v>1126</v>
      </c>
      <c r="H412" s="44"/>
      <c r="I412" s="27" t="s">
        <v>925</v>
      </c>
      <c r="J412" s="27" t="s">
        <v>7</v>
      </c>
    </row>
    <row r="413" spans="1:10" ht="32.4" x14ac:dyDescent="0.3">
      <c r="A413" s="2" t="s">
        <v>52</v>
      </c>
      <c r="B413" s="26" t="s">
        <v>1123</v>
      </c>
      <c r="C413" s="26" t="s">
        <v>1124</v>
      </c>
      <c r="D413" s="28" t="s">
        <v>1094</v>
      </c>
      <c r="E413" s="28" t="s">
        <v>1125</v>
      </c>
      <c r="F413" s="32">
        <v>6164</v>
      </c>
      <c r="G413" s="44" t="s">
        <v>1126</v>
      </c>
      <c r="H413" s="44"/>
      <c r="I413" s="27" t="s">
        <v>925</v>
      </c>
      <c r="J413" s="27" t="s">
        <v>7</v>
      </c>
    </row>
    <row r="414" spans="1:10" ht="48.6" x14ac:dyDescent="0.3">
      <c r="A414" s="2" t="s">
        <v>52</v>
      </c>
      <c r="B414" s="26" t="s">
        <v>1123</v>
      </c>
      <c r="C414" s="26" t="s">
        <v>1124</v>
      </c>
      <c r="D414" s="28" t="s">
        <v>213</v>
      </c>
      <c r="E414" s="28" t="s">
        <v>1125</v>
      </c>
      <c r="F414" s="32">
        <v>92</v>
      </c>
      <c r="G414" s="44" t="s">
        <v>1126</v>
      </c>
      <c r="H414" s="44"/>
      <c r="I414" s="27" t="s">
        <v>925</v>
      </c>
      <c r="J414" s="27" t="s">
        <v>7</v>
      </c>
    </row>
    <row r="415" spans="1:10" x14ac:dyDescent="0.3">
      <c r="A415" s="2" t="s">
        <v>44</v>
      </c>
      <c r="B415" s="26" t="s">
        <v>1123</v>
      </c>
      <c r="C415" s="26" t="s">
        <v>46</v>
      </c>
      <c r="D415" s="28" t="s">
        <v>7</v>
      </c>
      <c r="E415" s="28" t="s">
        <v>1127</v>
      </c>
      <c r="F415" s="32">
        <v>1368</v>
      </c>
      <c r="G415" s="44" t="s">
        <v>1128</v>
      </c>
      <c r="H415" s="44"/>
      <c r="I415" s="27" t="s">
        <v>1129</v>
      </c>
      <c r="J415" s="27" t="s">
        <v>7</v>
      </c>
    </row>
    <row r="416" spans="1:10" x14ac:dyDescent="0.3">
      <c r="A416" s="2" t="s">
        <v>44</v>
      </c>
      <c r="B416" s="26" t="s">
        <v>1130</v>
      </c>
      <c r="C416" s="26" t="s">
        <v>330</v>
      </c>
      <c r="D416" s="28" t="s">
        <v>7</v>
      </c>
      <c r="E416" s="28" t="s">
        <v>1131</v>
      </c>
      <c r="F416" s="32">
        <v>5106</v>
      </c>
      <c r="G416" s="44" t="s">
        <v>1132</v>
      </c>
      <c r="H416" s="44"/>
      <c r="I416" s="27" t="s">
        <v>347</v>
      </c>
      <c r="J416" s="27" t="s">
        <v>7</v>
      </c>
    </row>
    <row r="417" spans="1:10" x14ac:dyDescent="0.3">
      <c r="A417" s="2" t="s">
        <v>44</v>
      </c>
      <c r="B417" s="26" t="s">
        <v>1130</v>
      </c>
      <c r="C417" s="26" t="s">
        <v>46</v>
      </c>
      <c r="D417" s="28" t="s">
        <v>7</v>
      </c>
      <c r="E417" s="28" t="s">
        <v>1133</v>
      </c>
      <c r="F417" s="32">
        <v>2684</v>
      </c>
      <c r="G417" s="44" t="s">
        <v>1134</v>
      </c>
      <c r="H417" s="44"/>
      <c r="I417" s="27" t="s">
        <v>700</v>
      </c>
      <c r="J417" s="27" t="s">
        <v>7</v>
      </c>
    </row>
    <row r="418" spans="1:10" ht="32.4" x14ac:dyDescent="0.3">
      <c r="A418" s="2" t="s">
        <v>44</v>
      </c>
      <c r="B418" s="26" t="s">
        <v>1130</v>
      </c>
      <c r="C418" s="26" t="s">
        <v>46</v>
      </c>
      <c r="D418" s="28" t="s">
        <v>7</v>
      </c>
      <c r="E418" s="28" t="s">
        <v>1135</v>
      </c>
      <c r="F418" s="32">
        <v>16958</v>
      </c>
      <c r="G418" s="44" t="s">
        <v>1136</v>
      </c>
      <c r="H418" s="44"/>
      <c r="I418" s="27" t="s">
        <v>84</v>
      </c>
      <c r="J418" s="27" t="s">
        <v>7</v>
      </c>
    </row>
    <row r="419" spans="1:10" ht="32.4" x14ac:dyDescent="0.3">
      <c r="A419" s="2" t="s">
        <v>44</v>
      </c>
      <c r="B419" s="26" t="s">
        <v>1130</v>
      </c>
      <c r="C419" s="26" t="s">
        <v>46</v>
      </c>
      <c r="D419" s="28" t="s">
        <v>7</v>
      </c>
      <c r="E419" s="28" t="s">
        <v>1137</v>
      </c>
      <c r="F419" s="32">
        <v>11709</v>
      </c>
      <c r="G419" s="44" t="s">
        <v>1138</v>
      </c>
      <c r="H419" s="44"/>
      <c r="I419" s="27" t="s">
        <v>84</v>
      </c>
      <c r="J419" s="27" t="s">
        <v>7</v>
      </c>
    </row>
    <row r="420" spans="1:10" x14ac:dyDescent="0.3">
      <c r="A420" s="2" t="s">
        <v>44</v>
      </c>
      <c r="B420" s="26" t="s">
        <v>1139</v>
      </c>
      <c r="C420" s="26" t="s">
        <v>46</v>
      </c>
      <c r="D420" s="28" t="s">
        <v>7</v>
      </c>
      <c r="E420" s="28" t="s">
        <v>1140</v>
      </c>
      <c r="F420" s="32">
        <v>9500</v>
      </c>
      <c r="G420" s="44" t="s">
        <v>1141</v>
      </c>
      <c r="H420" s="44"/>
      <c r="I420" s="27" t="s">
        <v>1142</v>
      </c>
      <c r="J420" s="27" t="s">
        <v>7</v>
      </c>
    </row>
    <row r="421" spans="1:10" x14ac:dyDescent="0.3">
      <c r="A421" s="2" t="s">
        <v>44</v>
      </c>
      <c r="B421" s="26" t="s">
        <v>1143</v>
      </c>
      <c r="C421" s="26" t="s">
        <v>46</v>
      </c>
      <c r="D421" s="28" t="s">
        <v>7</v>
      </c>
      <c r="E421" s="28" t="s">
        <v>1144</v>
      </c>
      <c r="F421" s="32">
        <v>15751</v>
      </c>
      <c r="G421" s="44" t="s">
        <v>1145</v>
      </c>
      <c r="H421" s="44"/>
      <c r="I421" s="27" t="s">
        <v>983</v>
      </c>
      <c r="J421" s="27" t="s">
        <v>7</v>
      </c>
    </row>
    <row r="422" spans="1:10" ht="32.4" x14ac:dyDescent="0.3">
      <c r="A422" s="2" t="s">
        <v>44</v>
      </c>
      <c r="B422" s="26" t="s">
        <v>1143</v>
      </c>
      <c r="C422" s="26" t="s">
        <v>46</v>
      </c>
      <c r="D422" s="28" t="s">
        <v>7</v>
      </c>
      <c r="E422" s="28" t="s">
        <v>1146</v>
      </c>
      <c r="F422" s="32">
        <v>2042</v>
      </c>
      <c r="G422" s="44" t="s">
        <v>1147</v>
      </c>
      <c r="H422" s="44"/>
      <c r="I422" s="27" t="s">
        <v>168</v>
      </c>
      <c r="J422" s="27" t="s">
        <v>7</v>
      </c>
    </row>
    <row r="423" spans="1:10" ht="32.4" x14ac:dyDescent="0.3">
      <c r="A423" s="2" t="s">
        <v>44</v>
      </c>
      <c r="B423" s="26" t="s">
        <v>1143</v>
      </c>
      <c r="C423" s="26" t="s">
        <v>46</v>
      </c>
      <c r="D423" s="28" t="s">
        <v>7</v>
      </c>
      <c r="E423" s="28" t="s">
        <v>1148</v>
      </c>
      <c r="F423" s="32">
        <v>2042</v>
      </c>
      <c r="G423" s="44" t="s">
        <v>1149</v>
      </c>
      <c r="H423" s="44"/>
      <c r="I423" s="27" t="s">
        <v>168</v>
      </c>
      <c r="J423" s="27" t="s">
        <v>7</v>
      </c>
    </row>
    <row r="424" spans="1:10" ht="32.4" x14ac:dyDescent="0.3">
      <c r="A424" s="2" t="s">
        <v>52</v>
      </c>
      <c r="B424" s="26" t="s">
        <v>1150</v>
      </c>
      <c r="C424" s="26" t="s">
        <v>1151</v>
      </c>
      <c r="D424" s="28" t="s">
        <v>141</v>
      </c>
      <c r="E424" s="28" t="s">
        <v>1152</v>
      </c>
      <c r="F424" s="32">
        <v>327420</v>
      </c>
      <c r="G424" s="44" t="s">
        <v>1153</v>
      </c>
      <c r="H424" s="44"/>
      <c r="I424" s="27" t="s">
        <v>328</v>
      </c>
      <c r="J424" s="27" t="s">
        <v>7</v>
      </c>
    </row>
    <row r="425" spans="1:10" ht="32.4" x14ac:dyDescent="0.3">
      <c r="A425" s="2" t="s">
        <v>52</v>
      </c>
      <c r="B425" s="26" t="s">
        <v>1150</v>
      </c>
      <c r="C425" s="26" t="s">
        <v>1154</v>
      </c>
      <c r="D425" s="28" t="s">
        <v>703</v>
      </c>
      <c r="E425" s="28" t="s">
        <v>1155</v>
      </c>
      <c r="F425" s="32">
        <v>1980</v>
      </c>
      <c r="G425" s="44" t="s">
        <v>1156</v>
      </c>
      <c r="H425" s="44"/>
      <c r="I425" s="27" t="s">
        <v>1122</v>
      </c>
      <c r="J425" s="27" t="s">
        <v>7</v>
      </c>
    </row>
    <row r="426" spans="1:10" ht="32.4" x14ac:dyDescent="0.3">
      <c r="A426" s="2" t="s">
        <v>52</v>
      </c>
      <c r="B426" s="26" t="s">
        <v>1150</v>
      </c>
      <c r="C426" s="26" t="s">
        <v>1157</v>
      </c>
      <c r="D426" s="28" t="s">
        <v>245</v>
      </c>
      <c r="E426" s="28" t="s">
        <v>1158</v>
      </c>
      <c r="F426" s="32">
        <v>3315</v>
      </c>
      <c r="G426" s="44" t="s">
        <v>1159</v>
      </c>
      <c r="H426" s="44"/>
      <c r="I426" s="27" t="s">
        <v>1160</v>
      </c>
      <c r="J426" s="27" t="s">
        <v>7</v>
      </c>
    </row>
    <row r="427" spans="1:10" ht="32.4" x14ac:dyDescent="0.3">
      <c r="A427" s="2" t="s">
        <v>52</v>
      </c>
      <c r="B427" s="26" t="s">
        <v>1150</v>
      </c>
      <c r="C427" s="26" t="s">
        <v>1157</v>
      </c>
      <c r="D427" s="28" t="s">
        <v>245</v>
      </c>
      <c r="E427" s="28" t="s">
        <v>1161</v>
      </c>
      <c r="F427" s="32">
        <v>2600</v>
      </c>
      <c r="G427" s="44" t="s">
        <v>1162</v>
      </c>
      <c r="H427" s="44"/>
      <c r="I427" s="27" t="s">
        <v>1160</v>
      </c>
      <c r="J427" s="27" t="s">
        <v>7</v>
      </c>
    </row>
    <row r="428" spans="1:10" ht="32.4" x14ac:dyDescent="0.3">
      <c r="A428" s="2" t="s">
        <v>52</v>
      </c>
      <c r="B428" s="26" t="s">
        <v>1150</v>
      </c>
      <c r="C428" s="26" t="s">
        <v>1157</v>
      </c>
      <c r="D428" s="28" t="s">
        <v>245</v>
      </c>
      <c r="E428" s="28" t="s">
        <v>1163</v>
      </c>
      <c r="F428" s="32">
        <v>6299</v>
      </c>
      <c r="G428" s="44" t="s">
        <v>1164</v>
      </c>
      <c r="H428" s="44"/>
      <c r="I428" s="27" t="s">
        <v>1165</v>
      </c>
      <c r="J428" s="27" t="s">
        <v>7</v>
      </c>
    </row>
    <row r="429" spans="1:10" ht="32.4" x14ac:dyDescent="0.3">
      <c r="A429" s="2" t="s">
        <v>52</v>
      </c>
      <c r="B429" s="26" t="s">
        <v>1150</v>
      </c>
      <c r="C429" s="26" t="s">
        <v>1157</v>
      </c>
      <c r="D429" s="28" t="s">
        <v>245</v>
      </c>
      <c r="E429" s="28" t="s">
        <v>1166</v>
      </c>
      <c r="F429" s="32">
        <v>210</v>
      </c>
      <c r="G429" s="44" t="s">
        <v>1167</v>
      </c>
      <c r="H429" s="44"/>
      <c r="I429" s="27" t="s">
        <v>1165</v>
      </c>
      <c r="J429" s="27" t="s">
        <v>7</v>
      </c>
    </row>
    <row r="430" spans="1:10" ht="32.4" x14ac:dyDescent="0.3">
      <c r="A430" s="2" t="s">
        <v>52</v>
      </c>
      <c r="B430" s="26" t="s">
        <v>1150</v>
      </c>
      <c r="C430" s="26" t="s">
        <v>1157</v>
      </c>
      <c r="D430" s="28" t="s">
        <v>208</v>
      </c>
      <c r="E430" s="28" t="s">
        <v>1168</v>
      </c>
      <c r="F430" s="32">
        <v>2980</v>
      </c>
      <c r="G430" s="44" t="s">
        <v>1169</v>
      </c>
      <c r="H430" s="44"/>
      <c r="I430" s="27" t="s">
        <v>499</v>
      </c>
      <c r="J430" s="27" t="s">
        <v>7</v>
      </c>
    </row>
    <row r="431" spans="1:10" ht="32.4" x14ac:dyDescent="0.3">
      <c r="A431" s="2" t="s">
        <v>52</v>
      </c>
      <c r="B431" s="26" t="s">
        <v>1150</v>
      </c>
      <c r="C431" s="26" t="s">
        <v>1157</v>
      </c>
      <c r="D431" s="28" t="s">
        <v>232</v>
      </c>
      <c r="E431" s="28" t="s">
        <v>1170</v>
      </c>
      <c r="F431" s="32">
        <v>600</v>
      </c>
      <c r="G431" s="44" t="s">
        <v>1171</v>
      </c>
      <c r="H431" s="44"/>
      <c r="I431" s="27" t="s">
        <v>235</v>
      </c>
      <c r="J431" s="27" t="s">
        <v>7</v>
      </c>
    </row>
    <row r="432" spans="1:10" ht="32.4" x14ac:dyDescent="0.3">
      <c r="A432" s="2" t="s">
        <v>52</v>
      </c>
      <c r="B432" s="26" t="s">
        <v>1150</v>
      </c>
      <c r="C432" s="26" t="s">
        <v>1172</v>
      </c>
      <c r="D432" s="28" t="s">
        <v>55</v>
      </c>
      <c r="E432" s="28" t="s">
        <v>1173</v>
      </c>
      <c r="F432" s="32">
        <v>15000</v>
      </c>
      <c r="G432" s="44" t="s">
        <v>1174</v>
      </c>
      <c r="H432" s="44"/>
      <c r="I432" s="27" t="s">
        <v>150</v>
      </c>
      <c r="J432" s="27" t="s">
        <v>7</v>
      </c>
    </row>
    <row r="433" spans="1:10" ht="48.6" x14ac:dyDescent="0.3">
      <c r="A433" s="2" t="s">
        <v>52</v>
      </c>
      <c r="B433" s="26" t="s">
        <v>1150</v>
      </c>
      <c r="C433" s="26" t="s">
        <v>1175</v>
      </c>
      <c r="D433" s="28" t="s">
        <v>110</v>
      </c>
      <c r="E433" s="28" t="s">
        <v>1176</v>
      </c>
      <c r="F433" s="32">
        <v>6127</v>
      </c>
      <c r="G433" s="44" t="s">
        <v>1177</v>
      </c>
      <c r="H433" s="44"/>
      <c r="I433" s="27" t="s">
        <v>499</v>
      </c>
      <c r="J433" s="27" t="s">
        <v>7</v>
      </c>
    </row>
    <row r="434" spans="1:10" ht="48.6" x14ac:dyDescent="0.3">
      <c r="A434" s="2" t="s">
        <v>52</v>
      </c>
      <c r="B434" s="26" t="s">
        <v>1150</v>
      </c>
      <c r="C434" s="26" t="s">
        <v>1175</v>
      </c>
      <c r="D434" s="28" t="s">
        <v>110</v>
      </c>
      <c r="E434" s="28" t="s">
        <v>1178</v>
      </c>
      <c r="F434" s="32">
        <v>6127</v>
      </c>
      <c r="G434" s="44" t="s">
        <v>1179</v>
      </c>
      <c r="H434" s="44"/>
      <c r="I434" s="27" t="s">
        <v>499</v>
      </c>
      <c r="J434" s="27" t="s">
        <v>7</v>
      </c>
    </row>
    <row r="435" spans="1:10" ht="48.6" x14ac:dyDescent="0.3">
      <c r="A435" s="2" t="s">
        <v>52</v>
      </c>
      <c r="B435" s="26" t="s">
        <v>1150</v>
      </c>
      <c r="C435" s="26" t="s">
        <v>1175</v>
      </c>
      <c r="D435" s="28" t="s">
        <v>110</v>
      </c>
      <c r="E435" s="28" t="s">
        <v>1180</v>
      </c>
      <c r="F435" s="32">
        <v>2000</v>
      </c>
      <c r="G435" s="44" t="s">
        <v>1181</v>
      </c>
      <c r="H435" s="44"/>
      <c r="I435" s="27" t="s">
        <v>79</v>
      </c>
      <c r="J435" s="27" t="s">
        <v>7</v>
      </c>
    </row>
    <row r="436" spans="1:10" ht="48.6" x14ac:dyDescent="0.3">
      <c r="A436" s="2" t="s">
        <v>52</v>
      </c>
      <c r="B436" s="26" t="s">
        <v>1150</v>
      </c>
      <c r="C436" s="26" t="s">
        <v>1175</v>
      </c>
      <c r="D436" s="28" t="s">
        <v>110</v>
      </c>
      <c r="E436" s="28" t="s">
        <v>1182</v>
      </c>
      <c r="F436" s="32">
        <v>5106</v>
      </c>
      <c r="G436" s="44" t="s">
        <v>1183</v>
      </c>
      <c r="H436" s="44"/>
      <c r="I436" s="27" t="s">
        <v>347</v>
      </c>
      <c r="J436" s="27" t="s">
        <v>7</v>
      </c>
    </row>
    <row r="437" spans="1:10" ht="32.4" x14ac:dyDescent="0.3">
      <c r="A437" s="2" t="s">
        <v>52</v>
      </c>
      <c r="B437" s="26" t="s">
        <v>1150</v>
      </c>
      <c r="C437" s="26" t="s">
        <v>1184</v>
      </c>
      <c r="D437" s="28" t="s">
        <v>81</v>
      </c>
      <c r="E437" s="28" t="s">
        <v>1185</v>
      </c>
      <c r="F437" s="32">
        <v>6231</v>
      </c>
      <c r="G437" s="44" t="s">
        <v>1186</v>
      </c>
      <c r="H437" s="44"/>
      <c r="I437" s="27" t="s">
        <v>499</v>
      </c>
      <c r="J437" s="27" t="s">
        <v>7</v>
      </c>
    </row>
    <row r="438" spans="1:10" ht="32.4" x14ac:dyDescent="0.3">
      <c r="A438" s="2" t="s">
        <v>52</v>
      </c>
      <c r="B438" s="26" t="s">
        <v>1187</v>
      </c>
      <c r="C438" s="26" t="s">
        <v>1188</v>
      </c>
      <c r="D438" s="28" t="s">
        <v>141</v>
      </c>
      <c r="E438" s="28" t="s">
        <v>1189</v>
      </c>
      <c r="F438" s="32">
        <v>7398</v>
      </c>
      <c r="G438" s="44" t="s">
        <v>1190</v>
      </c>
      <c r="H438" s="44"/>
      <c r="I438" s="27" t="s">
        <v>239</v>
      </c>
      <c r="J438" s="27" t="s">
        <v>7</v>
      </c>
    </row>
    <row r="439" spans="1:10" ht="32.4" x14ac:dyDescent="0.3">
      <c r="A439" s="2" t="s">
        <v>52</v>
      </c>
      <c r="B439" s="26" t="s">
        <v>1187</v>
      </c>
      <c r="C439" s="26" t="s">
        <v>1188</v>
      </c>
      <c r="D439" s="28" t="s">
        <v>216</v>
      </c>
      <c r="E439" s="28" t="s">
        <v>1191</v>
      </c>
      <c r="F439" s="32">
        <v>2024</v>
      </c>
      <c r="G439" s="44" t="s">
        <v>1192</v>
      </c>
      <c r="H439" s="44"/>
      <c r="I439" s="27" t="s">
        <v>74</v>
      </c>
      <c r="J439" s="27" t="s">
        <v>7</v>
      </c>
    </row>
    <row r="440" spans="1:10" ht="32.4" x14ac:dyDescent="0.3">
      <c r="A440" s="2" t="s">
        <v>52</v>
      </c>
      <c r="B440" s="26" t="s">
        <v>1187</v>
      </c>
      <c r="C440" s="26" t="s">
        <v>1188</v>
      </c>
      <c r="D440" s="28" t="s">
        <v>216</v>
      </c>
      <c r="E440" s="28" t="s">
        <v>1193</v>
      </c>
      <c r="F440" s="32">
        <v>2022</v>
      </c>
      <c r="G440" s="44" t="s">
        <v>1194</v>
      </c>
      <c r="H440" s="44"/>
      <c r="I440" s="27" t="s">
        <v>74</v>
      </c>
      <c r="J440" s="27" t="s">
        <v>7</v>
      </c>
    </row>
    <row r="441" spans="1:10" ht="32.4" x14ac:dyDescent="0.3">
      <c r="A441" s="2" t="s">
        <v>52</v>
      </c>
      <c r="B441" s="26" t="s">
        <v>1187</v>
      </c>
      <c r="C441" s="26" t="s">
        <v>1188</v>
      </c>
      <c r="D441" s="28" t="s">
        <v>216</v>
      </c>
      <c r="E441" s="28" t="s">
        <v>1195</v>
      </c>
      <c r="F441" s="32">
        <v>1279</v>
      </c>
      <c r="G441" s="44" t="s">
        <v>1196</v>
      </c>
      <c r="H441" s="44"/>
      <c r="I441" s="27" t="s">
        <v>1197</v>
      </c>
      <c r="J441" s="27" t="s">
        <v>7</v>
      </c>
    </row>
    <row r="442" spans="1:10" ht="32.4" x14ac:dyDescent="0.3">
      <c r="A442" s="2" t="s">
        <v>52</v>
      </c>
      <c r="B442" s="26" t="s">
        <v>1187</v>
      </c>
      <c r="C442" s="26" t="s">
        <v>1198</v>
      </c>
      <c r="D442" s="28" t="s">
        <v>245</v>
      </c>
      <c r="E442" s="28" t="s">
        <v>1199</v>
      </c>
      <c r="F442" s="32">
        <v>3900</v>
      </c>
      <c r="G442" s="44" t="s">
        <v>1200</v>
      </c>
      <c r="H442" s="44"/>
      <c r="I442" s="27" t="s">
        <v>118</v>
      </c>
      <c r="J442" s="27" t="s">
        <v>7</v>
      </c>
    </row>
    <row r="443" spans="1:10" ht="32.4" x14ac:dyDescent="0.3">
      <c r="A443" s="2" t="s">
        <v>52</v>
      </c>
      <c r="B443" s="26" t="s">
        <v>1187</v>
      </c>
      <c r="C443" s="26" t="s">
        <v>1198</v>
      </c>
      <c r="D443" s="28" t="s">
        <v>141</v>
      </c>
      <c r="E443" s="28" t="s">
        <v>1201</v>
      </c>
      <c r="F443" s="32">
        <v>400</v>
      </c>
      <c r="G443" s="44" t="s">
        <v>1202</v>
      </c>
      <c r="H443" s="44"/>
      <c r="I443" s="27" t="s">
        <v>118</v>
      </c>
      <c r="J443" s="27" t="s">
        <v>7</v>
      </c>
    </row>
    <row r="444" spans="1:10" ht="32.4" x14ac:dyDescent="0.3">
      <c r="A444" s="2" t="s">
        <v>52</v>
      </c>
      <c r="B444" s="26" t="s">
        <v>1187</v>
      </c>
      <c r="C444" s="26" t="s">
        <v>1198</v>
      </c>
      <c r="D444" s="28" t="s">
        <v>422</v>
      </c>
      <c r="E444" s="28" t="s">
        <v>1203</v>
      </c>
      <c r="F444" s="32">
        <v>2985</v>
      </c>
      <c r="G444" s="44" t="s">
        <v>1204</v>
      </c>
      <c r="H444" s="44"/>
      <c r="I444" s="27" t="s">
        <v>49</v>
      </c>
      <c r="J444" s="27" t="s">
        <v>7</v>
      </c>
    </row>
    <row r="445" spans="1:10" ht="32.4" x14ac:dyDescent="0.3">
      <c r="A445" s="2" t="s">
        <v>52</v>
      </c>
      <c r="B445" s="26" t="s">
        <v>1187</v>
      </c>
      <c r="C445" s="26" t="s">
        <v>1198</v>
      </c>
      <c r="D445" s="28" t="s">
        <v>245</v>
      </c>
      <c r="E445" s="28" t="s">
        <v>1205</v>
      </c>
      <c r="F445" s="32">
        <v>203</v>
      </c>
      <c r="G445" s="44" t="s">
        <v>1206</v>
      </c>
      <c r="H445" s="44"/>
      <c r="I445" s="27" t="s">
        <v>1207</v>
      </c>
      <c r="J445" s="27" t="s">
        <v>7</v>
      </c>
    </row>
    <row r="446" spans="1:10" ht="32.4" x14ac:dyDescent="0.3">
      <c r="A446" s="2" t="s">
        <v>52</v>
      </c>
      <c r="B446" s="26" t="s">
        <v>1187</v>
      </c>
      <c r="C446" s="26" t="s">
        <v>1198</v>
      </c>
      <c r="D446" s="28" t="s">
        <v>216</v>
      </c>
      <c r="E446" s="28" t="s">
        <v>1208</v>
      </c>
      <c r="F446" s="32">
        <v>2648</v>
      </c>
      <c r="G446" s="44" t="s">
        <v>1209</v>
      </c>
      <c r="H446" s="44"/>
      <c r="I446" s="27" t="s">
        <v>1122</v>
      </c>
      <c r="J446" s="27" t="s">
        <v>7</v>
      </c>
    </row>
    <row r="447" spans="1:10" ht="32.4" x14ac:dyDescent="0.3">
      <c r="A447" s="2" t="s">
        <v>52</v>
      </c>
      <c r="B447" s="26" t="s">
        <v>1187</v>
      </c>
      <c r="C447" s="26" t="s">
        <v>1198</v>
      </c>
      <c r="D447" s="28" t="s">
        <v>216</v>
      </c>
      <c r="E447" s="28" t="s">
        <v>1210</v>
      </c>
      <c r="F447" s="32">
        <v>2965</v>
      </c>
      <c r="G447" s="44" t="s">
        <v>1211</v>
      </c>
      <c r="H447" s="44"/>
      <c r="I447" s="27" t="s">
        <v>1122</v>
      </c>
      <c r="J447" s="27" t="s">
        <v>7</v>
      </c>
    </row>
    <row r="448" spans="1:10" x14ac:dyDescent="0.3">
      <c r="A448" s="2" t="s">
        <v>52</v>
      </c>
      <c r="B448" s="26" t="s">
        <v>1187</v>
      </c>
      <c r="C448" s="26" t="s">
        <v>1198</v>
      </c>
      <c r="D448" s="28" t="s">
        <v>124</v>
      </c>
      <c r="E448" s="28" t="s">
        <v>1212</v>
      </c>
      <c r="F448" s="32">
        <v>212</v>
      </c>
      <c r="G448" s="44" t="s">
        <v>1213</v>
      </c>
      <c r="H448" s="44"/>
      <c r="I448" s="27" t="s">
        <v>1122</v>
      </c>
      <c r="J448" s="27" t="s">
        <v>7</v>
      </c>
    </row>
    <row r="449" spans="1:10" ht="32.4" x14ac:dyDescent="0.3">
      <c r="A449" s="2" t="s">
        <v>52</v>
      </c>
      <c r="B449" s="26" t="s">
        <v>1187</v>
      </c>
      <c r="C449" s="26" t="s">
        <v>1198</v>
      </c>
      <c r="D449" s="28" t="s">
        <v>141</v>
      </c>
      <c r="E449" s="28" t="s">
        <v>1214</v>
      </c>
      <c r="F449" s="32">
        <v>1890</v>
      </c>
      <c r="G449" s="44" t="s">
        <v>1215</v>
      </c>
      <c r="H449" s="44"/>
      <c r="I449" s="27" t="s">
        <v>1122</v>
      </c>
      <c r="J449" s="27" t="s">
        <v>7</v>
      </c>
    </row>
    <row r="450" spans="1:10" ht="32.4" x14ac:dyDescent="0.3">
      <c r="A450" s="2" t="s">
        <v>52</v>
      </c>
      <c r="B450" s="26" t="s">
        <v>1187</v>
      </c>
      <c r="C450" s="26" t="s">
        <v>1216</v>
      </c>
      <c r="D450" s="28" t="s">
        <v>216</v>
      </c>
      <c r="E450" s="28" t="s">
        <v>1217</v>
      </c>
      <c r="F450" s="32">
        <v>639</v>
      </c>
      <c r="G450" s="44" t="s">
        <v>1218</v>
      </c>
      <c r="H450" s="44"/>
      <c r="I450" s="27" t="s">
        <v>49</v>
      </c>
      <c r="J450" s="27" t="s">
        <v>7</v>
      </c>
    </row>
    <row r="451" spans="1:10" ht="32.4" x14ac:dyDescent="0.3">
      <c r="A451" s="2" t="s">
        <v>52</v>
      </c>
      <c r="B451" s="26" t="s">
        <v>1187</v>
      </c>
      <c r="C451" s="26" t="s">
        <v>1216</v>
      </c>
      <c r="D451" s="28" t="s">
        <v>141</v>
      </c>
      <c r="E451" s="28" t="s">
        <v>1219</v>
      </c>
      <c r="F451" s="32">
        <v>598</v>
      </c>
      <c r="G451" s="44" t="s">
        <v>1220</v>
      </c>
      <c r="H451" s="44"/>
      <c r="I451" s="27" t="s">
        <v>49</v>
      </c>
      <c r="J451" s="27" t="s">
        <v>7</v>
      </c>
    </row>
    <row r="452" spans="1:10" ht="32.4" x14ac:dyDescent="0.3">
      <c r="A452" s="2" t="s">
        <v>52</v>
      </c>
      <c r="B452" s="26" t="s">
        <v>1187</v>
      </c>
      <c r="C452" s="26" t="s">
        <v>1216</v>
      </c>
      <c r="D452" s="28" t="s">
        <v>245</v>
      </c>
      <c r="E452" s="28" t="s">
        <v>1221</v>
      </c>
      <c r="F452" s="32">
        <v>5870</v>
      </c>
      <c r="G452" s="44" t="s">
        <v>1222</v>
      </c>
      <c r="H452" s="44"/>
      <c r="I452" s="27" t="s">
        <v>1223</v>
      </c>
      <c r="J452" s="27" t="s">
        <v>7</v>
      </c>
    </row>
    <row r="453" spans="1:10" x14ac:dyDescent="0.3">
      <c r="A453" s="2" t="s">
        <v>52</v>
      </c>
      <c r="B453" s="26" t="s">
        <v>1187</v>
      </c>
      <c r="C453" s="26" t="s">
        <v>1216</v>
      </c>
      <c r="D453" s="28" t="s">
        <v>124</v>
      </c>
      <c r="E453" s="28" t="s">
        <v>1224</v>
      </c>
      <c r="F453" s="32">
        <v>60</v>
      </c>
      <c r="G453" s="44" t="s">
        <v>1225</v>
      </c>
      <c r="H453" s="44"/>
      <c r="I453" s="27" t="s">
        <v>1223</v>
      </c>
      <c r="J453" s="27" t="s">
        <v>7</v>
      </c>
    </row>
    <row r="454" spans="1:10" ht="32.4" x14ac:dyDescent="0.3">
      <c r="A454" s="2" t="s">
        <v>52</v>
      </c>
      <c r="B454" s="26" t="s">
        <v>1187</v>
      </c>
      <c r="C454" s="26" t="s">
        <v>1216</v>
      </c>
      <c r="D454" s="28" t="s">
        <v>141</v>
      </c>
      <c r="E454" s="28" t="s">
        <v>1224</v>
      </c>
      <c r="F454" s="32">
        <v>81</v>
      </c>
      <c r="G454" s="44" t="s">
        <v>1225</v>
      </c>
      <c r="H454" s="44"/>
      <c r="I454" s="27" t="s">
        <v>1223</v>
      </c>
      <c r="J454" s="27" t="s">
        <v>7</v>
      </c>
    </row>
    <row r="455" spans="1:10" ht="32.4" x14ac:dyDescent="0.3">
      <c r="A455" s="2" t="s">
        <v>52</v>
      </c>
      <c r="B455" s="26" t="s">
        <v>1187</v>
      </c>
      <c r="C455" s="26" t="s">
        <v>1216</v>
      </c>
      <c r="D455" s="28" t="s">
        <v>245</v>
      </c>
      <c r="E455" s="28" t="s">
        <v>1224</v>
      </c>
      <c r="F455" s="32">
        <v>3374</v>
      </c>
      <c r="G455" s="44" t="s">
        <v>1225</v>
      </c>
      <c r="H455" s="44"/>
      <c r="I455" s="27" t="s">
        <v>1223</v>
      </c>
      <c r="J455" s="27" t="s">
        <v>7</v>
      </c>
    </row>
    <row r="456" spans="1:10" x14ac:dyDescent="0.3">
      <c r="A456" s="2" t="s">
        <v>52</v>
      </c>
      <c r="B456" s="26" t="s">
        <v>1187</v>
      </c>
      <c r="C456" s="26" t="s">
        <v>1216</v>
      </c>
      <c r="D456" s="28" t="s">
        <v>124</v>
      </c>
      <c r="E456" s="28" t="s">
        <v>1226</v>
      </c>
      <c r="F456" s="32">
        <v>64</v>
      </c>
      <c r="G456" s="44" t="s">
        <v>1227</v>
      </c>
      <c r="H456" s="44"/>
      <c r="I456" s="27" t="s">
        <v>1223</v>
      </c>
      <c r="J456" s="27" t="s">
        <v>7</v>
      </c>
    </row>
    <row r="457" spans="1:10" ht="32.4" x14ac:dyDescent="0.3">
      <c r="A457" s="2" t="s">
        <v>52</v>
      </c>
      <c r="B457" s="26" t="s">
        <v>1187</v>
      </c>
      <c r="C457" s="26" t="s">
        <v>1216</v>
      </c>
      <c r="D457" s="28" t="s">
        <v>141</v>
      </c>
      <c r="E457" s="28" t="s">
        <v>1226</v>
      </c>
      <c r="F457" s="32">
        <v>137</v>
      </c>
      <c r="G457" s="44" t="s">
        <v>1227</v>
      </c>
      <c r="H457" s="44"/>
      <c r="I457" s="27" t="s">
        <v>1223</v>
      </c>
      <c r="J457" s="27" t="s">
        <v>7</v>
      </c>
    </row>
    <row r="458" spans="1:10" ht="32.4" x14ac:dyDescent="0.3">
      <c r="A458" s="2" t="s">
        <v>52</v>
      </c>
      <c r="B458" s="26" t="s">
        <v>1187</v>
      </c>
      <c r="C458" s="26" t="s">
        <v>1216</v>
      </c>
      <c r="D458" s="28" t="s">
        <v>245</v>
      </c>
      <c r="E458" s="28" t="s">
        <v>1226</v>
      </c>
      <c r="F458" s="32">
        <v>273</v>
      </c>
      <c r="G458" s="44" t="s">
        <v>1227</v>
      </c>
      <c r="H458" s="44"/>
      <c r="I458" s="27" t="s">
        <v>1223</v>
      </c>
      <c r="J458" s="27" t="s">
        <v>7</v>
      </c>
    </row>
    <row r="459" spans="1:10" ht="32.4" x14ac:dyDescent="0.3">
      <c r="A459" s="2" t="s">
        <v>52</v>
      </c>
      <c r="B459" s="26" t="s">
        <v>1187</v>
      </c>
      <c r="C459" s="26" t="s">
        <v>1216</v>
      </c>
      <c r="D459" s="28" t="s">
        <v>216</v>
      </c>
      <c r="E459" s="28" t="s">
        <v>1228</v>
      </c>
      <c r="F459" s="32">
        <v>1933</v>
      </c>
      <c r="G459" s="44" t="s">
        <v>1229</v>
      </c>
      <c r="H459" s="44"/>
      <c r="I459" s="27" t="s">
        <v>74</v>
      </c>
      <c r="J459" s="27" t="s">
        <v>7</v>
      </c>
    </row>
    <row r="460" spans="1:10" ht="32.4" x14ac:dyDescent="0.3">
      <c r="A460" s="2" t="s">
        <v>52</v>
      </c>
      <c r="B460" s="26" t="s">
        <v>1187</v>
      </c>
      <c r="C460" s="26" t="s">
        <v>1216</v>
      </c>
      <c r="D460" s="28" t="s">
        <v>141</v>
      </c>
      <c r="E460" s="28" t="s">
        <v>1230</v>
      </c>
      <c r="F460" s="32">
        <v>9830</v>
      </c>
      <c r="G460" s="44" t="s">
        <v>1231</v>
      </c>
      <c r="H460" s="44"/>
      <c r="I460" s="27" t="s">
        <v>1232</v>
      </c>
      <c r="J460" s="27" t="s">
        <v>7</v>
      </c>
    </row>
    <row r="461" spans="1:10" ht="32.4" x14ac:dyDescent="0.3">
      <c r="A461" s="2" t="s">
        <v>52</v>
      </c>
      <c r="B461" s="26" t="s">
        <v>1187</v>
      </c>
      <c r="C461" s="26" t="s">
        <v>1216</v>
      </c>
      <c r="D461" s="28" t="s">
        <v>141</v>
      </c>
      <c r="E461" s="28" t="s">
        <v>1233</v>
      </c>
      <c r="F461" s="32">
        <v>2150</v>
      </c>
      <c r="G461" s="44" t="s">
        <v>1234</v>
      </c>
      <c r="H461" s="44"/>
      <c r="I461" s="27" t="s">
        <v>202</v>
      </c>
      <c r="J461" s="27" t="s">
        <v>7</v>
      </c>
    </row>
    <row r="462" spans="1:10" ht="32.4" x14ac:dyDescent="0.3">
      <c r="A462" s="2" t="s">
        <v>52</v>
      </c>
      <c r="B462" s="26" t="s">
        <v>1187</v>
      </c>
      <c r="C462" s="26" t="s">
        <v>1235</v>
      </c>
      <c r="D462" s="28" t="s">
        <v>367</v>
      </c>
      <c r="E462" s="28" t="s">
        <v>1236</v>
      </c>
      <c r="F462" s="32">
        <v>22301</v>
      </c>
      <c r="G462" s="44" t="s">
        <v>1237</v>
      </c>
      <c r="H462" s="44"/>
      <c r="I462" s="27" t="s">
        <v>370</v>
      </c>
      <c r="J462" s="27" t="s">
        <v>7</v>
      </c>
    </row>
    <row r="463" spans="1:10" ht="32.4" x14ac:dyDescent="0.3">
      <c r="A463" s="2" t="s">
        <v>52</v>
      </c>
      <c r="B463" s="26" t="s">
        <v>1187</v>
      </c>
      <c r="C463" s="26" t="s">
        <v>1238</v>
      </c>
      <c r="D463" s="28" t="s">
        <v>81</v>
      </c>
      <c r="E463" s="28" t="s">
        <v>1239</v>
      </c>
      <c r="F463" s="32">
        <v>10808</v>
      </c>
      <c r="G463" s="44" t="s">
        <v>1240</v>
      </c>
      <c r="H463" s="44"/>
      <c r="I463" s="27" t="s">
        <v>235</v>
      </c>
      <c r="J463" s="27" t="s">
        <v>7</v>
      </c>
    </row>
    <row r="464" spans="1:10" ht="32.4" x14ac:dyDescent="0.3">
      <c r="A464" s="2" t="s">
        <v>52</v>
      </c>
      <c r="B464" s="26" t="s">
        <v>1187</v>
      </c>
      <c r="C464" s="26" t="s">
        <v>1241</v>
      </c>
      <c r="D464" s="28" t="s">
        <v>81</v>
      </c>
      <c r="E464" s="28" t="s">
        <v>1242</v>
      </c>
      <c r="F464" s="32">
        <v>6968</v>
      </c>
      <c r="G464" s="44" t="s">
        <v>1243</v>
      </c>
      <c r="H464" s="44"/>
      <c r="I464" s="27" t="s">
        <v>239</v>
      </c>
      <c r="J464" s="27" t="s">
        <v>7</v>
      </c>
    </row>
    <row r="465" spans="1:10" ht="32.4" x14ac:dyDescent="0.3">
      <c r="A465" s="2" t="s">
        <v>52</v>
      </c>
      <c r="B465" s="26" t="s">
        <v>1187</v>
      </c>
      <c r="C465" s="26" t="s">
        <v>1244</v>
      </c>
      <c r="D465" s="28" t="s">
        <v>141</v>
      </c>
      <c r="E465" s="28" t="s">
        <v>1245</v>
      </c>
      <c r="F465" s="32">
        <v>4170</v>
      </c>
      <c r="G465" s="44" t="s">
        <v>1246</v>
      </c>
      <c r="H465" s="44"/>
      <c r="I465" s="27" t="s">
        <v>102</v>
      </c>
      <c r="J465" s="27" t="s">
        <v>7</v>
      </c>
    </row>
    <row r="466" spans="1:10" ht="32.4" x14ac:dyDescent="0.3">
      <c r="A466" s="2" t="s">
        <v>52</v>
      </c>
      <c r="B466" s="26" t="s">
        <v>1247</v>
      </c>
      <c r="C466" s="26" t="s">
        <v>1248</v>
      </c>
      <c r="D466" s="28" t="s">
        <v>141</v>
      </c>
      <c r="E466" s="28" t="s">
        <v>1249</v>
      </c>
      <c r="F466" s="32">
        <v>6186</v>
      </c>
      <c r="G466" s="44" t="s">
        <v>1250</v>
      </c>
      <c r="H466" s="44"/>
      <c r="I466" s="27" t="s">
        <v>202</v>
      </c>
      <c r="J466" s="27" t="s">
        <v>7</v>
      </c>
    </row>
    <row r="467" spans="1:10" ht="32.4" x14ac:dyDescent="0.3">
      <c r="A467" s="2" t="s">
        <v>52</v>
      </c>
      <c r="B467" s="26" t="s">
        <v>1247</v>
      </c>
      <c r="C467" s="26" t="s">
        <v>1248</v>
      </c>
      <c r="D467" s="28" t="s">
        <v>141</v>
      </c>
      <c r="E467" s="28" t="s">
        <v>1251</v>
      </c>
      <c r="F467" s="32">
        <v>1991</v>
      </c>
      <c r="G467" s="44" t="s">
        <v>1252</v>
      </c>
      <c r="H467" s="44"/>
      <c r="I467" s="27" t="s">
        <v>202</v>
      </c>
      <c r="J467" s="27" t="s">
        <v>7</v>
      </c>
    </row>
    <row r="468" spans="1:10" x14ac:dyDescent="0.3">
      <c r="A468" s="2" t="s">
        <v>52</v>
      </c>
      <c r="B468" s="26" t="s">
        <v>1247</v>
      </c>
      <c r="C468" s="26" t="s">
        <v>1248</v>
      </c>
      <c r="D468" s="28" t="s">
        <v>124</v>
      </c>
      <c r="E468" s="28" t="s">
        <v>1253</v>
      </c>
      <c r="F468" s="32">
        <v>48</v>
      </c>
      <c r="G468" s="44" t="s">
        <v>1254</v>
      </c>
      <c r="H468" s="44"/>
      <c r="I468" s="27" t="s">
        <v>1232</v>
      </c>
      <c r="J468" s="27" t="s">
        <v>7</v>
      </c>
    </row>
    <row r="469" spans="1:10" ht="32.4" x14ac:dyDescent="0.3">
      <c r="A469" s="2" t="s">
        <v>52</v>
      </c>
      <c r="B469" s="26" t="s">
        <v>1247</v>
      </c>
      <c r="C469" s="26" t="s">
        <v>1248</v>
      </c>
      <c r="D469" s="28" t="s">
        <v>245</v>
      </c>
      <c r="E469" s="28" t="s">
        <v>1255</v>
      </c>
      <c r="F469" s="32">
        <v>900</v>
      </c>
      <c r="G469" s="44" t="s">
        <v>1256</v>
      </c>
      <c r="H469" s="44"/>
      <c r="I469" s="27" t="s">
        <v>1257</v>
      </c>
      <c r="J469" s="27" t="s">
        <v>7</v>
      </c>
    </row>
    <row r="470" spans="1:10" ht="32.4" x14ac:dyDescent="0.3">
      <c r="A470" s="2" t="s">
        <v>52</v>
      </c>
      <c r="B470" s="26" t="s">
        <v>1247</v>
      </c>
      <c r="C470" s="26" t="s">
        <v>1258</v>
      </c>
      <c r="D470" s="28" t="s">
        <v>121</v>
      </c>
      <c r="E470" s="28" t="s">
        <v>1259</v>
      </c>
      <c r="F470" s="32">
        <v>36750</v>
      </c>
      <c r="G470" s="44" t="s">
        <v>1260</v>
      </c>
      <c r="H470" s="44"/>
      <c r="I470" s="27" t="s">
        <v>70</v>
      </c>
      <c r="J470" s="27" t="s">
        <v>7</v>
      </c>
    </row>
    <row r="471" spans="1:10" ht="32.4" x14ac:dyDescent="0.3">
      <c r="A471" s="2" t="s">
        <v>52</v>
      </c>
      <c r="B471" s="26" t="s">
        <v>1247</v>
      </c>
      <c r="C471" s="26" t="s">
        <v>1261</v>
      </c>
      <c r="D471" s="28" t="s">
        <v>245</v>
      </c>
      <c r="E471" s="28" t="s">
        <v>1262</v>
      </c>
      <c r="F471" s="32">
        <v>11200</v>
      </c>
      <c r="G471" s="44" t="s">
        <v>1263</v>
      </c>
      <c r="H471" s="44"/>
      <c r="I471" s="27" t="s">
        <v>1207</v>
      </c>
      <c r="J471" s="27" t="s">
        <v>7</v>
      </c>
    </row>
    <row r="472" spans="1:10" ht="32.4" x14ac:dyDescent="0.3">
      <c r="A472" s="2" t="s">
        <v>52</v>
      </c>
      <c r="B472" s="26" t="s">
        <v>1247</v>
      </c>
      <c r="C472" s="26" t="s">
        <v>1264</v>
      </c>
      <c r="D472" s="28" t="s">
        <v>245</v>
      </c>
      <c r="E472" s="28" t="s">
        <v>1265</v>
      </c>
      <c r="F472" s="32">
        <v>21830</v>
      </c>
      <c r="G472" s="44" t="s">
        <v>1266</v>
      </c>
      <c r="H472" s="44"/>
      <c r="I472" s="27" t="s">
        <v>1207</v>
      </c>
      <c r="J472" s="27" t="s">
        <v>7</v>
      </c>
    </row>
    <row r="473" spans="1:10" ht="48.6" x14ac:dyDescent="0.3">
      <c r="A473" s="2" t="s">
        <v>52</v>
      </c>
      <c r="B473" s="26" t="s">
        <v>1247</v>
      </c>
      <c r="C473" s="26" t="s">
        <v>1267</v>
      </c>
      <c r="D473" s="28" t="s">
        <v>110</v>
      </c>
      <c r="E473" s="28" t="s">
        <v>1268</v>
      </c>
      <c r="F473" s="32">
        <v>40000</v>
      </c>
      <c r="G473" s="44" t="s">
        <v>1269</v>
      </c>
      <c r="H473" s="44"/>
      <c r="I473" s="27" t="s">
        <v>74</v>
      </c>
      <c r="J473" s="27" t="s">
        <v>7</v>
      </c>
    </row>
    <row r="474" spans="1:10" x14ac:dyDescent="0.3">
      <c r="A474" s="2" t="s">
        <v>52</v>
      </c>
      <c r="B474" s="26" t="s">
        <v>1247</v>
      </c>
      <c r="C474" s="26" t="s">
        <v>1270</v>
      </c>
      <c r="D474" s="28" t="s">
        <v>115</v>
      </c>
      <c r="E474" s="28" t="s">
        <v>1271</v>
      </c>
      <c r="F474" s="32">
        <v>25000</v>
      </c>
      <c r="G474" s="44" t="s">
        <v>1272</v>
      </c>
      <c r="H474" s="44"/>
      <c r="I474" s="27" t="s">
        <v>118</v>
      </c>
      <c r="J474" s="27" t="s">
        <v>7</v>
      </c>
    </row>
    <row r="475" spans="1:10" ht="32.4" x14ac:dyDescent="0.3">
      <c r="A475" s="2" t="s">
        <v>52</v>
      </c>
      <c r="B475" s="26" t="s">
        <v>1247</v>
      </c>
      <c r="C475" s="26" t="s">
        <v>1273</v>
      </c>
      <c r="D475" s="28" t="s">
        <v>245</v>
      </c>
      <c r="E475" s="28" t="s">
        <v>1274</v>
      </c>
      <c r="F475" s="32">
        <v>10300</v>
      </c>
      <c r="G475" s="44" t="s">
        <v>1275</v>
      </c>
      <c r="H475" s="44"/>
      <c r="I475" s="27" t="s">
        <v>1257</v>
      </c>
      <c r="J475" s="27" t="s">
        <v>7</v>
      </c>
    </row>
    <row r="476" spans="1:10" ht="32.4" x14ac:dyDescent="0.3">
      <c r="A476" s="2" t="s">
        <v>52</v>
      </c>
      <c r="B476" s="26" t="s">
        <v>1247</v>
      </c>
      <c r="C476" s="26" t="s">
        <v>1276</v>
      </c>
      <c r="D476" s="28" t="s">
        <v>121</v>
      </c>
      <c r="E476" s="28" t="s">
        <v>1277</v>
      </c>
      <c r="F476" s="32">
        <v>830</v>
      </c>
      <c r="G476" s="44" t="s">
        <v>1278</v>
      </c>
      <c r="H476" s="44"/>
      <c r="I476" s="27" t="s">
        <v>1279</v>
      </c>
      <c r="J476" s="27" t="s">
        <v>7</v>
      </c>
    </row>
    <row r="477" spans="1:10" ht="32.4" x14ac:dyDescent="0.3">
      <c r="A477" s="2" t="s">
        <v>52</v>
      </c>
      <c r="B477" s="26" t="s">
        <v>1247</v>
      </c>
      <c r="C477" s="26" t="s">
        <v>1276</v>
      </c>
      <c r="D477" s="28" t="s">
        <v>141</v>
      </c>
      <c r="E477" s="28" t="s">
        <v>1277</v>
      </c>
      <c r="F477" s="32">
        <v>285</v>
      </c>
      <c r="G477" s="44" t="s">
        <v>1278</v>
      </c>
      <c r="H477" s="44"/>
      <c r="I477" s="27" t="s">
        <v>1279</v>
      </c>
      <c r="J477" s="27" t="s">
        <v>7</v>
      </c>
    </row>
    <row r="478" spans="1:10" ht="32.4" x14ac:dyDescent="0.3">
      <c r="A478" s="2" t="s">
        <v>52</v>
      </c>
      <c r="B478" s="26" t="s">
        <v>1247</v>
      </c>
      <c r="C478" s="26" t="s">
        <v>1276</v>
      </c>
      <c r="D478" s="28" t="s">
        <v>216</v>
      </c>
      <c r="E478" s="28" t="s">
        <v>1277</v>
      </c>
      <c r="F478" s="32">
        <v>636</v>
      </c>
      <c r="G478" s="44" t="s">
        <v>1278</v>
      </c>
      <c r="H478" s="44"/>
      <c r="I478" s="27" t="s">
        <v>1279</v>
      </c>
      <c r="J478" s="27" t="s">
        <v>7</v>
      </c>
    </row>
    <row r="479" spans="1:10" ht="32.4" x14ac:dyDescent="0.3">
      <c r="A479" s="2" t="s">
        <v>52</v>
      </c>
      <c r="B479" s="26" t="s">
        <v>1247</v>
      </c>
      <c r="C479" s="26" t="s">
        <v>1276</v>
      </c>
      <c r="D479" s="28" t="s">
        <v>216</v>
      </c>
      <c r="E479" s="28" t="s">
        <v>1280</v>
      </c>
      <c r="F479" s="32">
        <v>1998</v>
      </c>
      <c r="G479" s="44" t="s">
        <v>1281</v>
      </c>
      <c r="H479" s="44"/>
      <c r="I479" s="27" t="s">
        <v>133</v>
      </c>
      <c r="J479" s="27" t="s">
        <v>7</v>
      </c>
    </row>
    <row r="480" spans="1:10" ht="32.4" x14ac:dyDescent="0.3">
      <c r="A480" s="2" t="s">
        <v>52</v>
      </c>
      <c r="B480" s="26" t="s">
        <v>1247</v>
      </c>
      <c r="C480" s="26" t="s">
        <v>1276</v>
      </c>
      <c r="D480" s="28" t="s">
        <v>216</v>
      </c>
      <c r="E480" s="28" t="s">
        <v>1282</v>
      </c>
      <c r="F480" s="32">
        <v>641</v>
      </c>
      <c r="G480" s="44" t="s">
        <v>1283</v>
      </c>
      <c r="H480" s="44"/>
      <c r="I480" s="27" t="s">
        <v>133</v>
      </c>
      <c r="J480" s="27" t="s">
        <v>7</v>
      </c>
    </row>
    <row r="481" spans="1:10" ht="32.4" x14ac:dyDescent="0.3">
      <c r="A481" s="2" t="s">
        <v>52</v>
      </c>
      <c r="B481" s="26" t="s">
        <v>1247</v>
      </c>
      <c r="C481" s="26" t="s">
        <v>1276</v>
      </c>
      <c r="D481" s="28" t="s">
        <v>121</v>
      </c>
      <c r="E481" s="28" t="s">
        <v>1284</v>
      </c>
      <c r="F481" s="32">
        <v>1125</v>
      </c>
      <c r="G481" s="44" t="s">
        <v>1285</v>
      </c>
      <c r="H481" s="44"/>
      <c r="I481" s="27" t="s">
        <v>133</v>
      </c>
      <c r="J481" s="27" t="s">
        <v>7</v>
      </c>
    </row>
    <row r="482" spans="1:10" x14ac:dyDescent="0.3">
      <c r="A482" s="2" t="s">
        <v>52</v>
      </c>
      <c r="B482" s="26" t="s">
        <v>1247</v>
      </c>
      <c r="C482" s="26" t="s">
        <v>1276</v>
      </c>
      <c r="D482" s="28" t="s">
        <v>124</v>
      </c>
      <c r="E482" s="28" t="s">
        <v>1284</v>
      </c>
      <c r="F482" s="32">
        <v>92</v>
      </c>
      <c r="G482" s="44" t="s">
        <v>1285</v>
      </c>
      <c r="H482" s="44"/>
      <c r="I482" s="27" t="s">
        <v>133</v>
      </c>
      <c r="J482" s="27" t="s">
        <v>7</v>
      </c>
    </row>
    <row r="483" spans="1:10" ht="32.4" x14ac:dyDescent="0.3">
      <c r="A483" s="2" t="s">
        <v>52</v>
      </c>
      <c r="B483" s="26" t="s">
        <v>1247</v>
      </c>
      <c r="C483" s="26" t="s">
        <v>1276</v>
      </c>
      <c r="D483" s="28" t="s">
        <v>141</v>
      </c>
      <c r="E483" s="28" t="s">
        <v>1284</v>
      </c>
      <c r="F483" s="32">
        <v>1317</v>
      </c>
      <c r="G483" s="44" t="s">
        <v>1285</v>
      </c>
      <c r="H483" s="44"/>
      <c r="I483" s="27" t="s">
        <v>133</v>
      </c>
      <c r="J483" s="27" t="s">
        <v>7</v>
      </c>
    </row>
    <row r="484" spans="1:10" ht="32.4" x14ac:dyDescent="0.3">
      <c r="A484" s="2" t="s">
        <v>52</v>
      </c>
      <c r="B484" s="26" t="s">
        <v>1247</v>
      </c>
      <c r="C484" s="26" t="s">
        <v>1276</v>
      </c>
      <c r="D484" s="28" t="s">
        <v>216</v>
      </c>
      <c r="E484" s="28" t="s">
        <v>1286</v>
      </c>
      <c r="F484" s="32">
        <v>1997</v>
      </c>
      <c r="G484" s="44" t="s">
        <v>1287</v>
      </c>
      <c r="H484" s="44"/>
      <c r="I484" s="27" t="s">
        <v>133</v>
      </c>
      <c r="J484" s="27" t="s">
        <v>7</v>
      </c>
    </row>
    <row r="485" spans="1:10" ht="32.4" x14ac:dyDescent="0.3">
      <c r="A485" s="2" t="s">
        <v>52</v>
      </c>
      <c r="B485" s="26" t="s">
        <v>1247</v>
      </c>
      <c r="C485" s="26" t="s">
        <v>1276</v>
      </c>
      <c r="D485" s="28" t="s">
        <v>141</v>
      </c>
      <c r="E485" s="28" t="s">
        <v>1288</v>
      </c>
      <c r="F485" s="32">
        <v>3705</v>
      </c>
      <c r="G485" s="44" t="s">
        <v>1289</v>
      </c>
      <c r="H485" s="44"/>
      <c r="I485" s="27" t="s">
        <v>133</v>
      </c>
      <c r="J485" s="27" t="s">
        <v>7</v>
      </c>
    </row>
    <row r="486" spans="1:10" x14ac:dyDescent="0.3">
      <c r="A486" s="2" t="s">
        <v>52</v>
      </c>
      <c r="B486" s="26" t="s">
        <v>1247</v>
      </c>
      <c r="C486" s="26" t="s">
        <v>1276</v>
      </c>
      <c r="D486" s="28" t="s">
        <v>130</v>
      </c>
      <c r="E486" s="28" t="s">
        <v>1290</v>
      </c>
      <c r="F486" s="32">
        <v>2200</v>
      </c>
      <c r="G486" s="44" t="s">
        <v>1291</v>
      </c>
      <c r="H486" s="44"/>
      <c r="I486" s="27" t="s">
        <v>499</v>
      </c>
      <c r="J486" s="27" t="s">
        <v>7</v>
      </c>
    </row>
    <row r="487" spans="1:10" ht="32.4" x14ac:dyDescent="0.3">
      <c r="A487" s="2" t="s">
        <v>52</v>
      </c>
      <c r="B487" s="26" t="s">
        <v>1247</v>
      </c>
      <c r="C487" s="26" t="s">
        <v>1292</v>
      </c>
      <c r="D487" s="28" t="s">
        <v>81</v>
      </c>
      <c r="E487" s="28" t="s">
        <v>1293</v>
      </c>
      <c r="F487" s="32">
        <v>30863</v>
      </c>
      <c r="G487" s="44" t="s">
        <v>1294</v>
      </c>
      <c r="H487" s="44"/>
      <c r="I487" s="27" t="s">
        <v>49</v>
      </c>
      <c r="J487" s="27" t="s">
        <v>7</v>
      </c>
    </row>
    <row r="488" spans="1:10" ht="32.4" x14ac:dyDescent="0.3">
      <c r="A488" s="2" t="s">
        <v>1295</v>
      </c>
      <c r="B488" s="26" t="s">
        <v>1296</v>
      </c>
      <c r="C488" s="26" t="s">
        <v>1297</v>
      </c>
      <c r="D488" s="28" t="s">
        <v>737</v>
      </c>
      <c r="E488" s="28" t="s">
        <v>1298</v>
      </c>
      <c r="F488" s="32">
        <v>-89901</v>
      </c>
      <c r="G488" s="44" t="s">
        <v>1299</v>
      </c>
      <c r="H488" s="44"/>
      <c r="I488" s="27" t="s">
        <v>740</v>
      </c>
      <c r="J488" s="27" t="s">
        <v>7</v>
      </c>
    </row>
    <row r="489" spans="1:10" ht="32.4" x14ac:dyDescent="0.3">
      <c r="A489" s="2" t="s">
        <v>52</v>
      </c>
      <c r="B489" s="26" t="s">
        <v>1296</v>
      </c>
      <c r="C489" s="26" t="s">
        <v>1300</v>
      </c>
      <c r="D489" s="28" t="s">
        <v>245</v>
      </c>
      <c r="E489" s="28" t="s">
        <v>1301</v>
      </c>
      <c r="F489" s="32">
        <v>20000</v>
      </c>
      <c r="G489" s="44" t="s">
        <v>1302</v>
      </c>
      <c r="H489" s="44"/>
      <c r="I489" s="27" t="s">
        <v>248</v>
      </c>
      <c r="J489" s="27" t="s">
        <v>7</v>
      </c>
    </row>
    <row r="490" spans="1:10" ht="32.4" x14ac:dyDescent="0.3">
      <c r="A490" s="2" t="s">
        <v>52</v>
      </c>
      <c r="B490" s="26" t="s">
        <v>1296</v>
      </c>
      <c r="C490" s="26" t="s">
        <v>1303</v>
      </c>
      <c r="D490" s="28" t="s">
        <v>195</v>
      </c>
      <c r="E490" s="28" t="s">
        <v>1304</v>
      </c>
      <c r="F490" s="32">
        <v>32802</v>
      </c>
      <c r="G490" s="44" t="s">
        <v>1305</v>
      </c>
      <c r="H490" s="44"/>
      <c r="I490" s="27" t="s">
        <v>1306</v>
      </c>
      <c r="J490" s="27" t="s">
        <v>7</v>
      </c>
    </row>
    <row r="491" spans="1:10" ht="32.4" x14ac:dyDescent="0.3">
      <c r="A491" s="2" t="s">
        <v>52</v>
      </c>
      <c r="B491" s="26" t="s">
        <v>1296</v>
      </c>
      <c r="C491" s="26" t="s">
        <v>1307</v>
      </c>
      <c r="D491" s="28" t="s">
        <v>245</v>
      </c>
      <c r="E491" s="28" t="s">
        <v>1308</v>
      </c>
      <c r="F491" s="32">
        <v>19405</v>
      </c>
      <c r="G491" s="44" t="s">
        <v>1309</v>
      </c>
      <c r="H491" s="44"/>
      <c r="I491" s="27" t="s">
        <v>393</v>
      </c>
      <c r="J491" s="27" t="s">
        <v>7</v>
      </c>
    </row>
    <row r="492" spans="1:10" ht="32.4" x14ac:dyDescent="0.3">
      <c r="A492" s="2" t="s">
        <v>52</v>
      </c>
      <c r="B492" s="26" t="s">
        <v>1296</v>
      </c>
      <c r="C492" s="26" t="s">
        <v>1310</v>
      </c>
      <c r="D492" s="28" t="s">
        <v>141</v>
      </c>
      <c r="E492" s="28" t="s">
        <v>1311</v>
      </c>
      <c r="F492" s="32">
        <v>5500</v>
      </c>
      <c r="G492" s="44" t="s">
        <v>1312</v>
      </c>
      <c r="H492" s="44"/>
      <c r="I492" s="27" t="s">
        <v>150</v>
      </c>
      <c r="J492" s="27" t="s">
        <v>7</v>
      </c>
    </row>
    <row r="493" spans="1:10" ht="32.4" x14ac:dyDescent="0.3">
      <c r="A493" s="2" t="s">
        <v>52</v>
      </c>
      <c r="B493" s="26" t="s">
        <v>1296</v>
      </c>
      <c r="C493" s="26" t="s">
        <v>1313</v>
      </c>
      <c r="D493" s="28" t="s">
        <v>1314</v>
      </c>
      <c r="E493" s="28" t="s">
        <v>1315</v>
      </c>
      <c r="F493" s="32">
        <v>20000</v>
      </c>
      <c r="G493" s="44" t="s">
        <v>1316</v>
      </c>
      <c r="H493" s="44"/>
      <c r="I493" s="27" t="s">
        <v>248</v>
      </c>
      <c r="J493" s="27" t="s">
        <v>7</v>
      </c>
    </row>
    <row r="494" spans="1:10" ht="32.4" x14ac:dyDescent="0.3">
      <c r="A494" s="2" t="s">
        <v>52</v>
      </c>
      <c r="B494" s="26" t="s">
        <v>1296</v>
      </c>
      <c r="C494" s="26" t="s">
        <v>1317</v>
      </c>
      <c r="D494" s="28" t="s">
        <v>141</v>
      </c>
      <c r="E494" s="28" t="s">
        <v>1318</v>
      </c>
      <c r="F494" s="32">
        <v>5976</v>
      </c>
      <c r="G494" s="44" t="s">
        <v>1319</v>
      </c>
      <c r="H494" s="44"/>
      <c r="I494" s="27" t="s">
        <v>1320</v>
      </c>
      <c r="J494" s="27" t="s">
        <v>7</v>
      </c>
    </row>
    <row r="495" spans="1:10" x14ac:dyDescent="0.3">
      <c r="A495" s="2" t="s">
        <v>52</v>
      </c>
      <c r="B495" s="26" t="s">
        <v>1296</v>
      </c>
      <c r="C495" s="26" t="s">
        <v>1317</v>
      </c>
      <c r="D495" s="28" t="s">
        <v>115</v>
      </c>
      <c r="E495" s="28" t="s">
        <v>1321</v>
      </c>
      <c r="F495" s="32">
        <v>3660</v>
      </c>
      <c r="G495" s="44" t="s">
        <v>1322</v>
      </c>
      <c r="H495" s="44"/>
      <c r="I495" s="27" t="s">
        <v>1160</v>
      </c>
      <c r="J495" s="27" t="s">
        <v>7</v>
      </c>
    </row>
    <row r="496" spans="1:10" ht="32.4" x14ac:dyDescent="0.3">
      <c r="A496" s="2" t="s">
        <v>52</v>
      </c>
      <c r="B496" s="26" t="s">
        <v>1296</v>
      </c>
      <c r="C496" s="26" t="s">
        <v>1317</v>
      </c>
      <c r="D496" s="28" t="s">
        <v>141</v>
      </c>
      <c r="E496" s="28" t="s">
        <v>1323</v>
      </c>
      <c r="F496" s="32">
        <v>1180</v>
      </c>
      <c r="G496" s="44" t="s">
        <v>1324</v>
      </c>
      <c r="H496" s="44"/>
      <c r="I496" s="27" t="s">
        <v>94</v>
      </c>
      <c r="J496" s="27" t="s">
        <v>7</v>
      </c>
    </row>
    <row r="497" spans="1:10" ht="32.4" x14ac:dyDescent="0.3">
      <c r="A497" s="2" t="s">
        <v>52</v>
      </c>
      <c r="B497" s="26" t="s">
        <v>1296</v>
      </c>
      <c r="C497" s="26" t="s">
        <v>1325</v>
      </c>
      <c r="D497" s="28" t="s">
        <v>115</v>
      </c>
      <c r="E497" s="28" t="s">
        <v>1326</v>
      </c>
      <c r="F497" s="32">
        <v>14385</v>
      </c>
      <c r="G497" s="44" t="s">
        <v>1327</v>
      </c>
      <c r="H497" s="44"/>
      <c r="I497" s="27" t="s">
        <v>98</v>
      </c>
      <c r="J497" s="27" t="s">
        <v>7</v>
      </c>
    </row>
    <row r="498" spans="1:10" ht="32.4" x14ac:dyDescent="0.3">
      <c r="A498" s="2" t="s">
        <v>52</v>
      </c>
      <c r="B498" s="26" t="s">
        <v>1296</v>
      </c>
      <c r="C498" s="26" t="s">
        <v>1328</v>
      </c>
      <c r="D498" s="28" t="s">
        <v>115</v>
      </c>
      <c r="E498" s="28" t="s">
        <v>1329</v>
      </c>
      <c r="F498" s="32">
        <v>103000</v>
      </c>
      <c r="G498" s="44" t="s">
        <v>1330</v>
      </c>
      <c r="H498" s="44"/>
      <c r="I498" s="27" t="s">
        <v>98</v>
      </c>
      <c r="J498" s="27" t="s">
        <v>7</v>
      </c>
    </row>
    <row r="499" spans="1:10" ht="32.4" x14ac:dyDescent="0.3">
      <c r="A499" s="2" t="s">
        <v>52</v>
      </c>
      <c r="B499" s="26" t="s">
        <v>1296</v>
      </c>
      <c r="C499" s="26" t="s">
        <v>1331</v>
      </c>
      <c r="D499" s="28" t="s">
        <v>141</v>
      </c>
      <c r="E499" s="28" t="s">
        <v>1332</v>
      </c>
      <c r="F499" s="32">
        <v>6336</v>
      </c>
      <c r="G499" s="44" t="s">
        <v>1333</v>
      </c>
      <c r="H499" s="44"/>
      <c r="I499" s="27" t="s">
        <v>133</v>
      </c>
      <c r="J499" s="27" t="s">
        <v>7</v>
      </c>
    </row>
    <row r="500" spans="1:10" ht="32.4" x14ac:dyDescent="0.3">
      <c r="A500" s="2" t="s">
        <v>52</v>
      </c>
      <c r="B500" s="26" t="s">
        <v>1296</v>
      </c>
      <c r="C500" s="26" t="s">
        <v>1334</v>
      </c>
      <c r="D500" s="28" t="s">
        <v>81</v>
      </c>
      <c r="E500" s="28" t="s">
        <v>1335</v>
      </c>
      <c r="F500" s="32">
        <v>4555</v>
      </c>
      <c r="G500" s="44" t="s">
        <v>1336</v>
      </c>
      <c r="H500" s="44"/>
      <c r="I500" s="27" t="s">
        <v>98</v>
      </c>
      <c r="J500" s="27" t="s">
        <v>7</v>
      </c>
    </row>
    <row r="501" spans="1:10" ht="32.4" x14ac:dyDescent="0.3">
      <c r="A501" s="2" t="s">
        <v>52</v>
      </c>
      <c r="B501" s="26" t="s">
        <v>1296</v>
      </c>
      <c r="C501" s="26" t="s">
        <v>1337</v>
      </c>
      <c r="D501" s="28" t="s">
        <v>81</v>
      </c>
      <c r="E501" s="28" t="s">
        <v>1338</v>
      </c>
      <c r="F501" s="32">
        <v>7368</v>
      </c>
      <c r="G501" s="44" t="s">
        <v>1339</v>
      </c>
      <c r="H501" s="44"/>
      <c r="I501" s="27" t="s">
        <v>102</v>
      </c>
      <c r="J501" s="27" t="s">
        <v>7</v>
      </c>
    </row>
    <row r="502" spans="1:10" ht="32.4" x14ac:dyDescent="0.3">
      <c r="A502" s="2" t="s">
        <v>52</v>
      </c>
      <c r="B502" s="26" t="s">
        <v>1296</v>
      </c>
      <c r="C502" s="26" t="s">
        <v>1340</v>
      </c>
      <c r="D502" s="28" t="s">
        <v>81</v>
      </c>
      <c r="E502" s="28" t="s">
        <v>1341</v>
      </c>
      <c r="F502" s="32">
        <v>8241</v>
      </c>
      <c r="G502" s="44" t="s">
        <v>1342</v>
      </c>
      <c r="H502" s="44"/>
      <c r="I502" s="27" t="s">
        <v>150</v>
      </c>
      <c r="J502" s="27" t="s">
        <v>7</v>
      </c>
    </row>
    <row r="503" spans="1:10" ht="32.4" x14ac:dyDescent="0.3">
      <c r="A503" s="2" t="s">
        <v>52</v>
      </c>
      <c r="B503" s="26" t="s">
        <v>1296</v>
      </c>
      <c r="C503" s="26" t="s">
        <v>1343</v>
      </c>
      <c r="D503" s="28" t="s">
        <v>81</v>
      </c>
      <c r="E503" s="28" t="s">
        <v>1344</v>
      </c>
      <c r="F503" s="32">
        <v>12823</v>
      </c>
      <c r="G503" s="44" t="s">
        <v>1345</v>
      </c>
      <c r="H503" s="44"/>
      <c r="I503" s="27" t="s">
        <v>499</v>
      </c>
      <c r="J503" s="27" t="s">
        <v>7</v>
      </c>
    </row>
    <row r="504" spans="1:10" ht="32.4" x14ac:dyDescent="0.3">
      <c r="A504" s="2" t="s">
        <v>52</v>
      </c>
      <c r="B504" s="26" t="s">
        <v>1296</v>
      </c>
      <c r="C504" s="26" t="s">
        <v>1346</v>
      </c>
      <c r="D504" s="28" t="s">
        <v>81</v>
      </c>
      <c r="E504" s="28" t="s">
        <v>1347</v>
      </c>
      <c r="F504" s="32">
        <v>6322</v>
      </c>
      <c r="G504" s="44" t="s">
        <v>1348</v>
      </c>
      <c r="H504" s="44"/>
      <c r="I504" s="27" t="s">
        <v>499</v>
      </c>
      <c r="J504" s="27" t="s">
        <v>7</v>
      </c>
    </row>
    <row r="505" spans="1:10" ht="32.4" x14ac:dyDescent="0.3">
      <c r="A505" s="2" t="s">
        <v>52</v>
      </c>
      <c r="B505" s="26" t="s">
        <v>1296</v>
      </c>
      <c r="C505" s="26" t="s">
        <v>1349</v>
      </c>
      <c r="D505" s="28" t="s">
        <v>81</v>
      </c>
      <c r="E505" s="28" t="s">
        <v>1350</v>
      </c>
      <c r="F505" s="32">
        <v>1237</v>
      </c>
      <c r="G505" s="44" t="s">
        <v>1351</v>
      </c>
      <c r="H505" s="44"/>
      <c r="I505" s="27" t="s">
        <v>1352</v>
      </c>
      <c r="J505" s="27" t="s">
        <v>7</v>
      </c>
    </row>
    <row r="506" spans="1:10" x14ac:dyDescent="0.3">
      <c r="A506" s="2" t="s">
        <v>44</v>
      </c>
      <c r="B506" s="26" t="s">
        <v>1296</v>
      </c>
      <c r="C506" s="26" t="s">
        <v>46</v>
      </c>
      <c r="D506" s="28" t="s">
        <v>7</v>
      </c>
      <c r="E506" s="28" t="s">
        <v>1353</v>
      </c>
      <c r="F506" s="32">
        <v>10000</v>
      </c>
      <c r="G506" s="44" t="s">
        <v>1354</v>
      </c>
      <c r="H506" s="44"/>
      <c r="I506" s="27" t="s">
        <v>1355</v>
      </c>
      <c r="J506" s="27" t="s">
        <v>7</v>
      </c>
    </row>
    <row r="507" spans="1:10" ht="32.4" x14ac:dyDescent="0.3">
      <c r="A507" s="2" t="s">
        <v>52</v>
      </c>
      <c r="B507" s="26" t="s">
        <v>1356</v>
      </c>
      <c r="C507" s="26" t="s">
        <v>1357</v>
      </c>
      <c r="D507" s="28" t="s">
        <v>141</v>
      </c>
      <c r="E507" s="28" t="s">
        <v>1358</v>
      </c>
      <c r="F507" s="32">
        <v>686</v>
      </c>
      <c r="G507" s="44" t="s">
        <v>1359</v>
      </c>
      <c r="H507" s="44"/>
      <c r="I507" s="27" t="s">
        <v>838</v>
      </c>
      <c r="J507" s="27" t="s">
        <v>7</v>
      </c>
    </row>
    <row r="508" spans="1:10" x14ac:dyDescent="0.3">
      <c r="A508" s="2" t="s">
        <v>52</v>
      </c>
      <c r="B508" s="26" t="s">
        <v>1356</v>
      </c>
      <c r="C508" s="26" t="s">
        <v>1360</v>
      </c>
      <c r="D508" s="28" t="s">
        <v>115</v>
      </c>
      <c r="E508" s="28" t="s">
        <v>1361</v>
      </c>
      <c r="F508" s="32">
        <v>2000</v>
      </c>
      <c r="G508" s="44" t="s">
        <v>1362</v>
      </c>
      <c r="H508" s="44"/>
      <c r="I508" s="27" t="s">
        <v>353</v>
      </c>
      <c r="J508" s="27" t="s">
        <v>7</v>
      </c>
    </row>
    <row r="509" spans="1:10" x14ac:dyDescent="0.3">
      <c r="A509" s="2" t="s">
        <v>52</v>
      </c>
      <c r="B509" s="26" t="s">
        <v>1356</v>
      </c>
      <c r="C509" s="26" t="s">
        <v>1360</v>
      </c>
      <c r="D509" s="28" t="s">
        <v>115</v>
      </c>
      <c r="E509" s="28" t="s">
        <v>1363</v>
      </c>
      <c r="F509" s="32">
        <v>4401</v>
      </c>
      <c r="G509" s="44" t="s">
        <v>1364</v>
      </c>
      <c r="H509" s="44"/>
      <c r="I509" s="27" t="s">
        <v>1012</v>
      </c>
      <c r="J509" s="27" t="s">
        <v>7</v>
      </c>
    </row>
    <row r="510" spans="1:10" x14ac:dyDescent="0.3">
      <c r="A510" s="2" t="s">
        <v>52</v>
      </c>
      <c r="B510" s="26" t="s">
        <v>1356</v>
      </c>
      <c r="C510" s="26" t="s">
        <v>1360</v>
      </c>
      <c r="D510" s="28" t="s">
        <v>115</v>
      </c>
      <c r="E510" s="28" t="s">
        <v>1365</v>
      </c>
      <c r="F510" s="32">
        <v>2560</v>
      </c>
      <c r="G510" s="44" t="s">
        <v>1366</v>
      </c>
      <c r="H510" s="44"/>
      <c r="I510" s="27" t="s">
        <v>1012</v>
      </c>
      <c r="J510" s="27" t="s">
        <v>7</v>
      </c>
    </row>
    <row r="511" spans="1:10" ht="32.4" x14ac:dyDescent="0.3">
      <c r="A511" s="2" t="s">
        <v>52</v>
      </c>
      <c r="B511" s="26" t="s">
        <v>1356</v>
      </c>
      <c r="C511" s="26" t="s">
        <v>1367</v>
      </c>
      <c r="D511" s="28" t="s">
        <v>55</v>
      </c>
      <c r="E511" s="28" t="s">
        <v>1368</v>
      </c>
      <c r="F511" s="32">
        <v>500</v>
      </c>
      <c r="G511" s="44" t="s">
        <v>1369</v>
      </c>
      <c r="H511" s="44"/>
      <c r="I511" s="27" t="s">
        <v>102</v>
      </c>
      <c r="J511" s="27" t="s">
        <v>7</v>
      </c>
    </row>
    <row r="512" spans="1:10" ht="32.4" x14ac:dyDescent="0.3">
      <c r="A512" s="2" t="s">
        <v>52</v>
      </c>
      <c r="B512" s="26" t="s">
        <v>1356</v>
      </c>
      <c r="C512" s="26" t="s">
        <v>1367</v>
      </c>
      <c r="D512" s="28" t="s">
        <v>208</v>
      </c>
      <c r="E512" s="28" t="s">
        <v>1370</v>
      </c>
      <c r="F512" s="32">
        <v>4240</v>
      </c>
      <c r="G512" s="44" t="s">
        <v>1371</v>
      </c>
      <c r="H512" s="44"/>
      <c r="I512" s="27" t="s">
        <v>740</v>
      </c>
      <c r="J512" s="27" t="s">
        <v>7</v>
      </c>
    </row>
    <row r="513" spans="1:10" ht="32.4" x14ac:dyDescent="0.3">
      <c r="A513" s="2" t="s">
        <v>52</v>
      </c>
      <c r="B513" s="26" t="s">
        <v>1356</v>
      </c>
      <c r="C513" s="26" t="s">
        <v>1367</v>
      </c>
      <c r="D513" s="28" t="s">
        <v>208</v>
      </c>
      <c r="E513" s="28" t="s">
        <v>1372</v>
      </c>
      <c r="F513" s="32">
        <v>2400</v>
      </c>
      <c r="G513" s="44" t="s">
        <v>1373</v>
      </c>
      <c r="H513" s="44"/>
      <c r="I513" s="27" t="s">
        <v>70</v>
      </c>
      <c r="J513" s="27" t="s">
        <v>7</v>
      </c>
    </row>
    <row r="514" spans="1:10" ht="32.4" x14ac:dyDescent="0.3">
      <c r="A514" s="2" t="s">
        <v>52</v>
      </c>
      <c r="B514" s="26" t="s">
        <v>1356</v>
      </c>
      <c r="C514" s="26" t="s">
        <v>1367</v>
      </c>
      <c r="D514" s="28" t="s">
        <v>208</v>
      </c>
      <c r="E514" s="28" t="s">
        <v>1374</v>
      </c>
      <c r="F514" s="32">
        <v>1580</v>
      </c>
      <c r="G514" s="44" t="s">
        <v>1375</v>
      </c>
      <c r="H514" s="44"/>
      <c r="I514" s="27" t="s">
        <v>70</v>
      </c>
      <c r="J514" s="27" t="s">
        <v>7</v>
      </c>
    </row>
    <row r="515" spans="1:10" ht="48.6" x14ac:dyDescent="0.3">
      <c r="A515" s="2" t="s">
        <v>52</v>
      </c>
      <c r="B515" s="26" t="s">
        <v>1356</v>
      </c>
      <c r="C515" s="26" t="s">
        <v>1376</v>
      </c>
      <c r="D515" s="28" t="s">
        <v>110</v>
      </c>
      <c r="E515" s="28" t="s">
        <v>1377</v>
      </c>
      <c r="F515" s="32">
        <v>6127</v>
      </c>
      <c r="G515" s="44" t="s">
        <v>1378</v>
      </c>
      <c r="H515" s="44"/>
      <c r="I515" s="27" t="s">
        <v>150</v>
      </c>
      <c r="J515" s="27" t="s">
        <v>7</v>
      </c>
    </row>
    <row r="516" spans="1:10" ht="48.6" x14ac:dyDescent="0.3">
      <c r="A516" s="2" t="s">
        <v>52</v>
      </c>
      <c r="B516" s="26" t="s">
        <v>1356</v>
      </c>
      <c r="C516" s="26" t="s">
        <v>1376</v>
      </c>
      <c r="D516" s="28" t="s">
        <v>110</v>
      </c>
      <c r="E516" s="28" t="s">
        <v>1379</v>
      </c>
      <c r="F516" s="32">
        <v>6127</v>
      </c>
      <c r="G516" s="44" t="s">
        <v>1380</v>
      </c>
      <c r="H516" s="44"/>
      <c r="I516" s="27" t="s">
        <v>499</v>
      </c>
      <c r="J516" s="27" t="s">
        <v>7</v>
      </c>
    </row>
    <row r="517" spans="1:10" ht="48.6" x14ac:dyDescent="0.3">
      <c r="A517" s="2" t="s">
        <v>52</v>
      </c>
      <c r="B517" s="26" t="s">
        <v>1356</v>
      </c>
      <c r="C517" s="26" t="s">
        <v>1376</v>
      </c>
      <c r="D517" s="28" t="s">
        <v>110</v>
      </c>
      <c r="E517" s="28" t="s">
        <v>1381</v>
      </c>
      <c r="F517" s="32">
        <v>2042</v>
      </c>
      <c r="G517" s="44" t="s">
        <v>1382</v>
      </c>
      <c r="H517" s="44"/>
      <c r="I517" s="27" t="s">
        <v>168</v>
      </c>
      <c r="J517" s="27" t="s">
        <v>7</v>
      </c>
    </row>
    <row r="518" spans="1:10" ht="48.6" x14ac:dyDescent="0.3">
      <c r="A518" s="2" t="s">
        <v>52</v>
      </c>
      <c r="B518" s="26" t="s">
        <v>1356</v>
      </c>
      <c r="C518" s="26" t="s">
        <v>1376</v>
      </c>
      <c r="D518" s="28" t="s">
        <v>110</v>
      </c>
      <c r="E518" s="28" t="s">
        <v>1383</v>
      </c>
      <c r="F518" s="32">
        <v>2042</v>
      </c>
      <c r="G518" s="44" t="s">
        <v>1384</v>
      </c>
      <c r="H518" s="44"/>
      <c r="I518" s="27" t="s">
        <v>168</v>
      </c>
      <c r="J518" s="27" t="s">
        <v>7</v>
      </c>
    </row>
    <row r="519" spans="1:10" ht="48.6" x14ac:dyDescent="0.3">
      <c r="A519" s="2" t="s">
        <v>52</v>
      </c>
      <c r="B519" s="26" t="s">
        <v>1356</v>
      </c>
      <c r="C519" s="26" t="s">
        <v>1376</v>
      </c>
      <c r="D519" s="28" t="s">
        <v>110</v>
      </c>
      <c r="E519" s="28" t="s">
        <v>1385</v>
      </c>
      <c r="F519" s="32">
        <v>2000</v>
      </c>
      <c r="G519" s="44" t="s">
        <v>1386</v>
      </c>
      <c r="H519" s="44"/>
      <c r="I519" s="27" t="s">
        <v>79</v>
      </c>
      <c r="J519" s="27" t="s">
        <v>7</v>
      </c>
    </row>
    <row r="520" spans="1:10" ht="32.4" x14ac:dyDescent="0.3">
      <c r="A520" s="2" t="s">
        <v>52</v>
      </c>
      <c r="B520" s="26" t="s">
        <v>1356</v>
      </c>
      <c r="C520" s="26" t="s">
        <v>1376</v>
      </c>
      <c r="D520" s="28" t="s">
        <v>232</v>
      </c>
      <c r="E520" s="28" t="s">
        <v>1387</v>
      </c>
      <c r="F520" s="32">
        <v>2000</v>
      </c>
      <c r="G520" s="44" t="s">
        <v>1388</v>
      </c>
      <c r="H520" s="44"/>
      <c r="I520" s="27" t="s">
        <v>98</v>
      </c>
      <c r="J520" s="27" t="s">
        <v>7</v>
      </c>
    </row>
    <row r="521" spans="1:10" ht="32.4" x14ac:dyDescent="0.3">
      <c r="A521" s="2" t="s">
        <v>52</v>
      </c>
      <c r="B521" s="26" t="s">
        <v>1356</v>
      </c>
      <c r="C521" s="26" t="s">
        <v>1376</v>
      </c>
      <c r="D521" s="28" t="s">
        <v>232</v>
      </c>
      <c r="E521" s="28" t="s">
        <v>1389</v>
      </c>
      <c r="F521" s="32">
        <v>2000</v>
      </c>
      <c r="G521" s="44" t="s">
        <v>1390</v>
      </c>
      <c r="H521" s="44"/>
      <c r="I521" s="27" t="s">
        <v>98</v>
      </c>
      <c r="J521" s="27" t="s">
        <v>7</v>
      </c>
    </row>
    <row r="522" spans="1:10" ht="32.4" x14ac:dyDescent="0.3">
      <c r="A522" s="2" t="s">
        <v>22</v>
      </c>
      <c r="B522" s="26" t="s">
        <v>1356</v>
      </c>
      <c r="C522" s="26" t="s">
        <v>330</v>
      </c>
      <c r="D522" s="28" t="s">
        <v>7</v>
      </c>
      <c r="E522" s="28" t="s">
        <v>1391</v>
      </c>
      <c r="F522" s="32">
        <v>13733</v>
      </c>
      <c r="G522" s="44" t="s">
        <v>1392</v>
      </c>
      <c r="H522" s="44"/>
      <c r="I522" s="27" t="s">
        <v>1072</v>
      </c>
      <c r="J522" s="27" t="s">
        <v>7</v>
      </c>
    </row>
    <row r="523" spans="1:10" x14ac:dyDescent="0.3">
      <c r="A523" s="2" t="s">
        <v>44</v>
      </c>
      <c r="B523" s="26" t="s">
        <v>1356</v>
      </c>
      <c r="C523" s="26" t="s">
        <v>46</v>
      </c>
      <c r="D523" s="28" t="s">
        <v>7</v>
      </c>
      <c r="E523" s="28" t="s">
        <v>1393</v>
      </c>
      <c r="F523" s="32">
        <v>3850</v>
      </c>
      <c r="G523" s="44" t="s">
        <v>1394</v>
      </c>
      <c r="H523" s="44"/>
      <c r="I523" s="27" t="s">
        <v>248</v>
      </c>
      <c r="J523" s="27" t="s">
        <v>7</v>
      </c>
    </row>
    <row r="524" spans="1:10" x14ac:dyDescent="0.3">
      <c r="A524" s="2" t="s">
        <v>44</v>
      </c>
      <c r="B524" s="26" t="s">
        <v>1356</v>
      </c>
      <c r="C524" s="26" t="s">
        <v>46</v>
      </c>
      <c r="D524" s="28" t="s">
        <v>7</v>
      </c>
      <c r="E524" s="28" t="s">
        <v>1395</v>
      </c>
      <c r="F524" s="32">
        <v>2000</v>
      </c>
      <c r="G524" s="44" t="s">
        <v>1396</v>
      </c>
      <c r="H524" s="44"/>
      <c r="I524" s="27" t="s">
        <v>1397</v>
      </c>
      <c r="J524" s="27" t="s">
        <v>7</v>
      </c>
    </row>
    <row r="525" spans="1:10" ht="32.4" x14ac:dyDescent="0.3">
      <c r="A525" s="2" t="s">
        <v>52</v>
      </c>
      <c r="B525" s="26" t="s">
        <v>1398</v>
      </c>
      <c r="C525" s="26" t="s">
        <v>1399</v>
      </c>
      <c r="D525" s="28" t="s">
        <v>141</v>
      </c>
      <c r="E525" s="28" t="s">
        <v>1400</v>
      </c>
      <c r="F525" s="32">
        <v>1640</v>
      </c>
      <c r="G525" s="44" t="s">
        <v>1401</v>
      </c>
      <c r="H525" s="44"/>
      <c r="I525" s="27" t="s">
        <v>98</v>
      </c>
      <c r="J525" s="27" t="s">
        <v>7</v>
      </c>
    </row>
    <row r="526" spans="1:10" x14ac:dyDescent="0.3">
      <c r="A526" s="2" t="s">
        <v>52</v>
      </c>
      <c r="B526" s="26" t="s">
        <v>1398</v>
      </c>
      <c r="C526" s="26" t="s">
        <v>1399</v>
      </c>
      <c r="D526" s="28" t="s">
        <v>115</v>
      </c>
      <c r="E526" s="28" t="s">
        <v>1402</v>
      </c>
      <c r="F526" s="32">
        <v>5468</v>
      </c>
      <c r="G526" s="44" t="s">
        <v>1403</v>
      </c>
      <c r="H526" s="44"/>
      <c r="I526" s="27" t="s">
        <v>1012</v>
      </c>
      <c r="J526" s="27" t="s">
        <v>7</v>
      </c>
    </row>
    <row r="527" spans="1:10" ht="32.4" x14ac:dyDescent="0.3">
      <c r="A527" s="2" t="s">
        <v>52</v>
      </c>
      <c r="B527" s="26" t="s">
        <v>1398</v>
      </c>
      <c r="C527" s="26" t="s">
        <v>1399</v>
      </c>
      <c r="D527" s="28" t="s">
        <v>208</v>
      </c>
      <c r="E527" s="28" t="s">
        <v>1404</v>
      </c>
      <c r="F527" s="32">
        <v>110</v>
      </c>
      <c r="G527" s="44" t="s">
        <v>1405</v>
      </c>
      <c r="H527" s="44"/>
      <c r="I527" s="27" t="s">
        <v>499</v>
      </c>
      <c r="J527" s="27" t="s">
        <v>7</v>
      </c>
    </row>
    <row r="528" spans="1:10" ht="32.4" x14ac:dyDescent="0.3">
      <c r="A528" s="2" t="s">
        <v>52</v>
      </c>
      <c r="B528" s="26" t="s">
        <v>1398</v>
      </c>
      <c r="C528" s="26" t="s">
        <v>1399</v>
      </c>
      <c r="D528" s="28" t="s">
        <v>322</v>
      </c>
      <c r="E528" s="28" t="s">
        <v>1406</v>
      </c>
      <c r="F528" s="32">
        <v>6667</v>
      </c>
      <c r="G528" s="44" t="s">
        <v>1407</v>
      </c>
      <c r="H528" s="44"/>
      <c r="I528" s="27" t="s">
        <v>325</v>
      </c>
      <c r="J528" s="27" t="s">
        <v>7</v>
      </c>
    </row>
    <row r="529" spans="1:10" x14ac:dyDescent="0.3">
      <c r="A529" s="2" t="s">
        <v>52</v>
      </c>
      <c r="B529" s="26" t="s">
        <v>1398</v>
      </c>
      <c r="C529" s="26" t="s">
        <v>1399</v>
      </c>
      <c r="D529" s="28" t="s">
        <v>130</v>
      </c>
      <c r="E529" s="28" t="s">
        <v>1408</v>
      </c>
      <c r="F529" s="32">
        <v>1675</v>
      </c>
      <c r="G529" s="44" t="s">
        <v>1409</v>
      </c>
      <c r="H529" s="44"/>
      <c r="I529" s="27" t="s">
        <v>133</v>
      </c>
      <c r="J529" s="27" t="s">
        <v>7</v>
      </c>
    </row>
    <row r="530" spans="1:10" x14ac:dyDescent="0.3">
      <c r="A530" s="2" t="s">
        <v>52</v>
      </c>
      <c r="B530" s="26" t="s">
        <v>1398</v>
      </c>
      <c r="C530" s="26" t="s">
        <v>1399</v>
      </c>
      <c r="D530" s="28" t="s">
        <v>62</v>
      </c>
      <c r="E530" s="28" t="s">
        <v>1410</v>
      </c>
      <c r="F530" s="32">
        <v>1050</v>
      </c>
      <c r="G530" s="44" t="s">
        <v>1411</v>
      </c>
      <c r="H530" s="44"/>
      <c r="I530" s="27" t="s">
        <v>1412</v>
      </c>
      <c r="J530" s="27" t="s">
        <v>7</v>
      </c>
    </row>
    <row r="531" spans="1:10" ht="32.4" x14ac:dyDescent="0.3">
      <c r="A531" s="2" t="s">
        <v>52</v>
      </c>
      <c r="B531" s="26" t="s">
        <v>1398</v>
      </c>
      <c r="C531" s="26" t="s">
        <v>1413</v>
      </c>
      <c r="D531" s="28" t="s">
        <v>245</v>
      </c>
      <c r="E531" s="28" t="s">
        <v>1414</v>
      </c>
      <c r="F531" s="32">
        <v>331</v>
      </c>
      <c r="G531" s="44" t="s">
        <v>1415</v>
      </c>
      <c r="H531" s="44"/>
      <c r="I531" s="27" t="s">
        <v>248</v>
      </c>
      <c r="J531" s="27" t="s">
        <v>7</v>
      </c>
    </row>
    <row r="532" spans="1:10" ht="32.4" x14ac:dyDescent="0.3">
      <c r="A532" s="2" t="s">
        <v>52</v>
      </c>
      <c r="B532" s="26" t="s">
        <v>1398</v>
      </c>
      <c r="C532" s="26" t="s">
        <v>1413</v>
      </c>
      <c r="D532" s="28" t="s">
        <v>245</v>
      </c>
      <c r="E532" s="28" t="s">
        <v>1416</v>
      </c>
      <c r="F532" s="32">
        <v>1302</v>
      </c>
      <c r="G532" s="44" t="s">
        <v>1417</v>
      </c>
      <c r="H532" s="44"/>
      <c r="I532" s="27" t="s">
        <v>248</v>
      </c>
      <c r="J532" s="27" t="s">
        <v>7</v>
      </c>
    </row>
    <row r="533" spans="1:10" ht="32.4" x14ac:dyDescent="0.3">
      <c r="A533" s="2" t="s">
        <v>52</v>
      </c>
      <c r="B533" s="26" t="s">
        <v>1398</v>
      </c>
      <c r="C533" s="26" t="s">
        <v>1413</v>
      </c>
      <c r="D533" s="28" t="s">
        <v>422</v>
      </c>
      <c r="E533" s="28" t="s">
        <v>1418</v>
      </c>
      <c r="F533" s="32">
        <v>2809</v>
      </c>
      <c r="G533" s="44" t="s">
        <v>1419</v>
      </c>
      <c r="H533" s="44"/>
      <c r="I533" s="27" t="s">
        <v>248</v>
      </c>
      <c r="J533" s="27" t="s">
        <v>7</v>
      </c>
    </row>
    <row r="534" spans="1:10" ht="32.4" x14ac:dyDescent="0.3">
      <c r="A534" s="2" t="s">
        <v>52</v>
      </c>
      <c r="B534" s="26" t="s">
        <v>1398</v>
      </c>
      <c r="C534" s="26" t="s">
        <v>1413</v>
      </c>
      <c r="D534" s="28" t="s">
        <v>216</v>
      </c>
      <c r="E534" s="28" t="s">
        <v>1420</v>
      </c>
      <c r="F534" s="32">
        <v>639</v>
      </c>
      <c r="G534" s="44" t="s">
        <v>1421</v>
      </c>
      <c r="H534" s="44"/>
      <c r="I534" s="27" t="s">
        <v>133</v>
      </c>
      <c r="J534" s="27" t="s">
        <v>7</v>
      </c>
    </row>
    <row r="535" spans="1:10" x14ac:dyDescent="0.3">
      <c r="A535" s="2" t="s">
        <v>52</v>
      </c>
      <c r="B535" s="26" t="s">
        <v>1398</v>
      </c>
      <c r="C535" s="26" t="s">
        <v>1413</v>
      </c>
      <c r="D535" s="28" t="s">
        <v>1086</v>
      </c>
      <c r="E535" s="28" t="s">
        <v>1422</v>
      </c>
      <c r="F535" s="32">
        <v>207</v>
      </c>
      <c r="G535" s="44" t="s">
        <v>1423</v>
      </c>
      <c r="H535" s="44"/>
      <c r="I535" s="27" t="s">
        <v>70</v>
      </c>
      <c r="J535" s="27" t="s">
        <v>7</v>
      </c>
    </row>
    <row r="536" spans="1:10" ht="32.4" x14ac:dyDescent="0.3">
      <c r="A536" s="2" t="s">
        <v>52</v>
      </c>
      <c r="B536" s="26" t="s">
        <v>1398</v>
      </c>
      <c r="C536" s="26" t="s">
        <v>1413</v>
      </c>
      <c r="D536" s="28" t="s">
        <v>141</v>
      </c>
      <c r="E536" s="28" t="s">
        <v>1424</v>
      </c>
      <c r="F536" s="32">
        <v>1090</v>
      </c>
      <c r="G536" s="44" t="s">
        <v>1425</v>
      </c>
      <c r="H536" s="44"/>
      <c r="I536" s="27" t="s">
        <v>347</v>
      </c>
      <c r="J536" s="27" t="s">
        <v>7</v>
      </c>
    </row>
    <row r="537" spans="1:10" ht="32.4" x14ac:dyDescent="0.3">
      <c r="A537" s="2" t="s">
        <v>52</v>
      </c>
      <c r="B537" s="26" t="s">
        <v>1398</v>
      </c>
      <c r="C537" s="26" t="s">
        <v>1413</v>
      </c>
      <c r="D537" s="28" t="s">
        <v>216</v>
      </c>
      <c r="E537" s="28" t="s">
        <v>1426</v>
      </c>
      <c r="F537" s="32">
        <v>635</v>
      </c>
      <c r="G537" s="44" t="s">
        <v>1427</v>
      </c>
      <c r="H537" s="44"/>
      <c r="I537" s="27" t="s">
        <v>84</v>
      </c>
      <c r="J537" s="27" t="s">
        <v>7</v>
      </c>
    </row>
    <row r="538" spans="1:10" ht="32.4" x14ac:dyDescent="0.3">
      <c r="A538" s="2" t="s">
        <v>52</v>
      </c>
      <c r="B538" s="26" t="s">
        <v>1398</v>
      </c>
      <c r="C538" s="26" t="s">
        <v>1413</v>
      </c>
      <c r="D538" s="28" t="s">
        <v>216</v>
      </c>
      <c r="E538" s="28" t="s">
        <v>1428</v>
      </c>
      <c r="F538" s="32">
        <v>1932</v>
      </c>
      <c r="G538" s="44" t="s">
        <v>1429</v>
      </c>
      <c r="H538" s="44"/>
      <c r="I538" s="27" t="s">
        <v>74</v>
      </c>
      <c r="J538" s="27" t="s">
        <v>7</v>
      </c>
    </row>
    <row r="539" spans="1:10" ht="32.4" x14ac:dyDescent="0.3">
      <c r="A539" s="2" t="s">
        <v>52</v>
      </c>
      <c r="B539" s="26" t="s">
        <v>1398</v>
      </c>
      <c r="C539" s="26" t="s">
        <v>1413</v>
      </c>
      <c r="D539" s="28" t="s">
        <v>121</v>
      </c>
      <c r="E539" s="28" t="s">
        <v>1430</v>
      </c>
      <c r="F539" s="32">
        <v>1200</v>
      </c>
      <c r="G539" s="44" t="s">
        <v>1431</v>
      </c>
      <c r="H539" s="44"/>
      <c r="I539" s="27" t="s">
        <v>499</v>
      </c>
      <c r="J539" s="27" t="s">
        <v>7</v>
      </c>
    </row>
    <row r="540" spans="1:10" ht="32.4" x14ac:dyDescent="0.3">
      <c r="A540" s="2" t="s">
        <v>52</v>
      </c>
      <c r="B540" s="26" t="s">
        <v>1398</v>
      </c>
      <c r="C540" s="26" t="s">
        <v>1413</v>
      </c>
      <c r="D540" s="28" t="s">
        <v>141</v>
      </c>
      <c r="E540" s="28" t="s">
        <v>1432</v>
      </c>
      <c r="F540" s="32">
        <v>5000</v>
      </c>
      <c r="G540" s="44" t="s">
        <v>1433</v>
      </c>
      <c r="H540" s="44"/>
      <c r="I540" s="27" t="s">
        <v>102</v>
      </c>
      <c r="J540" s="27" t="s">
        <v>7</v>
      </c>
    </row>
    <row r="541" spans="1:10" ht="32.4" x14ac:dyDescent="0.3">
      <c r="A541" s="2" t="s">
        <v>52</v>
      </c>
      <c r="B541" s="26" t="s">
        <v>1398</v>
      </c>
      <c r="C541" s="26" t="s">
        <v>1413</v>
      </c>
      <c r="D541" s="28" t="s">
        <v>121</v>
      </c>
      <c r="E541" s="28" t="s">
        <v>1434</v>
      </c>
      <c r="F541" s="32">
        <v>235</v>
      </c>
      <c r="G541" s="44" t="s">
        <v>1435</v>
      </c>
      <c r="H541" s="44"/>
      <c r="I541" s="27" t="s">
        <v>98</v>
      </c>
      <c r="J541" s="27" t="s">
        <v>7</v>
      </c>
    </row>
    <row r="542" spans="1:10" ht="32.4" x14ac:dyDescent="0.3">
      <c r="A542" s="2" t="s">
        <v>52</v>
      </c>
      <c r="B542" s="26" t="s">
        <v>1398</v>
      </c>
      <c r="C542" s="26" t="s">
        <v>1413</v>
      </c>
      <c r="D542" s="28" t="s">
        <v>232</v>
      </c>
      <c r="E542" s="28" t="s">
        <v>1436</v>
      </c>
      <c r="F542" s="32">
        <v>2000</v>
      </c>
      <c r="G542" s="44" t="s">
        <v>1437</v>
      </c>
      <c r="H542" s="44"/>
      <c r="I542" s="27" t="s">
        <v>98</v>
      </c>
      <c r="J542" s="27" t="s">
        <v>7</v>
      </c>
    </row>
    <row r="543" spans="1:10" x14ac:dyDescent="0.3">
      <c r="A543" s="2" t="s">
        <v>44</v>
      </c>
      <c r="B543" s="26" t="s">
        <v>1398</v>
      </c>
      <c r="C543" s="26" t="s">
        <v>330</v>
      </c>
      <c r="D543" s="28" t="s">
        <v>7</v>
      </c>
      <c r="E543" s="28" t="s">
        <v>1438</v>
      </c>
      <c r="F543" s="32">
        <v>1250</v>
      </c>
      <c r="G543" s="44" t="s">
        <v>1439</v>
      </c>
      <c r="H543" s="44"/>
      <c r="I543" s="27" t="s">
        <v>1352</v>
      </c>
      <c r="J543" s="27" t="s">
        <v>7</v>
      </c>
    </row>
    <row r="544" spans="1:10" x14ac:dyDescent="0.3">
      <c r="A544" s="2" t="s">
        <v>44</v>
      </c>
      <c r="B544" s="26" t="s">
        <v>1398</v>
      </c>
      <c r="C544" s="26" t="s">
        <v>46</v>
      </c>
      <c r="D544" s="28" t="s">
        <v>7</v>
      </c>
      <c r="E544" s="28" t="s">
        <v>1440</v>
      </c>
      <c r="F544" s="32">
        <v>17000</v>
      </c>
      <c r="G544" s="44" t="s">
        <v>1441</v>
      </c>
      <c r="H544" s="44"/>
      <c r="I544" s="27" t="s">
        <v>1442</v>
      </c>
      <c r="J544" s="27" t="s">
        <v>7</v>
      </c>
    </row>
    <row r="545" spans="1:10" x14ac:dyDescent="0.3">
      <c r="A545" s="2" t="s">
        <v>44</v>
      </c>
      <c r="B545" s="26" t="s">
        <v>1398</v>
      </c>
      <c r="C545" s="26" t="s">
        <v>46</v>
      </c>
      <c r="D545" s="28" t="s">
        <v>7</v>
      </c>
      <c r="E545" s="28" t="s">
        <v>1443</v>
      </c>
      <c r="F545" s="32">
        <v>3290</v>
      </c>
      <c r="G545" s="44" t="s">
        <v>1444</v>
      </c>
      <c r="H545" s="44"/>
      <c r="I545" s="27" t="s">
        <v>1232</v>
      </c>
      <c r="J545" s="27" t="s">
        <v>7</v>
      </c>
    </row>
    <row r="546" spans="1:10" x14ac:dyDescent="0.3">
      <c r="A546" s="2" t="s">
        <v>52</v>
      </c>
      <c r="B546" s="26" t="s">
        <v>1445</v>
      </c>
      <c r="C546" s="26" t="s">
        <v>1446</v>
      </c>
      <c r="D546" s="28" t="s">
        <v>62</v>
      </c>
      <c r="E546" s="28" t="s">
        <v>1447</v>
      </c>
      <c r="F546" s="32">
        <v>77812</v>
      </c>
      <c r="G546" s="44" t="s">
        <v>1448</v>
      </c>
      <c r="H546" s="44"/>
      <c r="I546" s="27" t="s">
        <v>1449</v>
      </c>
      <c r="J546" s="27" t="s">
        <v>7</v>
      </c>
    </row>
    <row r="547" spans="1:10" ht="32.4" x14ac:dyDescent="0.3">
      <c r="A547" s="2" t="s">
        <v>52</v>
      </c>
      <c r="B547" s="26" t="s">
        <v>1445</v>
      </c>
      <c r="C547" s="26" t="s">
        <v>1450</v>
      </c>
      <c r="D547" s="28" t="s">
        <v>115</v>
      </c>
      <c r="E547" s="28" t="s">
        <v>1451</v>
      </c>
      <c r="F547" s="32">
        <v>15600</v>
      </c>
      <c r="G547" s="44" t="s">
        <v>1452</v>
      </c>
      <c r="H547" s="44"/>
      <c r="I547" s="27" t="s">
        <v>98</v>
      </c>
      <c r="J547" s="27" t="s">
        <v>7</v>
      </c>
    </row>
    <row r="548" spans="1:10" ht="32.4" x14ac:dyDescent="0.3">
      <c r="A548" s="2" t="s">
        <v>52</v>
      </c>
      <c r="B548" s="26" t="s">
        <v>1445</v>
      </c>
      <c r="C548" s="26" t="s">
        <v>1453</v>
      </c>
      <c r="D548" s="28" t="s">
        <v>1094</v>
      </c>
      <c r="E548" s="28" t="s">
        <v>1454</v>
      </c>
      <c r="F548" s="32">
        <v>2000</v>
      </c>
      <c r="G548" s="44" t="s">
        <v>1455</v>
      </c>
      <c r="H548" s="44"/>
      <c r="I548" s="27" t="s">
        <v>74</v>
      </c>
      <c r="J548" s="27" t="s">
        <v>7</v>
      </c>
    </row>
    <row r="549" spans="1:10" ht="32.4" x14ac:dyDescent="0.3">
      <c r="A549" s="2" t="s">
        <v>52</v>
      </c>
      <c r="B549" s="26" t="s">
        <v>1445</v>
      </c>
      <c r="C549" s="26" t="s">
        <v>1453</v>
      </c>
      <c r="D549" s="28" t="s">
        <v>245</v>
      </c>
      <c r="E549" s="28" t="s">
        <v>1456</v>
      </c>
      <c r="F549" s="32">
        <v>5820</v>
      </c>
      <c r="G549" s="44" t="s">
        <v>1457</v>
      </c>
      <c r="H549" s="44"/>
      <c r="I549" s="27" t="s">
        <v>248</v>
      </c>
      <c r="J549" s="27" t="s">
        <v>7</v>
      </c>
    </row>
    <row r="550" spans="1:10" ht="32.4" x14ac:dyDescent="0.3">
      <c r="A550" s="2" t="s">
        <v>52</v>
      </c>
      <c r="B550" s="26" t="s">
        <v>1445</v>
      </c>
      <c r="C550" s="26" t="s">
        <v>1453</v>
      </c>
      <c r="D550" s="28" t="s">
        <v>245</v>
      </c>
      <c r="E550" s="28" t="s">
        <v>1458</v>
      </c>
      <c r="F550" s="32">
        <v>848</v>
      </c>
      <c r="G550" s="44" t="s">
        <v>1459</v>
      </c>
      <c r="H550" s="44"/>
      <c r="I550" s="27" t="s">
        <v>248</v>
      </c>
      <c r="J550" s="27" t="s">
        <v>7</v>
      </c>
    </row>
    <row r="551" spans="1:10" ht="32.4" x14ac:dyDescent="0.3">
      <c r="A551" s="2" t="s">
        <v>52</v>
      </c>
      <c r="B551" s="26" t="s">
        <v>1445</v>
      </c>
      <c r="C551" s="26" t="s">
        <v>1453</v>
      </c>
      <c r="D551" s="28" t="s">
        <v>245</v>
      </c>
      <c r="E551" s="28" t="s">
        <v>1460</v>
      </c>
      <c r="F551" s="32">
        <v>1647</v>
      </c>
      <c r="G551" s="44" t="s">
        <v>1461</v>
      </c>
      <c r="H551" s="44"/>
      <c r="I551" s="27" t="s">
        <v>248</v>
      </c>
      <c r="J551" s="27" t="s">
        <v>7</v>
      </c>
    </row>
    <row r="552" spans="1:10" ht="32.4" x14ac:dyDescent="0.3">
      <c r="A552" s="2" t="s">
        <v>52</v>
      </c>
      <c r="B552" s="26" t="s">
        <v>1445</v>
      </c>
      <c r="C552" s="26" t="s">
        <v>1453</v>
      </c>
      <c r="D552" s="28" t="s">
        <v>245</v>
      </c>
      <c r="E552" s="28" t="s">
        <v>1462</v>
      </c>
      <c r="F552" s="32">
        <v>7622</v>
      </c>
      <c r="G552" s="44" t="s">
        <v>1463</v>
      </c>
      <c r="H552" s="44"/>
      <c r="I552" s="27" t="s">
        <v>248</v>
      </c>
      <c r="J552" s="27" t="s">
        <v>7</v>
      </c>
    </row>
    <row r="553" spans="1:10" ht="32.4" x14ac:dyDescent="0.3">
      <c r="A553" s="2" t="s">
        <v>52</v>
      </c>
      <c r="B553" s="26" t="s">
        <v>1445</v>
      </c>
      <c r="C553" s="26" t="s">
        <v>1453</v>
      </c>
      <c r="D553" s="28" t="s">
        <v>245</v>
      </c>
      <c r="E553" s="28" t="s">
        <v>1464</v>
      </c>
      <c r="F553" s="32">
        <v>5642</v>
      </c>
      <c r="G553" s="44" t="s">
        <v>1465</v>
      </c>
      <c r="H553" s="44"/>
      <c r="I553" s="27" t="s">
        <v>248</v>
      </c>
      <c r="J553" s="27" t="s">
        <v>7</v>
      </c>
    </row>
    <row r="554" spans="1:10" ht="32.4" x14ac:dyDescent="0.3">
      <c r="A554" s="2" t="s">
        <v>52</v>
      </c>
      <c r="B554" s="26" t="s">
        <v>1445</v>
      </c>
      <c r="C554" s="26" t="s">
        <v>1453</v>
      </c>
      <c r="D554" s="28" t="s">
        <v>245</v>
      </c>
      <c r="E554" s="28" t="s">
        <v>1466</v>
      </c>
      <c r="F554" s="32">
        <v>1388</v>
      </c>
      <c r="G554" s="44" t="s">
        <v>1467</v>
      </c>
      <c r="H554" s="44"/>
      <c r="I554" s="27" t="s">
        <v>248</v>
      </c>
      <c r="J554" s="27" t="s">
        <v>7</v>
      </c>
    </row>
    <row r="555" spans="1:10" ht="32.4" x14ac:dyDescent="0.3">
      <c r="A555" s="2" t="s">
        <v>52</v>
      </c>
      <c r="B555" s="26" t="s">
        <v>1445</v>
      </c>
      <c r="C555" s="26" t="s">
        <v>1453</v>
      </c>
      <c r="D555" s="28" t="s">
        <v>121</v>
      </c>
      <c r="E555" s="28" t="s">
        <v>1468</v>
      </c>
      <c r="F555" s="32">
        <v>600</v>
      </c>
      <c r="G555" s="44" t="s">
        <v>1469</v>
      </c>
      <c r="H555" s="44"/>
      <c r="I555" s="27" t="s">
        <v>248</v>
      </c>
      <c r="J555" s="27" t="s">
        <v>7</v>
      </c>
    </row>
    <row r="556" spans="1:10" ht="32.4" x14ac:dyDescent="0.3">
      <c r="A556" s="2" t="s">
        <v>52</v>
      </c>
      <c r="B556" s="26" t="s">
        <v>1445</v>
      </c>
      <c r="C556" s="26" t="s">
        <v>1453</v>
      </c>
      <c r="D556" s="28" t="s">
        <v>141</v>
      </c>
      <c r="E556" s="28" t="s">
        <v>1470</v>
      </c>
      <c r="F556" s="32">
        <v>67</v>
      </c>
      <c r="G556" s="44" t="s">
        <v>1471</v>
      </c>
      <c r="H556" s="44"/>
      <c r="I556" s="27" t="s">
        <v>1197</v>
      </c>
      <c r="J556" s="27" t="s">
        <v>7</v>
      </c>
    </row>
    <row r="557" spans="1:10" ht="32.4" x14ac:dyDescent="0.3">
      <c r="A557" s="2" t="s">
        <v>52</v>
      </c>
      <c r="B557" s="26" t="s">
        <v>1445</v>
      </c>
      <c r="C557" s="26" t="s">
        <v>1453</v>
      </c>
      <c r="D557" s="28" t="s">
        <v>121</v>
      </c>
      <c r="E557" s="28" t="s">
        <v>1472</v>
      </c>
      <c r="F557" s="32">
        <v>3800</v>
      </c>
      <c r="G557" s="44" t="s">
        <v>1473</v>
      </c>
      <c r="H557" s="44"/>
      <c r="I557" s="27" t="s">
        <v>842</v>
      </c>
      <c r="J557" s="27" t="s">
        <v>7</v>
      </c>
    </row>
    <row r="558" spans="1:10" x14ac:dyDescent="0.3">
      <c r="A558" s="2" t="s">
        <v>52</v>
      </c>
      <c r="B558" s="26" t="s">
        <v>1445</v>
      </c>
      <c r="C558" s="26" t="s">
        <v>1453</v>
      </c>
      <c r="D558" s="28" t="s">
        <v>62</v>
      </c>
      <c r="E558" s="28" t="s">
        <v>1474</v>
      </c>
      <c r="F558" s="32">
        <v>5000</v>
      </c>
      <c r="G558" s="44" t="s">
        <v>1475</v>
      </c>
      <c r="H558" s="44"/>
      <c r="I558" s="27" t="s">
        <v>1476</v>
      </c>
      <c r="J558" s="27" t="s">
        <v>7</v>
      </c>
    </row>
    <row r="559" spans="1:10" x14ac:dyDescent="0.3">
      <c r="A559" s="2" t="s">
        <v>52</v>
      </c>
      <c r="B559" s="26" t="s">
        <v>1445</v>
      </c>
      <c r="C559" s="26" t="s">
        <v>1453</v>
      </c>
      <c r="D559" s="28" t="s">
        <v>124</v>
      </c>
      <c r="E559" s="28" t="s">
        <v>1477</v>
      </c>
      <c r="F559" s="32">
        <v>80</v>
      </c>
      <c r="G559" s="44" t="s">
        <v>1478</v>
      </c>
      <c r="H559" s="44"/>
      <c r="I559" s="27" t="s">
        <v>1122</v>
      </c>
      <c r="J559" s="27" t="s">
        <v>7</v>
      </c>
    </row>
    <row r="560" spans="1:10" ht="32.4" x14ac:dyDescent="0.3">
      <c r="A560" s="2" t="s">
        <v>52</v>
      </c>
      <c r="B560" s="26" t="s">
        <v>1445</v>
      </c>
      <c r="C560" s="26" t="s">
        <v>1453</v>
      </c>
      <c r="D560" s="28" t="s">
        <v>216</v>
      </c>
      <c r="E560" s="28" t="s">
        <v>1479</v>
      </c>
      <c r="F560" s="32">
        <v>9500</v>
      </c>
      <c r="G560" s="44" t="s">
        <v>1480</v>
      </c>
      <c r="H560" s="44"/>
      <c r="I560" s="27" t="s">
        <v>1122</v>
      </c>
      <c r="J560" s="27" t="s">
        <v>7</v>
      </c>
    </row>
    <row r="561" spans="1:10" ht="32.4" x14ac:dyDescent="0.3">
      <c r="A561" s="2" t="s">
        <v>52</v>
      </c>
      <c r="B561" s="26" t="s">
        <v>1445</v>
      </c>
      <c r="C561" s="26" t="s">
        <v>1453</v>
      </c>
      <c r="D561" s="28" t="s">
        <v>141</v>
      </c>
      <c r="E561" s="28" t="s">
        <v>1481</v>
      </c>
      <c r="F561" s="32">
        <v>1395</v>
      </c>
      <c r="G561" s="44" t="s">
        <v>1482</v>
      </c>
      <c r="H561" s="44"/>
      <c r="I561" s="27" t="s">
        <v>328</v>
      </c>
      <c r="J561" s="27" t="s">
        <v>7</v>
      </c>
    </row>
    <row r="562" spans="1:10" ht="32.4" x14ac:dyDescent="0.3">
      <c r="A562" s="2" t="s">
        <v>52</v>
      </c>
      <c r="B562" s="26" t="s">
        <v>1445</v>
      </c>
      <c r="C562" s="26" t="s">
        <v>1483</v>
      </c>
      <c r="D562" s="28" t="s">
        <v>1484</v>
      </c>
      <c r="E562" s="28" t="s">
        <v>1485</v>
      </c>
      <c r="F562" s="32">
        <v>5565</v>
      </c>
      <c r="G562" s="44" t="s">
        <v>1486</v>
      </c>
      <c r="H562" s="44"/>
      <c r="I562" s="27" t="s">
        <v>1487</v>
      </c>
      <c r="J562" s="27" t="s">
        <v>7</v>
      </c>
    </row>
    <row r="563" spans="1:10" ht="32.4" x14ac:dyDescent="0.3">
      <c r="A563" s="2" t="s">
        <v>52</v>
      </c>
      <c r="B563" s="26" t="s">
        <v>1445</v>
      </c>
      <c r="C563" s="26" t="s">
        <v>1483</v>
      </c>
      <c r="D563" s="28" t="s">
        <v>216</v>
      </c>
      <c r="E563" s="28" t="s">
        <v>1488</v>
      </c>
      <c r="F563" s="32">
        <v>629</v>
      </c>
      <c r="G563" s="44" t="s">
        <v>1489</v>
      </c>
      <c r="H563" s="44"/>
      <c r="I563" s="27" t="s">
        <v>133</v>
      </c>
      <c r="J563" s="27" t="s">
        <v>7</v>
      </c>
    </row>
    <row r="564" spans="1:10" ht="32.4" x14ac:dyDescent="0.3">
      <c r="A564" s="2" t="s">
        <v>52</v>
      </c>
      <c r="B564" s="26" t="s">
        <v>1445</v>
      </c>
      <c r="C564" s="26" t="s">
        <v>1483</v>
      </c>
      <c r="D564" s="28" t="s">
        <v>245</v>
      </c>
      <c r="E564" s="28" t="s">
        <v>1490</v>
      </c>
      <c r="F564" s="32">
        <v>9800</v>
      </c>
      <c r="G564" s="44" t="s">
        <v>1491</v>
      </c>
      <c r="H564" s="44"/>
      <c r="I564" s="27" t="s">
        <v>1412</v>
      </c>
      <c r="J564" s="27" t="s">
        <v>7</v>
      </c>
    </row>
    <row r="565" spans="1:10" ht="32.4" x14ac:dyDescent="0.3">
      <c r="A565" s="2" t="s">
        <v>52</v>
      </c>
      <c r="B565" s="26" t="s">
        <v>1445</v>
      </c>
      <c r="C565" s="26" t="s">
        <v>1483</v>
      </c>
      <c r="D565" s="28" t="s">
        <v>216</v>
      </c>
      <c r="E565" s="28" t="s">
        <v>1492</v>
      </c>
      <c r="F565" s="32">
        <v>639</v>
      </c>
      <c r="G565" s="44" t="s">
        <v>1493</v>
      </c>
      <c r="H565" s="44"/>
      <c r="I565" s="27" t="s">
        <v>49</v>
      </c>
      <c r="J565" s="27" t="s">
        <v>7</v>
      </c>
    </row>
    <row r="566" spans="1:10" ht="32.4" x14ac:dyDescent="0.3">
      <c r="A566" s="2" t="s">
        <v>52</v>
      </c>
      <c r="B566" s="26" t="s">
        <v>1445</v>
      </c>
      <c r="C566" s="26" t="s">
        <v>1483</v>
      </c>
      <c r="D566" s="28" t="s">
        <v>141</v>
      </c>
      <c r="E566" s="28" t="s">
        <v>1494</v>
      </c>
      <c r="F566" s="32">
        <v>9900</v>
      </c>
      <c r="G566" s="44" t="s">
        <v>1495</v>
      </c>
      <c r="H566" s="44"/>
      <c r="I566" s="27" t="s">
        <v>239</v>
      </c>
      <c r="J566" s="27" t="s">
        <v>7</v>
      </c>
    </row>
    <row r="567" spans="1:10" ht="32.4" x14ac:dyDescent="0.3">
      <c r="A567" s="2" t="s">
        <v>52</v>
      </c>
      <c r="B567" s="26" t="s">
        <v>1445</v>
      </c>
      <c r="C567" s="26" t="s">
        <v>1483</v>
      </c>
      <c r="D567" s="28" t="s">
        <v>130</v>
      </c>
      <c r="E567" s="28" t="s">
        <v>1496</v>
      </c>
      <c r="F567" s="32">
        <v>1320</v>
      </c>
      <c r="G567" s="44" t="s">
        <v>1497</v>
      </c>
      <c r="H567" s="44"/>
      <c r="I567" s="27" t="s">
        <v>168</v>
      </c>
      <c r="J567" s="27" t="s">
        <v>7</v>
      </c>
    </row>
    <row r="568" spans="1:10" ht="32.4" x14ac:dyDescent="0.3">
      <c r="A568" s="2" t="s">
        <v>52</v>
      </c>
      <c r="B568" s="26" t="s">
        <v>1445</v>
      </c>
      <c r="C568" s="26" t="s">
        <v>1483</v>
      </c>
      <c r="D568" s="28" t="s">
        <v>121</v>
      </c>
      <c r="E568" s="28" t="s">
        <v>1498</v>
      </c>
      <c r="F568" s="32">
        <v>2716</v>
      </c>
      <c r="G568" s="44" t="s">
        <v>1499</v>
      </c>
      <c r="H568" s="44"/>
      <c r="I568" s="27" t="s">
        <v>168</v>
      </c>
      <c r="J568" s="27" t="s">
        <v>7</v>
      </c>
    </row>
    <row r="569" spans="1:10" x14ac:dyDescent="0.3">
      <c r="A569" s="2" t="s">
        <v>52</v>
      </c>
      <c r="B569" s="26" t="s">
        <v>1445</v>
      </c>
      <c r="C569" s="26" t="s">
        <v>1500</v>
      </c>
      <c r="D569" s="28" t="s">
        <v>62</v>
      </c>
      <c r="E569" s="28" t="s">
        <v>1501</v>
      </c>
      <c r="F569" s="32">
        <v>18000</v>
      </c>
      <c r="G569" s="44" t="s">
        <v>1502</v>
      </c>
      <c r="H569" s="44"/>
      <c r="I569" s="27" t="s">
        <v>239</v>
      </c>
      <c r="J569" s="27" t="s">
        <v>7</v>
      </c>
    </row>
    <row r="570" spans="1:10" ht="32.4" x14ac:dyDescent="0.3">
      <c r="A570" s="2" t="s">
        <v>52</v>
      </c>
      <c r="B570" s="26" t="s">
        <v>1445</v>
      </c>
      <c r="C570" s="26" t="s">
        <v>1503</v>
      </c>
      <c r="D570" s="28" t="s">
        <v>1504</v>
      </c>
      <c r="E570" s="28" t="s">
        <v>1505</v>
      </c>
      <c r="F570" s="32">
        <v>12500</v>
      </c>
      <c r="G570" s="44" t="s">
        <v>1506</v>
      </c>
      <c r="H570" s="44"/>
      <c r="I570" s="27" t="s">
        <v>499</v>
      </c>
      <c r="J570" s="27" t="s">
        <v>7</v>
      </c>
    </row>
    <row r="571" spans="1:10" ht="32.4" x14ac:dyDescent="0.3">
      <c r="A571" s="2" t="s">
        <v>52</v>
      </c>
      <c r="B571" s="26" t="s">
        <v>1445</v>
      </c>
      <c r="C571" s="26" t="s">
        <v>1507</v>
      </c>
      <c r="D571" s="28" t="s">
        <v>55</v>
      </c>
      <c r="E571" s="28" t="s">
        <v>1508</v>
      </c>
      <c r="F571" s="32">
        <v>2000</v>
      </c>
      <c r="G571" s="44" t="s">
        <v>1509</v>
      </c>
      <c r="H571" s="44"/>
      <c r="I571" s="27" t="s">
        <v>58</v>
      </c>
      <c r="J571" s="27" t="s">
        <v>7</v>
      </c>
    </row>
    <row r="572" spans="1:10" ht="32.4" x14ac:dyDescent="0.3">
      <c r="A572" s="2" t="s">
        <v>52</v>
      </c>
      <c r="B572" s="26" t="s">
        <v>1445</v>
      </c>
      <c r="C572" s="26" t="s">
        <v>1507</v>
      </c>
      <c r="D572" s="28" t="s">
        <v>55</v>
      </c>
      <c r="E572" s="28" t="s">
        <v>1510</v>
      </c>
      <c r="F572" s="32">
        <v>4000</v>
      </c>
      <c r="G572" s="44" t="s">
        <v>1511</v>
      </c>
      <c r="H572" s="44"/>
      <c r="I572" s="27" t="s">
        <v>342</v>
      </c>
      <c r="J572" s="27" t="s">
        <v>7</v>
      </c>
    </row>
    <row r="573" spans="1:10" ht="32.4" x14ac:dyDescent="0.3">
      <c r="A573" s="2" t="s">
        <v>52</v>
      </c>
      <c r="B573" s="26" t="s">
        <v>1445</v>
      </c>
      <c r="C573" s="26" t="s">
        <v>1507</v>
      </c>
      <c r="D573" s="28" t="s">
        <v>232</v>
      </c>
      <c r="E573" s="28" t="s">
        <v>1512</v>
      </c>
      <c r="F573" s="32">
        <v>2000</v>
      </c>
      <c r="G573" s="44" t="s">
        <v>1513</v>
      </c>
      <c r="H573" s="44"/>
      <c r="I573" s="27" t="s">
        <v>98</v>
      </c>
      <c r="J573" s="27" t="s">
        <v>7</v>
      </c>
    </row>
    <row r="574" spans="1:10" ht="32.4" x14ac:dyDescent="0.3">
      <c r="A574" s="2" t="s">
        <v>52</v>
      </c>
      <c r="B574" s="26" t="s">
        <v>1445</v>
      </c>
      <c r="C574" s="26" t="s">
        <v>1507</v>
      </c>
      <c r="D574" s="28" t="s">
        <v>232</v>
      </c>
      <c r="E574" s="28" t="s">
        <v>1514</v>
      </c>
      <c r="F574" s="32">
        <v>2000</v>
      </c>
      <c r="G574" s="44" t="s">
        <v>1515</v>
      </c>
      <c r="H574" s="44"/>
      <c r="I574" s="27" t="s">
        <v>98</v>
      </c>
      <c r="J574" s="27" t="s">
        <v>7</v>
      </c>
    </row>
    <row r="575" spans="1:10" ht="32.4" x14ac:dyDescent="0.3">
      <c r="A575" s="2" t="s">
        <v>52</v>
      </c>
      <c r="B575" s="26" t="s">
        <v>1516</v>
      </c>
      <c r="C575" s="26" t="s">
        <v>1517</v>
      </c>
      <c r="D575" s="28" t="s">
        <v>147</v>
      </c>
      <c r="E575" s="28" t="s">
        <v>1518</v>
      </c>
      <c r="F575" s="32">
        <v>10956</v>
      </c>
      <c r="G575" s="44" t="s">
        <v>1519</v>
      </c>
      <c r="H575" s="44"/>
      <c r="I575" s="27" t="s">
        <v>1520</v>
      </c>
      <c r="J575" s="27" t="s">
        <v>7</v>
      </c>
    </row>
    <row r="576" spans="1:10" ht="48.6" x14ac:dyDescent="0.3">
      <c r="A576" s="2" t="s">
        <v>52</v>
      </c>
      <c r="B576" s="26" t="s">
        <v>1516</v>
      </c>
      <c r="C576" s="26" t="s">
        <v>1521</v>
      </c>
      <c r="D576" s="28" t="s">
        <v>110</v>
      </c>
      <c r="E576" s="28" t="s">
        <v>1522</v>
      </c>
      <c r="F576" s="32">
        <v>6127</v>
      </c>
      <c r="G576" s="44" t="s">
        <v>1523</v>
      </c>
      <c r="H576" s="44"/>
      <c r="I576" s="27" t="s">
        <v>499</v>
      </c>
      <c r="J576" s="27" t="s">
        <v>7</v>
      </c>
    </row>
    <row r="577" spans="1:10" ht="32.4" x14ac:dyDescent="0.3">
      <c r="A577" s="2" t="s">
        <v>52</v>
      </c>
      <c r="B577" s="26" t="s">
        <v>1516</v>
      </c>
      <c r="C577" s="26" t="s">
        <v>1524</v>
      </c>
      <c r="D577" s="28" t="s">
        <v>81</v>
      </c>
      <c r="E577" s="28" t="s">
        <v>1525</v>
      </c>
      <c r="F577" s="32">
        <v>14100</v>
      </c>
      <c r="G577" s="44" t="s">
        <v>1526</v>
      </c>
      <c r="H577" s="44"/>
      <c r="I577" s="27" t="s">
        <v>49</v>
      </c>
      <c r="J577" s="27" t="s">
        <v>7</v>
      </c>
    </row>
    <row r="578" spans="1:10" ht="48.6" x14ac:dyDescent="0.3">
      <c r="A578" s="2" t="s">
        <v>52</v>
      </c>
      <c r="B578" s="26" t="s">
        <v>1516</v>
      </c>
      <c r="C578" s="26" t="s">
        <v>1527</v>
      </c>
      <c r="D578" s="28" t="s">
        <v>110</v>
      </c>
      <c r="E578" s="28" t="s">
        <v>1528</v>
      </c>
      <c r="F578" s="32">
        <v>6127</v>
      </c>
      <c r="G578" s="44" t="s">
        <v>1529</v>
      </c>
      <c r="H578" s="44"/>
      <c r="I578" s="27" t="s">
        <v>49</v>
      </c>
      <c r="J578" s="27" t="s">
        <v>7</v>
      </c>
    </row>
    <row r="579" spans="1:10" ht="32.4" x14ac:dyDescent="0.3">
      <c r="A579" s="2" t="s">
        <v>52</v>
      </c>
      <c r="B579" s="26" t="s">
        <v>1516</v>
      </c>
      <c r="C579" s="26" t="s">
        <v>1530</v>
      </c>
      <c r="D579" s="28" t="s">
        <v>81</v>
      </c>
      <c r="E579" s="28" t="s">
        <v>1531</v>
      </c>
      <c r="F579" s="32">
        <v>29505</v>
      </c>
      <c r="G579" s="44" t="s">
        <v>1532</v>
      </c>
      <c r="H579" s="44"/>
      <c r="I579" s="27" t="s">
        <v>133</v>
      </c>
      <c r="J579" s="27" t="s">
        <v>7</v>
      </c>
    </row>
    <row r="580" spans="1:10" ht="32.4" x14ac:dyDescent="0.3">
      <c r="A580" s="2" t="s">
        <v>52</v>
      </c>
      <c r="B580" s="26" t="s">
        <v>1516</v>
      </c>
      <c r="C580" s="26" t="s">
        <v>1533</v>
      </c>
      <c r="D580" s="28" t="s">
        <v>81</v>
      </c>
      <c r="E580" s="28" t="s">
        <v>1534</v>
      </c>
      <c r="F580" s="32">
        <v>61512</v>
      </c>
      <c r="G580" s="44" t="s">
        <v>1535</v>
      </c>
      <c r="H580" s="44"/>
      <c r="I580" s="27" t="s">
        <v>163</v>
      </c>
      <c r="J580" s="27" t="s">
        <v>7</v>
      </c>
    </row>
    <row r="581" spans="1:10" ht="32.4" x14ac:dyDescent="0.3">
      <c r="A581" s="2" t="s">
        <v>52</v>
      </c>
      <c r="B581" s="26" t="s">
        <v>1516</v>
      </c>
      <c r="C581" s="26" t="s">
        <v>1536</v>
      </c>
      <c r="D581" s="28" t="s">
        <v>81</v>
      </c>
      <c r="E581" s="28" t="s">
        <v>1537</v>
      </c>
      <c r="F581" s="32">
        <v>4157</v>
      </c>
      <c r="G581" s="44" t="s">
        <v>1538</v>
      </c>
      <c r="H581" s="44"/>
      <c r="I581" s="27" t="s">
        <v>163</v>
      </c>
      <c r="J581" s="27" t="s">
        <v>7</v>
      </c>
    </row>
    <row r="582" spans="1:10" ht="32.4" x14ac:dyDescent="0.3">
      <c r="A582" s="2" t="s">
        <v>52</v>
      </c>
      <c r="B582" s="26" t="s">
        <v>1516</v>
      </c>
      <c r="C582" s="26" t="s">
        <v>1539</v>
      </c>
      <c r="D582" s="28" t="s">
        <v>81</v>
      </c>
      <c r="E582" s="28" t="s">
        <v>1540</v>
      </c>
      <c r="F582" s="32">
        <v>12698</v>
      </c>
      <c r="G582" s="44" t="s">
        <v>1541</v>
      </c>
      <c r="H582" s="44"/>
      <c r="I582" s="27" t="s">
        <v>163</v>
      </c>
      <c r="J582" s="27" t="s">
        <v>7</v>
      </c>
    </row>
    <row r="583" spans="1:10" ht="32.4" x14ac:dyDescent="0.3">
      <c r="A583" s="2" t="s">
        <v>52</v>
      </c>
      <c r="B583" s="26" t="s">
        <v>1516</v>
      </c>
      <c r="C583" s="26" t="s">
        <v>1542</v>
      </c>
      <c r="D583" s="28" t="s">
        <v>208</v>
      </c>
      <c r="E583" s="28" t="s">
        <v>1543</v>
      </c>
      <c r="F583" s="32">
        <v>103829</v>
      </c>
      <c r="G583" s="44" t="s">
        <v>1544</v>
      </c>
      <c r="H583" s="44"/>
      <c r="I583" s="27" t="s">
        <v>740</v>
      </c>
      <c r="J583" s="27" t="s">
        <v>7</v>
      </c>
    </row>
    <row r="584" spans="1:10" ht="32.4" x14ac:dyDescent="0.3">
      <c r="A584" s="2" t="s">
        <v>1295</v>
      </c>
      <c r="B584" s="26" t="s">
        <v>1516</v>
      </c>
      <c r="C584" s="26" t="s">
        <v>1542</v>
      </c>
      <c r="D584" s="28" t="s">
        <v>737</v>
      </c>
      <c r="E584" s="28" t="s">
        <v>1543</v>
      </c>
      <c r="F584" s="32">
        <v>-103829</v>
      </c>
      <c r="G584" s="44" t="s">
        <v>1544</v>
      </c>
      <c r="H584" s="44"/>
      <c r="I584" s="27" t="s">
        <v>740</v>
      </c>
      <c r="J584" s="27" t="s">
        <v>7</v>
      </c>
    </row>
    <row r="585" spans="1:10" x14ac:dyDescent="0.3">
      <c r="A585" s="2" t="s">
        <v>44</v>
      </c>
      <c r="B585" s="26" t="s">
        <v>1516</v>
      </c>
      <c r="C585" s="26" t="s">
        <v>330</v>
      </c>
      <c r="D585" s="28" t="s">
        <v>7</v>
      </c>
      <c r="E585" s="28" t="s">
        <v>1545</v>
      </c>
      <c r="F585" s="32">
        <v>2042</v>
      </c>
      <c r="G585" s="44" t="s">
        <v>1546</v>
      </c>
      <c r="H585" s="44"/>
      <c r="I585" s="27" t="s">
        <v>211</v>
      </c>
      <c r="J585" s="27" t="s">
        <v>7</v>
      </c>
    </row>
    <row r="586" spans="1:10" x14ac:dyDescent="0.3">
      <c r="A586" s="2" t="s">
        <v>44</v>
      </c>
      <c r="B586" s="26" t="s">
        <v>1516</v>
      </c>
      <c r="C586" s="26" t="s">
        <v>330</v>
      </c>
      <c r="D586" s="28" t="s">
        <v>7</v>
      </c>
      <c r="E586" s="28" t="s">
        <v>1547</v>
      </c>
      <c r="F586" s="32">
        <v>5106</v>
      </c>
      <c r="G586" s="44" t="s">
        <v>1548</v>
      </c>
      <c r="H586" s="44"/>
      <c r="I586" s="27" t="s">
        <v>347</v>
      </c>
      <c r="J586" s="27" t="s">
        <v>7</v>
      </c>
    </row>
    <row r="587" spans="1:10" x14ac:dyDescent="0.3">
      <c r="A587" s="2" t="s">
        <v>44</v>
      </c>
      <c r="B587" s="26" t="s">
        <v>1516</v>
      </c>
      <c r="C587" s="26" t="s">
        <v>46</v>
      </c>
      <c r="D587" s="28" t="s">
        <v>7</v>
      </c>
      <c r="E587" s="28" t="s">
        <v>1549</v>
      </c>
      <c r="F587" s="32">
        <v>1</v>
      </c>
      <c r="G587" s="44" t="s">
        <v>7</v>
      </c>
      <c r="H587" s="44"/>
      <c r="I587" s="27" t="s">
        <v>1550</v>
      </c>
      <c r="J587" s="27" t="s">
        <v>7</v>
      </c>
    </row>
    <row r="588" spans="1:10" x14ac:dyDescent="0.3">
      <c r="A588" s="2" t="s">
        <v>44</v>
      </c>
      <c r="B588" s="26" t="s">
        <v>1516</v>
      </c>
      <c r="C588" s="26" t="s">
        <v>46</v>
      </c>
      <c r="D588" s="28" t="s">
        <v>7</v>
      </c>
      <c r="E588" s="28" t="s">
        <v>1551</v>
      </c>
      <c r="F588" s="32">
        <v>500</v>
      </c>
      <c r="G588" s="44" t="s">
        <v>1552</v>
      </c>
      <c r="H588" s="44"/>
      <c r="I588" s="27" t="s">
        <v>1553</v>
      </c>
      <c r="J588" s="27" t="s">
        <v>7</v>
      </c>
    </row>
    <row r="589" spans="1:10" ht="32.4" x14ac:dyDescent="0.3">
      <c r="A589" s="2" t="s">
        <v>52</v>
      </c>
      <c r="B589" s="26" t="s">
        <v>1554</v>
      </c>
      <c r="C589" s="26" t="s">
        <v>1555</v>
      </c>
      <c r="D589" s="28" t="s">
        <v>121</v>
      </c>
      <c r="E589" s="28" t="s">
        <v>1556</v>
      </c>
      <c r="F589" s="32">
        <v>4523</v>
      </c>
      <c r="G589" s="44" t="s">
        <v>1557</v>
      </c>
      <c r="H589" s="44"/>
      <c r="I589" s="27" t="s">
        <v>133</v>
      </c>
      <c r="J589" s="27" t="s">
        <v>7</v>
      </c>
    </row>
    <row r="590" spans="1:10" ht="32.4" x14ac:dyDescent="0.3">
      <c r="A590" s="2" t="s">
        <v>52</v>
      </c>
      <c r="B590" s="26" t="s">
        <v>1554</v>
      </c>
      <c r="C590" s="26" t="s">
        <v>1555</v>
      </c>
      <c r="D590" s="28" t="s">
        <v>245</v>
      </c>
      <c r="E590" s="28" t="s">
        <v>1558</v>
      </c>
      <c r="F590" s="32">
        <v>903</v>
      </c>
      <c r="G590" s="44" t="s">
        <v>1559</v>
      </c>
      <c r="H590" s="44"/>
      <c r="I590" s="27" t="s">
        <v>838</v>
      </c>
      <c r="J590" s="27" t="s">
        <v>7</v>
      </c>
    </row>
    <row r="591" spans="1:10" ht="32.4" x14ac:dyDescent="0.3">
      <c r="A591" s="2" t="s">
        <v>52</v>
      </c>
      <c r="B591" s="26" t="s">
        <v>1554</v>
      </c>
      <c r="C591" s="26" t="s">
        <v>1555</v>
      </c>
      <c r="D591" s="28" t="s">
        <v>245</v>
      </c>
      <c r="E591" s="28" t="s">
        <v>1560</v>
      </c>
      <c r="F591" s="32">
        <v>998</v>
      </c>
      <c r="G591" s="44" t="s">
        <v>1561</v>
      </c>
      <c r="H591" s="44"/>
      <c r="I591" s="27" t="s">
        <v>838</v>
      </c>
      <c r="J591" s="27" t="s">
        <v>7</v>
      </c>
    </row>
    <row r="592" spans="1:10" x14ac:dyDescent="0.3">
      <c r="A592" s="2" t="s">
        <v>52</v>
      </c>
      <c r="B592" s="26" t="s">
        <v>1554</v>
      </c>
      <c r="C592" s="26" t="s">
        <v>1555</v>
      </c>
      <c r="D592" s="28" t="s">
        <v>124</v>
      </c>
      <c r="E592" s="28" t="s">
        <v>1562</v>
      </c>
      <c r="F592" s="32">
        <v>28</v>
      </c>
      <c r="G592" s="44" t="s">
        <v>1563</v>
      </c>
      <c r="H592" s="44"/>
      <c r="I592" s="27" t="s">
        <v>1279</v>
      </c>
      <c r="J592" s="27" t="s">
        <v>7</v>
      </c>
    </row>
    <row r="593" spans="1:10" ht="32.4" x14ac:dyDescent="0.3">
      <c r="A593" s="2" t="s">
        <v>52</v>
      </c>
      <c r="B593" s="26" t="s">
        <v>1554</v>
      </c>
      <c r="C593" s="26" t="s">
        <v>1555</v>
      </c>
      <c r="D593" s="28" t="s">
        <v>245</v>
      </c>
      <c r="E593" s="28" t="s">
        <v>1562</v>
      </c>
      <c r="F593" s="32">
        <v>2160</v>
      </c>
      <c r="G593" s="44" t="s">
        <v>1563</v>
      </c>
      <c r="H593" s="44"/>
      <c r="I593" s="27" t="s">
        <v>1279</v>
      </c>
      <c r="J593" s="27" t="s">
        <v>7</v>
      </c>
    </row>
    <row r="594" spans="1:10" ht="32.4" x14ac:dyDescent="0.3">
      <c r="A594" s="2" t="s">
        <v>52</v>
      </c>
      <c r="B594" s="26" t="s">
        <v>1554</v>
      </c>
      <c r="C594" s="26" t="s">
        <v>1555</v>
      </c>
      <c r="D594" s="28" t="s">
        <v>141</v>
      </c>
      <c r="E594" s="28" t="s">
        <v>1564</v>
      </c>
      <c r="F594" s="32">
        <v>5000</v>
      </c>
      <c r="G594" s="44" t="s">
        <v>1565</v>
      </c>
      <c r="H594" s="44"/>
      <c r="I594" s="27" t="s">
        <v>102</v>
      </c>
      <c r="J594" s="27" t="s">
        <v>7</v>
      </c>
    </row>
    <row r="595" spans="1:10" ht="32.4" x14ac:dyDescent="0.3">
      <c r="A595" s="2" t="s">
        <v>52</v>
      </c>
      <c r="B595" s="26" t="s">
        <v>1554</v>
      </c>
      <c r="C595" s="26" t="s">
        <v>1555</v>
      </c>
      <c r="D595" s="28" t="s">
        <v>141</v>
      </c>
      <c r="E595" s="28" t="s">
        <v>1566</v>
      </c>
      <c r="F595" s="32">
        <v>5000</v>
      </c>
      <c r="G595" s="44" t="s">
        <v>1567</v>
      </c>
      <c r="H595" s="44"/>
      <c r="I595" s="27" t="s">
        <v>102</v>
      </c>
      <c r="J595" s="27" t="s">
        <v>7</v>
      </c>
    </row>
    <row r="596" spans="1:10" x14ac:dyDescent="0.3">
      <c r="A596" s="2" t="s">
        <v>52</v>
      </c>
      <c r="B596" s="26" t="s">
        <v>1554</v>
      </c>
      <c r="C596" s="26" t="s">
        <v>1555</v>
      </c>
      <c r="D596" s="28" t="s">
        <v>115</v>
      </c>
      <c r="E596" s="28" t="s">
        <v>1568</v>
      </c>
      <c r="F596" s="32">
        <v>7011</v>
      </c>
      <c r="G596" s="44" t="s">
        <v>1569</v>
      </c>
      <c r="H596" s="44"/>
      <c r="I596" s="27" t="s">
        <v>1012</v>
      </c>
      <c r="J596" s="27" t="s">
        <v>7</v>
      </c>
    </row>
    <row r="597" spans="1:10" x14ac:dyDescent="0.3">
      <c r="A597" s="2" t="s">
        <v>52</v>
      </c>
      <c r="B597" s="26" t="s">
        <v>1554</v>
      </c>
      <c r="C597" s="26" t="s">
        <v>1570</v>
      </c>
      <c r="D597" s="28" t="s">
        <v>115</v>
      </c>
      <c r="E597" s="28" t="s">
        <v>1571</v>
      </c>
      <c r="F597" s="32">
        <v>500</v>
      </c>
      <c r="G597" s="44" t="s">
        <v>1572</v>
      </c>
      <c r="H597" s="44"/>
      <c r="I597" s="27" t="s">
        <v>353</v>
      </c>
      <c r="J597" s="27" t="s">
        <v>7</v>
      </c>
    </row>
    <row r="598" spans="1:10" x14ac:dyDescent="0.3">
      <c r="A598" s="2" t="s">
        <v>52</v>
      </c>
      <c r="B598" s="26" t="s">
        <v>1554</v>
      </c>
      <c r="C598" s="26" t="s">
        <v>1570</v>
      </c>
      <c r="D598" s="28" t="s">
        <v>62</v>
      </c>
      <c r="E598" s="28" t="s">
        <v>1573</v>
      </c>
      <c r="F598" s="32">
        <v>6499</v>
      </c>
      <c r="G598" s="44" t="s">
        <v>1574</v>
      </c>
      <c r="H598" s="44"/>
      <c r="I598" s="27" t="s">
        <v>49</v>
      </c>
      <c r="J598" s="27" t="s">
        <v>7</v>
      </c>
    </row>
    <row r="599" spans="1:10" ht="32.4" x14ac:dyDescent="0.3">
      <c r="A599" s="2" t="s">
        <v>52</v>
      </c>
      <c r="B599" s="26" t="s">
        <v>1554</v>
      </c>
      <c r="C599" s="26" t="s">
        <v>1570</v>
      </c>
      <c r="D599" s="28" t="s">
        <v>216</v>
      </c>
      <c r="E599" s="28" t="s">
        <v>1575</v>
      </c>
      <c r="F599" s="32">
        <v>2656</v>
      </c>
      <c r="G599" s="44" t="s">
        <v>1576</v>
      </c>
      <c r="H599" s="44"/>
      <c r="I599" s="27" t="s">
        <v>49</v>
      </c>
      <c r="J599" s="27" t="s">
        <v>7</v>
      </c>
    </row>
    <row r="600" spans="1:10" ht="32.4" x14ac:dyDescent="0.3">
      <c r="A600" s="2" t="s">
        <v>52</v>
      </c>
      <c r="B600" s="26" t="s">
        <v>1554</v>
      </c>
      <c r="C600" s="26" t="s">
        <v>1570</v>
      </c>
      <c r="D600" s="28" t="s">
        <v>216</v>
      </c>
      <c r="E600" s="28" t="s">
        <v>1577</v>
      </c>
      <c r="F600" s="32">
        <v>674</v>
      </c>
      <c r="G600" s="44" t="s">
        <v>1578</v>
      </c>
      <c r="H600" s="44"/>
      <c r="I600" s="27" t="s">
        <v>49</v>
      </c>
      <c r="J600" s="27" t="s">
        <v>7</v>
      </c>
    </row>
    <row r="601" spans="1:10" x14ac:dyDescent="0.3">
      <c r="A601" s="2" t="s">
        <v>52</v>
      </c>
      <c r="B601" s="26" t="s">
        <v>1554</v>
      </c>
      <c r="C601" s="26" t="s">
        <v>1570</v>
      </c>
      <c r="D601" s="28" t="s">
        <v>115</v>
      </c>
      <c r="E601" s="28" t="s">
        <v>1579</v>
      </c>
      <c r="F601" s="32">
        <v>1100</v>
      </c>
      <c r="G601" s="44" t="s">
        <v>1580</v>
      </c>
      <c r="H601" s="44"/>
      <c r="I601" s="27" t="s">
        <v>70</v>
      </c>
      <c r="J601" s="27" t="s">
        <v>7</v>
      </c>
    </row>
    <row r="602" spans="1:10" x14ac:dyDescent="0.3">
      <c r="A602" s="2" t="s">
        <v>52</v>
      </c>
      <c r="B602" s="26" t="s">
        <v>1554</v>
      </c>
      <c r="C602" s="26" t="s">
        <v>1570</v>
      </c>
      <c r="D602" s="28" t="s">
        <v>124</v>
      </c>
      <c r="E602" s="28" t="s">
        <v>1581</v>
      </c>
      <c r="F602" s="32">
        <v>390</v>
      </c>
      <c r="G602" s="44" t="s">
        <v>1582</v>
      </c>
      <c r="H602" s="44"/>
      <c r="I602" s="27" t="s">
        <v>347</v>
      </c>
      <c r="J602" s="27" t="s">
        <v>7</v>
      </c>
    </row>
    <row r="603" spans="1:10" ht="48.6" x14ac:dyDescent="0.3">
      <c r="A603" s="2" t="s">
        <v>52</v>
      </c>
      <c r="B603" s="26" t="s">
        <v>1554</v>
      </c>
      <c r="C603" s="26" t="s">
        <v>1583</v>
      </c>
      <c r="D603" s="28" t="s">
        <v>110</v>
      </c>
      <c r="E603" s="28" t="s">
        <v>1584</v>
      </c>
      <c r="F603" s="32">
        <v>2042</v>
      </c>
      <c r="G603" s="44" t="s">
        <v>1585</v>
      </c>
      <c r="H603" s="44"/>
      <c r="I603" s="27" t="s">
        <v>168</v>
      </c>
      <c r="J603" s="27" t="s">
        <v>7</v>
      </c>
    </row>
    <row r="604" spans="1:10" ht="32.4" x14ac:dyDescent="0.3">
      <c r="A604" s="2" t="s">
        <v>44</v>
      </c>
      <c r="B604" s="26" t="s">
        <v>1554</v>
      </c>
      <c r="C604" s="26" t="s">
        <v>330</v>
      </c>
      <c r="D604" s="28" t="s">
        <v>7</v>
      </c>
      <c r="E604" s="28" t="s">
        <v>1586</v>
      </c>
      <c r="F604" s="32">
        <v>2042</v>
      </c>
      <c r="G604" s="44" t="s">
        <v>1587</v>
      </c>
      <c r="H604" s="44"/>
      <c r="I604" s="27" t="s">
        <v>168</v>
      </c>
      <c r="J604" s="27" t="s">
        <v>7</v>
      </c>
    </row>
    <row r="605" spans="1:10" ht="32.4" x14ac:dyDescent="0.3">
      <c r="A605" s="2" t="s">
        <v>44</v>
      </c>
      <c r="B605" s="26" t="s">
        <v>1554</v>
      </c>
      <c r="C605" s="26" t="s">
        <v>330</v>
      </c>
      <c r="D605" s="28" t="s">
        <v>7</v>
      </c>
      <c r="E605" s="28" t="s">
        <v>1588</v>
      </c>
      <c r="F605" s="32">
        <v>1225</v>
      </c>
      <c r="G605" s="44" t="s">
        <v>1589</v>
      </c>
      <c r="H605" s="44"/>
      <c r="I605" s="27" t="s">
        <v>150</v>
      </c>
      <c r="J605" s="27" t="s">
        <v>7</v>
      </c>
    </row>
    <row r="606" spans="1:10" ht="32.4" x14ac:dyDescent="0.3">
      <c r="A606" s="2" t="s">
        <v>44</v>
      </c>
      <c r="B606" s="26" t="s">
        <v>1554</v>
      </c>
      <c r="C606" s="26" t="s">
        <v>330</v>
      </c>
      <c r="D606" s="28" t="s">
        <v>7</v>
      </c>
      <c r="E606" s="28" t="s">
        <v>1590</v>
      </c>
      <c r="F606" s="32">
        <v>1018</v>
      </c>
      <c r="G606" s="44" t="s">
        <v>1591</v>
      </c>
      <c r="H606" s="44"/>
      <c r="I606" s="27" t="s">
        <v>58</v>
      </c>
      <c r="J606" s="27" t="s">
        <v>7</v>
      </c>
    </row>
    <row r="607" spans="1:10" x14ac:dyDescent="0.3">
      <c r="A607" s="61" t="s">
        <v>44</v>
      </c>
      <c r="B607" s="62" t="s">
        <v>1554</v>
      </c>
      <c r="C607" s="62" t="s">
        <v>46</v>
      </c>
      <c r="D607" s="63" t="s">
        <v>7</v>
      </c>
      <c r="E607" s="63" t="s">
        <v>1592</v>
      </c>
      <c r="F607" s="64">
        <v>10000</v>
      </c>
      <c r="G607" s="65" t="s">
        <v>1593</v>
      </c>
      <c r="H607" s="65"/>
      <c r="I607" s="66" t="s">
        <v>1594</v>
      </c>
      <c r="J607" s="66" t="s">
        <v>7</v>
      </c>
    </row>
    <row r="608" spans="1:10" x14ac:dyDescent="0.3">
      <c r="A608" s="2" t="s">
        <v>44</v>
      </c>
      <c r="B608" s="26" t="s">
        <v>1554</v>
      </c>
      <c r="C608" s="26" t="s">
        <v>46</v>
      </c>
      <c r="D608" s="28" t="s">
        <v>7</v>
      </c>
      <c r="E608" s="28" t="s">
        <v>1595</v>
      </c>
      <c r="F608" s="32">
        <v>1160</v>
      </c>
      <c r="G608" s="44" t="s">
        <v>1596</v>
      </c>
      <c r="H608" s="44"/>
      <c r="I608" s="27" t="s">
        <v>1553</v>
      </c>
      <c r="J608" s="27" t="s">
        <v>7</v>
      </c>
    </row>
    <row r="609" spans="1:10" x14ac:dyDescent="0.3">
      <c r="A609" s="2" t="s">
        <v>44</v>
      </c>
      <c r="B609" s="26" t="s">
        <v>1554</v>
      </c>
      <c r="C609" s="26" t="s">
        <v>46</v>
      </c>
      <c r="D609" s="28" t="s">
        <v>7</v>
      </c>
      <c r="E609" s="28" t="s">
        <v>1597</v>
      </c>
      <c r="F609" s="32">
        <v>384</v>
      </c>
      <c r="G609" s="44" t="s">
        <v>1598</v>
      </c>
      <c r="H609" s="44"/>
      <c r="I609" s="27" t="s">
        <v>1553</v>
      </c>
      <c r="J609" s="27" t="s">
        <v>7</v>
      </c>
    </row>
    <row r="610" spans="1:10" x14ac:dyDescent="0.3">
      <c r="A610" s="2" t="s">
        <v>44</v>
      </c>
      <c r="B610" s="26" t="s">
        <v>1554</v>
      </c>
      <c r="C610" s="26" t="s">
        <v>46</v>
      </c>
      <c r="D610" s="28" t="s">
        <v>7</v>
      </c>
      <c r="E610" s="28" t="s">
        <v>1599</v>
      </c>
      <c r="F610" s="32">
        <v>3200</v>
      </c>
      <c r="G610" s="44" t="s">
        <v>1600</v>
      </c>
      <c r="H610" s="44"/>
      <c r="I610" s="27" t="s">
        <v>1118</v>
      </c>
      <c r="J610" s="27" t="s">
        <v>7</v>
      </c>
    </row>
    <row r="611" spans="1:10" x14ac:dyDescent="0.3">
      <c r="A611" s="2" t="s">
        <v>44</v>
      </c>
      <c r="B611" s="26" t="s">
        <v>1554</v>
      </c>
      <c r="C611" s="26" t="s">
        <v>46</v>
      </c>
      <c r="D611" s="28" t="s">
        <v>7</v>
      </c>
      <c r="E611" s="28" t="s">
        <v>1601</v>
      </c>
      <c r="F611" s="32">
        <v>2342</v>
      </c>
      <c r="G611" s="44" t="s">
        <v>1602</v>
      </c>
      <c r="H611" s="44"/>
      <c r="I611" s="27" t="s">
        <v>779</v>
      </c>
      <c r="J611" s="27" t="s">
        <v>7</v>
      </c>
    </row>
    <row r="612" spans="1:10" ht="32.4" x14ac:dyDescent="0.3">
      <c r="A612" s="2" t="s">
        <v>44</v>
      </c>
      <c r="B612" s="26" t="s">
        <v>1554</v>
      </c>
      <c r="C612" s="26" t="s">
        <v>46</v>
      </c>
      <c r="D612" s="28" t="s">
        <v>7</v>
      </c>
      <c r="E612" s="28" t="s">
        <v>1603</v>
      </c>
      <c r="F612" s="32">
        <v>500</v>
      </c>
      <c r="G612" s="44" t="s">
        <v>1604</v>
      </c>
      <c r="H612" s="44"/>
      <c r="I612" s="27" t="s">
        <v>102</v>
      </c>
      <c r="J612" s="27" t="s">
        <v>7</v>
      </c>
    </row>
    <row r="613" spans="1:10" ht="32.4" x14ac:dyDescent="0.3">
      <c r="A613" s="2" t="s">
        <v>52</v>
      </c>
      <c r="B613" s="26" t="s">
        <v>1605</v>
      </c>
      <c r="C613" s="26" t="s">
        <v>1606</v>
      </c>
      <c r="D613" s="28" t="s">
        <v>55</v>
      </c>
      <c r="E613" s="28" t="s">
        <v>1607</v>
      </c>
      <c r="F613" s="32">
        <v>500</v>
      </c>
      <c r="G613" s="44" t="s">
        <v>1608</v>
      </c>
      <c r="H613" s="44"/>
      <c r="I613" s="27" t="s">
        <v>102</v>
      </c>
      <c r="J613" s="27" t="s">
        <v>7</v>
      </c>
    </row>
    <row r="614" spans="1:10" ht="32.4" x14ac:dyDescent="0.3">
      <c r="A614" s="2" t="s">
        <v>52</v>
      </c>
      <c r="B614" s="26" t="s">
        <v>1605</v>
      </c>
      <c r="C614" s="26" t="s">
        <v>1606</v>
      </c>
      <c r="D614" s="28" t="s">
        <v>208</v>
      </c>
      <c r="E614" s="28" t="s">
        <v>1609</v>
      </c>
      <c r="F614" s="32">
        <v>280</v>
      </c>
      <c r="G614" s="44" t="s">
        <v>1610</v>
      </c>
      <c r="H614" s="44"/>
      <c r="I614" s="27" t="s">
        <v>499</v>
      </c>
      <c r="J614" s="27" t="s">
        <v>7</v>
      </c>
    </row>
    <row r="615" spans="1:10" ht="32.4" x14ac:dyDescent="0.3">
      <c r="A615" s="2" t="s">
        <v>52</v>
      </c>
      <c r="B615" s="26" t="s">
        <v>1605</v>
      </c>
      <c r="C615" s="26" t="s">
        <v>1606</v>
      </c>
      <c r="D615" s="28" t="s">
        <v>55</v>
      </c>
      <c r="E615" s="28" t="s">
        <v>1611</v>
      </c>
      <c r="F615" s="32">
        <v>3795</v>
      </c>
      <c r="G615" s="44" t="s">
        <v>1612</v>
      </c>
      <c r="H615" s="44"/>
      <c r="I615" s="27" t="s">
        <v>58</v>
      </c>
      <c r="J615" s="27" t="s">
        <v>7</v>
      </c>
    </row>
    <row r="616" spans="1:10" ht="32.4" x14ac:dyDescent="0.3">
      <c r="A616" s="2" t="s">
        <v>52</v>
      </c>
      <c r="B616" s="26" t="s">
        <v>1605</v>
      </c>
      <c r="C616" s="26" t="s">
        <v>1606</v>
      </c>
      <c r="D616" s="28" t="s">
        <v>55</v>
      </c>
      <c r="E616" s="28" t="s">
        <v>1613</v>
      </c>
      <c r="F616" s="32">
        <v>5960</v>
      </c>
      <c r="G616" s="44" t="s">
        <v>1614</v>
      </c>
      <c r="H616" s="44"/>
      <c r="I616" s="27" t="s">
        <v>58</v>
      </c>
      <c r="J616" s="27" t="s">
        <v>7</v>
      </c>
    </row>
    <row r="617" spans="1:10" ht="32.4" x14ac:dyDescent="0.3">
      <c r="A617" s="2" t="s">
        <v>52</v>
      </c>
      <c r="B617" s="26" t="s">
        <v>1605</v>
      </c>
      <c r="C617" s="26" t="s">
        <v>1606</v>
      </c>
      <c r="D617" s="28" t="s">
        <v>55</v>
      </c>
      <c r="E617" s="28" t="s">
        <v>1615</v>
      </c>
      <c r="F617" s="32">
        <v>2950</v>
      </c>
      <c r="G617" s="44" t="s">
        <v>1616</v>
      </c>
      <c r="H617" s="44"/>
      <c r="I617" s="27" t="s">
        <v>58</v>
      </c>
      <c r="J617" s="27" t="s">
        <v>7</v>
      </c>
    </row>
    <row r="618" spans="1:10" ht="32.4" x14ac:dyDescent="0.3">
      <c r="A618" s="2" t="s">
        <v>52</v>
      </c>
      <c r="B618" s="26" t="s">
        <v>1605</v>
      </c>
      <c r="C618" s="26" t="s">
        <v>1606</v>
      </c>
      <c r="D618" s="28" t="s">
        <v>55</v>
      </c>
      <c r="E618" s="28" t="s">
        <v>1617</v>
      </c>
      <c r="F618" s="32">
        <v>1170</v>
      </c>
      <c r="G618" s="44" t="s">
        <v>1618</v>
      </c>
      <c r="H618" s="44"/>
      <c r="I618" s="27" t="s">
        <v>58</v>
      </c>
      <c r="J618" s="27" t="s">
        <v>7</v>
      </c>
    </row>
    <row r="619" spans="1:10" ht="32.4" x14ac:dyDescent="0.3">
      <c r="A619" s="2" t="s">
        <v>52</v>
      </c>
      <c r="B619" s="26" t="s">
        <v>1605</v>
      </c>
      <c r="C619" s="26" t="s">
        <v>1619</v>
      </c>
      <c r="D619" s="28" t="s">
        <v>245</v>
      </c>
      <c r="E619" s="28" t="s">
        <v>1620</v>
      </c>
      <c r="F619" s="32">
        <v>31520</v>
      </c>
      <c r="G619" s="44" t="s">
        <v>1621</v>
      </c>
      <c r="H619" s="44"/>
      <c r="I619" s="27" t="s">
        <v>118</v>
      </c>
      <c r="J619" s="27" t="s">
        <v>7</v>
      </c>
    </row>
    <row r="620" spans="1:10" x14ac:dyDescent="0.3">
      <c r="A620" s="2" t="s">
        <v>52</v>
      </c>
      <c r="B620" s="26" t="s">
        <v>1605</v>
      </c>
      <c r="C620" s="26" t="s">
        <v>1622</v>
      </c>
      <c r="D620" s="28" t="s">
        <v>130</v>
      </c>
      <c r="E620" s="28" t="s">
        <v>1623</v>
      </c>
      <c r="F620" s="32">
        <v>1200</v>
      </c>
      <c r="G620" s="44" t="s">
        <v>1624</v>
      </c>
      <c r="H620" s="44"/>
      <c r="I620" s="27" t="s">
        <v>70</v>
      </c>
      <c r="J620" s="27" t="s">
        <v>7</v>
      </c>
    </row>
    <row r="621" spans="1:10" ht="32.4" x14ac:dyDescent="0.3">
      <c r="A621" s="2" t="s">
        <v>52</v>
      </c>
      <c r="B621" s="26" t="s">
        <v>1605</v>
      </c>
      <c r="C621" s="26" t="s">
        <v>1622</v>
      </c>
      <c r="D621" s="28" t="s">
        <v>55</v>
      </c>
      <c r="E621" s="28" t="s">
        <v>1625</v>
      </c>
      <c r="F621" s="32">
        <v>3900</v>
      </c>
      <c r="G621" s="44" t="s">
        <v>1626</v>
      </c>
      <c r="H621" s="44"/>
      <c r="I621" s="27" t="s">
        <v>58</v>
      </c>
      <c r="J621" s="27" t="s">
        <v>7</v>
      </c>
    </row>
    <row r="622" spans="1:10" ht="32.4" x14ac:dyDescent="0.3">
      <c r="A622" s="2" t="s">
        <v>52</v>
      </c>
      <c r="B622" s="26" t="s">
        <v>1605</v>
      </c>
      <c r="C622" s="26" t="s">
        <v>1627</v>
      </c>
      <c r="D622" s="28" t="s">
        <v>232</v>
      </c>
      <c r="E622" s="28" t="s">
        <v>1628</v>
      </c>
      <c r="F622" s="32">
        <v>2000</v>
      </c>
      <c r="G622" s="44" t="s">
        <v>1629</v>
      </c>
      <c r="H622" s="44"/>
      <c r="I622" s="27" t="s">
        <v>98</v>
      </c>
      <c r="J622" s="27" t="s">
        <v>7</v>
      </c>
    </row>
    <row r="623" spans="1:10" ht="32.4" x14ac:dyDescent="0.3">
      <c r="A623" s="2" t="s">
        <v>52</v>
      </c>
      <c r="B623" s="26" t="s">
        <v>1605</v>
      </c>
      <c r="C623" s="26" t="s">
        <v>1630</v>
      </c>
      <c r="D623" s="28" t="s">
        <v>55</v>
      </c>
      <c r="E623" s="28" t="s">
        <v>1631</v>
      </c>
      <c r="F623" s="32">
        <v>4016</v>
      </c>
      <c r="G623" s="44" t="s">
        <v>1632</v>
      </c>
      <c r="H623" s="44"/>
      <c r="I623" s="27" t="s">
        <v>342</v>
      </c>
      <c r="J623" s="27" t="s">
        <v>7</v>
      </c>
    </row>
    <row r="624" spans="1:10" ht="32.4" x14ac:dyDescent="0.3">
      <c r="A624" s="2" t="s">
        <v>52</v>
      </c>
      <c r="B624" s="26" t="s">
        <v>1605</v>
      </c>
      <c r="C624" s="26" t="s">
        <v>1630</v>
      </c>
      <c r="D624" s="28" t="s">
        <v>55</v>
      </c>
      <c r="E624" s="28" t="s">
        <v>1633</v>
      </c>
      <c r="F624" s="32">
        <v>3887</v>
      </c>
      <c r="G624" s="44" t="s">
        <v>1634</v>
      </c>
      <c r="H624" s="44"/>
      <c r="I624" s="27" t="s">
        <v>342</v>
      </c>
      <c r="J624" s="27" t="s">
        <v>7</v>
      </c>
    </row>
    <row r="625" spans="1:10" ht="32.4" x14ac:dyDescent="0.3">
      <c r="A625" s="2" t="s">
        <v>52</v>
      </c>
      <c r="B625" s="26" t="s">
        <v>1605</v>
      </c>
      <c r="C625" s="26" t="s">
        <v>1630</v>
      </c>
      <c r="D625" s="28" t="s">
        <v>703</v>
      </c>
      <c r="E625" s="28" t="s">
        <v>1635</v>
      </c>
      <c r="F625" s="32">
        <v>4400</v>
      </c>
      <c r="G625" s="44" t="s">
        <v>1636</v>
      </c>
      <c r="H625" s="44"/>
      <c r="I625" s="27" t="s">
        <v>58</v>
      </c>
      <c r="J625" s="27" t="s">
        <v>7</v>
      </c>
    </row>
    <row r="626" spans="1:10" x14ac:dyDescent="0.3">
      <c r="A626" s="2" t="s">
        <v>52</v>
      </c>
      <c r="B626" s="26" t="s">
        <v>1605</v>
      </c>
      <c r="C626" s="26" t="s">
        <v>1637</v>
      </c>
      <c r="D626" s="28" t="s">
        <v>115</v>
      </c>
      <c r="E626" s="28" t="s">
        <v>1638</v>
      </c>
      <c r="F626" s="32">
        <v>10517</v>
      </c>
      <c r="G626" s="44" t="s">
        <v>1639</v>
      </c>
      <c r="H626" s="44"/>
      <c r="I626" s="27" t="s">
        <v>1320</v>
      </c>
      <c r="J626" s="27" t="s">
        <v>7</v>
      </c>
    </row>
    <row r="627" spans="1:10" ht="32.4" x14ac:dyDescent="0.3">
      <c r="A627" s="2" t="s">
        <v>44</v>
      </c>
      <c r="B627" s="26" t="s">
        <v>1605</v>
      </c>
      <c r="C627" s="26" t="s">
        <v>46</v>
      </c>
      <c r="D627" s="28" t="s">
        <v>7</v>
      </c>
      <c r="E627" s="28" t="s">
        <v>1640</v>
      </c>
      <c r="F627" s="32">
        <v>500</v>
      </c>
      <c r="G627" s="44" t="s">
        <v>1641</v>
      </c>
      <c r="H627" s="44"/>
      <c r="I627" s="27" t="s">
        <v>102</v>
      </c>
      <c r="J627" s="27" t="s">
        <v>7</v>
      </c>
    </row>
    <row r="628" spans="1:10" x14ac:dyDescent="0.3">
      <c r="A628" s="2" t="s">
        <v>44</v>
      </c>
      <c r="B628" s="26" t="s">
        <v>1605</v>
      </c>
      <c r="C628" s="26" t="s">
        <v>46</v>
      </c>
      <c r="D628" s="28" t="s">
        <v>7</v>
      </c>
      <c r="E628" s="28" t="s">
        <v>1642</v>
      </c>
      <c r="F628" s="32">
        <v>18000</v>
      </c>
      <c r="G628" s="44" t="s">
        <v>1643</v>
      </c>
      <c r="H628" s="44"/>
      <c r="I628" s="27" t="s">
        <v>353</v>
      </c>
      <c r="J628" s="27" t="s">
        <v>7</v>
      </c>
    </row>
    <row r="629" spans="1:10" ht="32.4" x14ac:dyDescent="0.3">
      <c r="A629" s="2" t="s">
        <v>52</v>
      </c>
      <c r="B629" s="26" t="s">
        <v>1644</v>
      </c>
      <c r="C629" s="26" t="s">
        <v>1645</v>
      </c>
      <c r="D629" s="28" t="s">
        <v>216</v>
      </c>
      <c r="E629" s="28" t="s">
        <v>1646</v>
      </c>
      <c r="F629" s="32">
        <v>2931</v>
      </c>
      <c r="G629" s="44" t="s">
        <v>1647</v>
      </c>
      <c r="H629" s="44"/>
      <c r="I629" s="27" t="s">
        <v>1122</v>
      </c>
      <c r="J629" s="27" t="s">
        <v>7</v>
      </c>
    </row>
    <row r="630" spans="1:10" ht="32.4" x14ac:dyDescent="0.3">
      <c r="A630" s="2" t="s">
        <v>52</v>
      </c>
      <c r="B630" s="26" t="s">
        <v>1644</v>
      </c>
      <c r="C630" s="26" t="s">
        <v>1648</v>
      </c>
      <c r="D630" s="28" t="s">
        <v>703</v>
      </c>
      <c r="E630" s="28" t="s">
        <v>1649</v>
      </c>
      <c r="F630" s="32">
        <v>3290</v>
      </c>
      <c r="G630" s="44" t="s">
        <v>1650</v>
      </c>
      <c r="H630" s="44"/>
      <c r="I630" s="27" t="s">
        <v>1232</v>
      </c>
      <c r="J630" s="27" t="s">
        <v>7</v>
      </c>
    </row>
    <row r="631" spans="1:10" ht="32.4" x14ac:dyDescent="0.3">
      <c r="A631" s="2" t="s">
        <v>52</v>
      </c>
      <c r="B631" s="26" t="s">
        <v>1644</v>
      </c>
      <c r="C631" s="26" t="s">
        <v>1651</v>
      </c>
      <c r="D631" s="28" t="s">
        <v>1652</v>
      </c>
      <c r="E631" s="28" t="s">
        <v>1653</v>
      </c>
      <c r="F631" s="32">
        <v>6270</v>
      </c>
      <c r="G631" s="44" t="s">
        <v>1654</v>
      </c>
      <c r="H631" s="44"/>
      <c r="I631" s="27" t="s">
        <v>740</v>
      </c>
      <c r="J631" s="27" t="s">
        <v>7</v>
      </c>
    </row>
    <row r="632" spans="1:10" ht="32.4" x14ac:dyDescent="0.3">
      <c r="A632" s="2" t="s">
        <v>1295</v>
      </c>
      <c r="B632" s="26" t="s">
        <v>1644</v>
      </c>
      <c r="C632" s="26" t="s">
        <v>1651</v>
      </c>
      <c r="D632" s="28" t="s">
        <v>737</v>
      </c>
      <c r="E632" s="28" t="s">
        <v>1653</v>
      </c>
      <c r="F632" s="32">
        <v>-6270</v>
      </c>
      <c r="G632" s="44" t="s">
        <v>1654</v>
      </c>
      <c r="H632" s="44"/>
      <c r="I632" s="27" t="s">
        <v>740</v>
      </c>
      <c r="J632" s="27" t="s">
        <v>7</v>
      </c>
    </row>
    <row r="633" spans="1:10" x14ac:dyDescent="0.3">
      <c r="A633" s="2" t="s">
        <v>44</v>
      </c>
      <c r="B633" s="26" t="s">
        <v>1644</v>
      </c>
      <c r="C633" s="26" t="s">
        <v>330</v>
      </c>
      <c r="D633" s="28" t="s">
        <v>7</v>
      </c>
      <c r="E633" s="28" t="s">
        <v>1655</v>
      </c>
      <c r="F633" s="32">
        <v>4764</v>
      </c>
      <c r="G633" s="44" t="s">
        <v>1656</v>
      </c>
      <c r="H633" s="44"/>
      <c r="I633" s="27" t="s">
        <v>1197</v>
      </c>
      <c r="J633" s="27" t="s">
        <v>7</v>
      </c>
    </row>
    <row r="634" spans="1:10" ht="32.4" x14ac:dyDescent="0.3">
      <c r="A634" s="2" t="s">
        <v>44</v>
      </c>
      <c r="B634" s="26" t="s">
        <v>1644</v>
      </c>
      <c r="C634" s="26" t="s">
        <v>330</v>
      </c>
      <c r="D634" s="28" t="s">
        <v>7</v>
      </c>
      <c r="E634" s="28" t="s">
        <v>1657</v>
      </c>
      <c r="F634" s="32">
        <v>4084</v>
      </c>
      <c r="G634" s="44" t="s">
        <v>1658</v>
      </c>
      <c r="H634" s="44"/>
      <c r="I634" s="27" t="s">
        <v>150</v>
      </c>
      <c r="J634" s="27" t="s">
        <v>7</v>
      </c>
    </row>
    <row r="635" spans="1:10" x14ac:dyDescent="0.3">
      <c r="A635" s="2" t="s">
        <v>44</v>
      </c>
      <c r="B635" s="26" t="s">
        <v>1644</v>
      </c>
      <c r="C635" s="26" t="s">
        <v>46</v>
      </c>
      <c r="D635" s="28" t="s">
        <v>7</v>
      </c>
      <c r="E635" s="28" t="s">
        <v>1659</v>
      </c>
      <c r="F635" s="32">
        <v>2085</v>
      </c>
      <c r="G635" s="44" t="s">
        <v>1660</v>
      </c>
      <c r="H635" s="44"/>
      <c r="I635" s="27" t="s">
        <v>248</v>
      </c>
      <c r="J635" s="27" t="s">
        <v>7</v>
      </c>
    </row>
    <row r="636" spans="1:10" x14ac:dyDescent="0.3">
      <c r="A636" s="2" t="s">
        <v>44</v>
      </c>
      <c r="B636" s="26" t="s">
        <v>1644</v>
      </c>
      <c r="C636" s="26" t="s">
        <v>46</v>
      </c>
      <c r="D636" s="28" t="s">
        <v>7</v>
      </c>
      <c r="E636" s="28" t="s">
        <v>1661</v>
      </c>
      <c r="F636" s="32">
        <v>3000</v>
      </c>
      <c r="G636" s="44" t="s">
        <v>1662</v>
      </c>
      <c r="H636" s="44"/>
      <c r="I636" s="27" t="s">
        <v>1118</v>
      </c>
      <c r="J636" s="27" t="s">
        <v>7</v>
      </c>
    </row>
    <row r="637" spans="1:10" x14ac:dyDescent="0.3">
      <c r="A637" s="2" t="s">
        <v>44</v>
      </c>
      <c r="B637" s="26" t="s">
        <v>1644</v>
      </c>
      <c r="C637" s="26" t="s">
        <v>46</v>
      </c>
      <c r="D637" s="28" t="s">
        <v>7</v>
      </c>
      <c r="E637" s="28" t="s">
        <v>1663</v>
      </c>
      <c r="F637" s="32">
        <v>3173</v>
      </c>
      <c r="G637" s="44" t="s">
        <v>1664</v>
      </c>
      <c r="H637" s="44"/>
      <c r="I637" s="27" t="s">
        <v>1665</v>
      </c>
      <c r="J637" s="27" t="s">
        <v>7</v>
      </c>
    </row>
    <row r="638" spans="1:10" x14ac:dyDescent="0.3">
      <c r="A638" s="2" t="s">
        <v>44</v>
      </c>
      <c r="B638" s="26" t="s">
        <v>1644</v>
      </c>
      <c r="C638" s="26" t="s">
        <v>46</v>
      </c>
      <c r="D638" s="28" t="s">
        <v>7</v>
      </c>
      <c r="E638" s="28" t="s">
        <v>1666</v>
      </c>
      <c r="F638" s="32">
        <v>305</v>
      </c>
      <c r="G638" s="44" t="s">
        <v>1667</v>
      </c>
      <c r="H638" s="44"/>
      <c r="I638" s="27" t="s">
        <v>1665</v>
      </c>
      <c r="J638" s="27" t="s">
        <v>7</v>
      </c>
    </row>
    <row r="639" spans="1:10" ht="32.4" x14ac:dyDescent="0.3">
      <c r="A639" s="2" t="s">
        <v>44</v>
      </c>
      <c r="B639" s="26" t="s">
        <v>1644</v>
      </c>
      <c r="C639" s="26" t="s">
        <v>46</v>
      </c>
      <c r="D639" s="28" t="s">
        <v>7</v>
      </c>
      <c r="E639" s="28" t="s">
        <v>1668</v>
      </c>
      <c r="F639" s="32">
        <v>5684</v>
      </c>
      <c r="G639" s="44" t="s">
        <v>1669</v>
      </c>
      <c r="H639" s="44"/>
      <c r="I639" s="27" t="s">
        <v>84</v>
      </c>
      <c r="J639" s="27" t="s">
        <v>7</v>
      </c>
    </row>
    <row r="640" spans="1:10" x14ac:dyDescent="0.3">
      <c r="A640" s="2" t="s">
        <v>44</v>
      </c>
      <c r="B640" s="26" t="s">
        <v>1644</v>
      </c>
      <c r="C640" s="26" t="s">
        <v>46</v>
      </c>
      <c r="D640" s="28" t="s">
        <v>7</v>
      </c>
      <c r="E640" s="28" t="s">
        <v>1670</v>
      </c>
      <c r="F640" s="32">
        <v>1000</v>
      </c>
      <c r="G640" s="44" t="s">
        <v>1671</v>
      </c>
      <c r="H640" s="44"/>
      <c r="I640" s="27" t="s">
        <v>74</v>
      </c>
      <c r="J640" s="27" t="s">
        <v>7</v>
      </c>
    </row>
    <row r="641" spans="1:10" ht="32.4" x14ac:dyDescent="0.3">
      <c r="A641" s="2" t="s">
        <v>44</v>
      </c>
      <c r="B641" s="26" t="s">
        <v>1644</v>
      </c>
      <c r="C641" s="26" t="s">
        <v>46</v>
      </c>
      <c r="D641" s="28" t="s">
        <v>7</v>
      </c>
      <c r="E641" s="28" t="s">
        <v>1672</v>
      </c>
      <c r="F641" s="32">
        <v>4901</v>
      </c>
      <c r="G641" s="44" t="s">
        <v>1673</v>
      </c>
      <c r="H641" s="44"/>
      <c r="I641" s="27" t="s">
        <v>337</v>
      </c>
      <c r="J641" s="27" t="s">
        <v>7</v>
      </c>
    </row>
    <row r="642" spans="1:10" ht="32.4" x14ac:dyDescent="0.3">
      <c r="A642" s="2" t="s">
        <v>44</v>
      </c>
      <c r="B642" s="26" t="s">
        <v>1644</v>
      </c>
      <c r="C642" s="26" t="s">
        <v>46</v>
      </c>
      <c r="D642" s="28" t="s">
        <v>7</v>
      </c>
      <c r="E642" s="28" t="s">
        <v>1674</v>
      </c>
      <c r="F642" s="32">
        <v>2660</v>
      </c>
      <c r="G642" s="44" t="s">
        <v>1675</v>
      </c>
      <c r="H642" s="44"/>
      <c r="I642" s="27" t="s">
        <v>337</v>
      </c>
      <c r="J642" s="27" t="s">
        <v>7</v>
      </c>
    </row>
    <row r="643" spans="1:10" ht="32.4" x14ac:dyDescent="0.3">
      <c r="A643" s="2" t="s">
        <v>44</v>
      </c>
      <c r="B643" s="26" t="s">
        <v>1644</v>
      </c>
      <c r="C643" s="26" t="s">
        <v>46</v>
      </c>
      <c r="D643" s="28" t="s">
        <v>7</v>
      </c>
      <c r="E643" s="28" t="s">
        <v>1676</v>
      </c>
      <c r="F643" s="32">
        <v>500</v>
      </c>
      <c r="G643" s="44" t="s">
        <v>1677</v>
      </c>
      <c r="H643" s="44"/>
      <c r="I643" s="27" t="s">
        <v>102</v>
      </c>
      <c r="J643" s="27" t="s">
        <v>7</v>
      </c>
    </row>
    <row r="644" spans="1:10" x14ac:dyDescent="0.3">
      <c r="A644" s="2" t="s">
        <v>44</v>
      </c>
      <c r="B644" s="26" t="s">
        <v>1678</v>
      </c>
      <c r="C644" s="26" t="s">
        <v>46</v>
      </c>
      <c r="D644" s="28" t="s">
        <v>7</v>
      </c>
      <c r="E644" s="28" t="s">
        <v>1679</v>
      </c>
      <c r="F644" s="32">
        <v>685</v>
      </c>
      <c r="G644" s="44" t="s">
        <v>1680</v>
      </c>
      <c r="H644" s="44"/>
      <c r="I644" s="27" t="s">
        <v>1352</v>
      </c>
      <c r="J644" s="27" t="s">
        <v>7</v>
      </c>
    </row>
    <row r="645" spans="1:10" x14ac:dyDescent="0.3">
      <c r="A645" s="2" t="s">
        <v>44</v>
      </c>
      <c r="B645" s="26" t="s">
        <v>1681</v>
      </c>
      <c r="C645" s="26" t="s">
        <v>46</v>
      </c>
      <c r="D645" s="28" t="s">
        <v>7</v>
      </c>
      <c r="E645" s="28" t="s">
        <v>1682</v>
      </c>
      <c r="F645" s="32">
        <v>23000</v>
      </c>
      <c r="G645" s="44" t="s">
        <v>1683</v>
      </c>
      <c r="H645" s="44"/>
      <c r="I645" s="27" t="s">
        <v>1684</v>
      </c>
      <c r="J645" s="27" t="s">
        <v>7</v>
      </c>
    </row>
    <row r="646" spans="1:10" ht="32.4" x14ac:dyDescent="0.3">
      <c r="A646" s="2" t="s">
        <v>52</v>
      </c>
      <c r="B646" s="26" t="s">
        <v>1685</v>
      </c>
      <c r="C646" s="26" t="s">
        <v>1686</v>
      </c>
      <c r="D646" s="28" t="s">
        <v>141</v>
      </c>
      <c r="E646" s="28" t="s">
        <v>1687</v>
      </c>
      <c r="F646" s="32">
        <v>7276</v>
      </c>
      <c r="G646" s="44" t="s">
        <v>1688</v>
      </c>
      <c r="H646" s="44"/>
      <c r="I646" s="27" t="s">
        <v>347</v>
      </c>
      <c r="J646" s="27" t="s">
        <v>7</v>
      </c>
    </row>
    <row r="647" spans="1:10" ht="32.4" x14ac:dyDescent="0.3">
      <c r="A647" s="2" t="s">
        <v>52</v>
      </c>
      <c r="B647" s="26" t="s">
        <v>1685</v>
      </c>
      <c r="C647" s="26" t="s">
        <v>1686</v>
      </c>
      <c r="D647" s="28" t="s">
        <v>216</v>
      </c>
      <c r="E647" s="28" t="s">
        <v>1689</v>
      </c>
      <c r="F647" s="32">
        <v>2760</v>
      </c>
      <c r="G647" s="44" t="s">
        <v>1690</v>
      </c>
      <c r="H647" s="44"/>
      <c r="I647" s="27" t="s">
        <v>133</v>
      </c>
      <c r="J647" s="27" t="s">
        <v>7</v>
      </c>
    </row>
    <row r="648" spans="1:10" ht="32.4" x14ac:dyDescent="0.3">
      <c r="A648" s="2" t="s">
        <v>52</v>
      </c>
      <c r="B648" s="26" t="s">
        <v>1685</v>
      </c>
      <c r="C648" s="26" t="s">
        <v>1686</v>
      </c>
      <c r="D648" s="28" t="s">
        <v>121</v>
      </c>
      <c r="E648" s="28" t="s">
        <v>1691</v>
      </c>
      <c r="F648" s="32">
        <v>300</v>
      </c>
      <c r="G648" s="44" t="s">
        <v>1692</v>
      </c>
      <c r="H648" s="44"/>
      <c r="I648" s="27" t="s">
        <v>353</v>
      </c>
      <c r="J648" s="27" t="s">
        <v>7</v>
      </c>
    </row>
    <row r="649" spans="1:10" x14ac:dyDescent="0.3">
      <c r="A649" s="2" t="s">
        <v>52</v>
      </c>
      <c r="B649" s="26" t="s">
        <v>1685</v>
      </c>
      <c r="C649" s="26" t="s">
        <v>1686</v>
      </c>
      <c r="D649" s="28" t="s">
        <v>115</v>
      </c>
      <c r="E649" s="28" t="s">
        <v>1693</v>
      </c>
      <c r="F649" s="32">
        <v>840</v>
      </c>
      <c r="G649" s="44" t="s">
        <v>1694</v>
      </c>
      <c r="H649" s="44"/>
      <c r="I649" s="27" t="s">
        <v>353</v>
      </c>
      <c r="J649" s="27" t="s">
        <v>7</v>
      </c>
    </row>
    <row r="650" spans="1:10" ht="32.4" x14ac:dyDescent="0.3">
      <c r="A650" s="2" t="s">
        <v>52</v>
      </c>
      <c r="B650" s="26" t="s">
        <v>1685</v>
      </c>
      <c r="C650" s="26" t="s">
        <v>1686</v>
      </c>
      <c r="D650" s="28" t="s">
        <v>141</v>
      </c>
      <c r="E650" s="28" t="s">
        <v>1695</v>
      </c>
      <c r="F650" s="32">
        <v>5000</v>
      </c>
      <c r="G650" s="44" t="s">
        <v>1696</v>
      </c>
      <c r="H650" s="44"/>
      <c r="I650" s="27" t="s">
        <v>102</v>
      </c>
      <c r="J650" s="27" t="s">
        <v>7</v>
      </c>
    </row>
    <row r="651" spans="1:10" ht="32.4" x14ac:dyDescent="0.3">
      <c r="A651" s="2" t="s">
        <v>52</v>
      </c>
      <c r="B651" s="26" t="s">
        <v>1685</v>
      </c>
      <c r="C651" s="26" t="s">
        <v>1697</v>
      </c>
      <c r="D651" s="28" t="s">
        <v>121</v>
      </c>
      <c r="E651" s="28" t="s">
        <v>1698</v>
      </c>
      <c r="F651" s="32">
        <v>21986</v>
      </c>
      <c r="G651" s="44" t="s">
        <v>1699</v>
      </c>
      <c r="H651" s="44"/>
      <c r="I651" s="27" t="s">
        <v>1700</v>
      </c>
      <c r="J651" s="27" t="s">
        <v>7</v>
      </c>
    </row>
    <row r="652" spans="1:10" ht="32.4" x14ac:dyDescent="0.3">
      <c r="A652" s="2" t="s">
        <v>52</v>
      </c>
      <c r="B652" s="26" t="s">
        <v>1685</v>
      </c>
      <c r="C652" s="26" t="s">
        <v>1701</v>
      </c>
      <c r="D652" s="28" t="s">
        <v>1053</v>
      </c>
      <c r="E652" s="28" t="s">
        <v>1702</v>
      </c>
      <c r="F652" s="32">
        <v>12575</v>
      </c>
      <c r="G652" s="44" t="s">
        <v>1703</v>
      </c>
      <c r="H652" s="44"/>
      <c r="I652" s="27" t="s">
        <v>150</v>
      </c>
      <c r="J652" s="27" t="s">
        <v>7</v>
      </c>
    </row>
    <row r="653" spans="1:10" ht="48.6" x14ac:dyDescent="0.3">
      <c r="A653" s="2" t="s">
        <v>52</v>
      </c>
      <c r="B653" s="26" t="s">
        <v>1685</v>
      </c>
      <c r="C653" s="26" t="s">
        <v>1704</v>
      </c>
      <c r="D653" s="28" t="s">
        <v>110</v>
      </c>
      <c r="E653" s="28" t="s">
        <v>1705</v>
      </c>
      <c r="F653" s="32">
        <v>4084</v>
      </c>
      <c r="G653" s="44" t="s">
        <v>1706</v>
      </c>
      <c r="H653" s="44"/>
      <c r="I653" s="27" t="s">
        <v>150</v>
      </c>
      <c r="J653" s="27" t="s">
        <v>7</v>
      </c>
    </row>
    <row r="654" spans="1:10" ht="48.6" x14ac:dyDescent="0.3">
      <c r="A654" s="2" t="s">
        <v>52</v>
      </c>
      <c r="B654" s="26" t="s">
        <v>1685</v>
      </c>
      <c r="C654" s="26" t="s">
        <v>1707</v>
      </c>
      <c r="D654" s="28" t="s">
        <v>110</v>
      </c>
      <c r="E654" s="28" t="s">
        <v>1708</v>
      </c>
      <c r="F654" s="32">
        <v>6127</v>
      </c>
      <c r="G654" s="44" t="s">
        <v>1709</v>
      </c>
      <c r="H654" s="44"/>
      <c r="I654" s="27" t="s">
        <v>499</v>
      </c>
      <c r="J654" s="27" t="s">
        <v>7</v>
      </c>
    </row>
    <row r="655" spans="1:10" x14ac:dyDescent="0.3">
      <c r="A655" s="2" t="s">
        <v>44</v>
      </c>
      <c r="B655" s="26" t="s">
        <v>1685</v>
      </c>
      <c r="C655" s="26" t="s">
        <v>330</v>
      </c>
      <c r="D655" s="28" t="s">
        <v>7</v>
      </c>
      <c r="E655" s="28" t="s">
        <v>1710</v>
      </c>
      <c r="F655" s="32">
        <v>700</v>
      </c>
      <c r="G655" s="44" t="s">
        <v>1711</v>
      </c>
      <c r="H655" s="44"/>
      <c r="I655" s="27" t="s">
        <v>49</v>
      </c>
      <c r="J655" s="27" t="s">
        <v>7</v>
      </c>
    </row>
    <row r="656" spans="1:10" x14ac:dyDescent="0.3">
      <c r="A656" s="2" t="s">
        <v>44</v>
      </c>
      <c r="B656" s="26" t="s">
        <v>1685</v>
      </c>
      <c r="C656" s="26" t="s">
        <v>330</v>
      </c>
      <c r="D656" s="28" t="s">
        <v>7</v>
      </c>
      <c r="E656" s="28" t="s">
        <v>1712</v>
      </c>
      <c r="F656" s="32">
        <v>27044</v>
      </c>
      <c r="G656" s="44" t="s">
        <v>1713</v>
      </c>
      <c r="H656" s="44"/>
      <c r="I656" s="27" t="s">
        <v>1520</v>
      </c>
      <c r="J656" s="27" t="s">
        <v>7</v>
      </c>
    </row>
    <row r="657" spans="1:10" x14ac:dyDescent="0.3">
      <c r="A657" s="2" t="s">
        <v>44</v>
      </c>
      <c r="B657" s="26" t="s">
        <v>1685</v>
      </c>
      <c r="C657" s="26" t="s">
        <v>330</v>
      </c>
      <c r="D657" s="28" t="s">
        <v>7</v>
      </c>
      <c r="E657" s="28" t="s">
        <v>1714</v>
      </c>
      <c r="F657" s="32">
        <v>4460</v>
      </c>
      <c r="G657" s="44" t="s">
        <v>1715</v>
      </c>
      <c r="H657" s="44"/>
      <c r="I657" s="27" t="s">
        <v>1716</v>
      </c>
      <c r="J657" s="27" t="s">
        <v>7</v>
      </c>
    </row>
    <row r="658" spans="1:10" x14ac:dyDescent="0.3">
      <c r="A658" s="2" t="s">
        <v>44</v>
      </c>
      <c r="B658" s="26" t="s">
        <v>1685</v>
      </c>
      <c r="C658" s="26" t="s">
        <v>46</v>
      </c>
      <c r="D658" s="28" t="s">
        <v>7</v>
      </c>
      <c r="E658" s="28" t="s">
        <v>1717</v>
      </c>
      <c r="F658" s="32">
        <v>933</v>
      </c>
      <c r="G658" s="44" t="s">
        <v>1718</v>
      </c>
      <c r="H658" s="44"/>
      <c r="I658" s="27" t="s">
        <v>1223</v>
      </c>
      <c r="J658" s="27" t="s">
        <v>7</v>
      </c>
    </row>
    <row r="659" spans="1:10" x14ac:dyDescent="0.3">
      <c r="A659" s="2" t="s">
        <v>44</v>
      </c>
      <c r="B659" s="26" t="s">
        <v>1685</v>
      </c>
      <c r="C659" s="26" t="s">
        <v>46</v>
      </c>
      <c r="D659" s="28" t="s">
        <v>7</v>
      </c>
      <c r="E659" s="28" t="s">
        <v>1719</v>
      </c>
      <c r="F659" s="32">
        <v>100721</v>
      </c>
      <c r="G659" s="44" t="s">
        <v>1720</v>
      </c>
      <c r="H659" s="44"/>
      <c r="I659" s="27" t="s">
        <v>1476</v>
      </c>
      <c r="J659" s="27" t="s">
        <v>7</v>
      </c>
    </row>
    <row r="660" spans="1:10" x14ac:dyDescent="0.3">
      <c r="A660" s="2" t="s">
        <v>44</v>
      </c>
      <c r="B660" s="26" t="s">
        <v>1685</v>
      </c>
      <c r="C660" s="26" t="s">
        <v>46</v>
      </c>
      <c r="D660" s="28" t="s">
        <v>7</v>
      </c>
      <c r="E660" s="28" t="s">
        <v>1721</v>
      </c>
      <c r="F660" s="32">
        <v>239</v>
      </c>
      <c r="G660" s="44" t="s">
        <v>1722</v>
      </c>
      <c r="H660" s="44"/>
      <c r="I660" s="27" t="s">
        <v>353</v>
      </c>
      <c r="J660" s="27" t="s">
        <v>7</v>
      </c>
    </row>
    <row r="661" spans="1:10" ht="32.4" x14ac:dyDescent="0.3">
      <c r="A661" s="2" t="s">
        <v>52</v>
      </c>
      <c r="B661" s="26" t="s">
        <v>1723</v>
      </c>
      <c r="C661" s="26" t="s">
        <v>1724</v>
      </c>
      <c r="D661" s="28" t="s">
        <v>81</v>
      </c>
      <c r="E661" s="28" t="s">
        <v>1725</v>
      </c>
      <c r="F661" s="32">
        <v>31315</v>
      </c>
      <c r="G661" s="44" t="s">
        <v>1726</v>
      </c>
      <c r="H661" s="44"/>
      <c r="I661" s="27" t="s">
        <v>183</v>
      </c>
      <c r="J661" s="27" t="s">
        <v>7</v>
      </c>
    </row>
    <row r="662" spans="1:10" ht="48.6" x14ac:dyDescent="0.3">
      <c r="A662" s="2" t="s">
        <v>52</v>
      </c>
      <c r="B662" s="26" t="s">
        <v>1723</v>
      </c>
      <c r="C662" s="26" t="s">
        <v>1727</v>
      </c>
      <c r="D662" s="28" t="s">
        <v>110</v>
      </c>
      <c r="E662" s="28" t="s">
        <v>1728</v>
      </c>
      <c r="F662" s="32">
        <v>3063</v>
      </c>
      <c r="G662" s="44" t="s">
        <v>1729</v>
      </c>
      <c r="H662" s="44"/>
      <c r="I662" s="27" t="s">
        <v>70</v>
      </c>
      <c r="J662" s="27" t="s">
        <v>7</v>
      </c>
    </row>
    <row r="663" spans="1:10" ht="32.4" x14ac:dyDescent="0.3">
      <c r="A663" s="2" t="s">
        <v>44</v>
      </c>
      <c r="B663" s="26" t="s">
        <v>1723</v>
      </c>
      <c r="C663" s="26" t="s">
        <v>330</v>
      </c>
      <c r="D663" s="28" t="s">
        <v>7</v>
      </c>
      <c r="E663" s="28" t="s">
        <v>1730</v>
      </c>
      <c r="F663" s="32">
        <v>684</v>
      </c>
      <c r="G663" s="44" t="s">
        <v>1731</v>
      </c>
      <c r="H663" s="44"/>
      <c r="I663" s="27" t="s">
        <v>150</v>
      </c>
      <c r="J663" s="27" t="s">
        <v>7</v>
      </c>
    </row>
    <row r="664" spans="1:10" ht="32.4" x14ac:dyDescent="0.3">
      <c r="A664" s="2" t="s">
        <v>44</v>
      </c>
      <c r="B664" s="26" t="s">
        <v>1723</v>
      </c>
      <c r="C664" s="26" t="s">
        <v>330</v>
      </c>
      <c r="D664" s="28" t="s">
        <v>7</v>
      </c>
      <c r="E664" s="28" t="s">
        <v>1732</v>
      </c>
      <c r="F664" s="32">
        <v>2980</v>
      </c>
      <c r="G664" s="44" t="s">
        <v>1733</v>
      </c>
      <c r="H664" s="44"/>
      <c r="I664" s="27" t="s">
        <v>58</v>
      </c>
      <c r="J664" s="27" t="s">
        <v>7</v>
      </c>
    </row>
    <row r="665" spans="1:10" ht="32.4" x14ac:dyDescent="0.3">
      <c r="A665" s="2" t="s">
        <v>44</v>
      </c>
      <c r="B665" s="26" t="s">
        <v>1723</v>
      </c>
      <c r="C665" s="26" t="s">
        <v>46</v>
      </c>
      <c r="D665" s="28" t="s">
        <v>7</v>
      </c>
      <c r="E665" s="28" t="s">
        <v>1734</v>
      </c>
      <c r="F665" s="32">
        <v>97633</v>
      </c>
      <c r="G665" s="44" t="s">
        <v>1735</v>
      </c>
      <c r="H665" s="44"/>
      <c r="I665" s="27" t="s">
        <v>478</v>
      </c>
      <c r="J665" s="27" t="s">
        <v>7</v>
      </c>
    </row>
    <row r="666" spans="1:10" x14ac:dyDescent="0.3">
      <c r="A666" s="2" t="s">
        <v>44</v>
      </c>
      <c r="B666" s="26" t="s">
        <v>1723</v>
      </c>
      <c r="C666" s="26" t="s">
        <v>46</v>
      </c>
      <c r="D666" s="28" t="s">
        <v>7</v>
      </c>
      <c r="E666" s="28" t="s">
        <v>1736</v>
      </c>
      <c r="F666" s="32">
        <v>6968</v>
      </c>
      <c r="G666" s="44" t="s">
        <v>1737</v>
      </c>
      <c r="H666" s="44"/>
      <c r="I666" s="27" t="s">
        <v>239</v>
      </c>
      <c r="J666" s="27" t="s">
        <v>7</v>
      </c>
    </row>
    <row r="667" spans="1:10" ht="32.4" x14ac:dyDescent="0.3">
      <c r="A667" s="2" t="s">
        <v>44</v>
      </c>
      <c r="B667" s="26" t="s">
        <v>1723</v>
      </c>
      <c r="C667" s="26" t="s">
        <v>46</v>
      </c>
      <c r="D667" s="28" t="s">
        <v>7</v>
      </c>
      <c r="E667" s="28" t="s">
        <v>1738</v>
      </c>
      <c r="F667" s="32">
        <v>500</v>
      </c>
      <c r="G667" s="44" t="s">
        <v>1739</v>
      </c>
      <c r="H667" s="44"/>
      <c r="I667" s="27" t="s">
        <v>102</v>
      </c>
      <c r="J667" s="27" t="s">
        <v>7</v>
      </c>
    </row>
    <row r="668" spans="1:10" ht="32.4" x14ac:dyDescent="0.3">
      <c r="A668" s="2" t="s">
        <v>44</v>
      </c>
      <c r="B668" s="26" t="s">
        <v>1723</v>
      </c>
      <c r="C668" s="26" t="s">
        <v>46</v>
      </c>
      <c r="D668" s="28" t="s">
        <v>7</v>
      </c>
      <c r="E668" s="28" t="s">
        <v>1740</v>
      </c>
      <c r="F668" s="32">
        <v>7368</v>
      </c>
      <c r="G668" s="44" t="s">
        <v>1741</v>
      </c>
      <c r="H668" s="44"/>
      <c r="I668" s="27" t="s">
        <v>102</v>
      </c>
      <c r="J668" s="27" t="s">
        <v>7</v>
      </c>
    </row>
    <row r="669" spans="1:10" x14ac:dyDescent="0.3">
      <c r="A669" s="2" t="s">
        <v>44</v>
      </c>
      <c r="B669" s="26" t="s">
        <v>1723</v>
      </c>
      <c r="C669" s="26" t="s">
        <v>46</v>
      </c>
      <c r="D669" s="28" t="s">
        <v>7</v>
      </c>
      <c r="E669" s="28" t="s">
        <v>1742</v>
      </c>
      <c r="F669" s="32">
        <v>81300</v>
      </c>
      <c r="G669" s="44" t="s">
        <v>1743</v>
      </c>
      <c r="H669" s="44"/>
      <c r="I669" s="27" t="s">
        <v>1744</v>
      </c>
      <c r="J669" s="27" t="s">
        <v>7</v>
      </c>
    </row>
    <row r="670" spans="1:10" ht="32.4" x14ac:dyDescent="0.3">
      <c r="A670" s="2" t="s">
        <v>52</v>
      </c>
      <c r="B670" s="26" t="s">
        <v>1745</v>
      </c>
      <c r="C670" s="26" t="s">
        <v>1746</v>
      </c>
      <c r="D670" s="28" t="s">
        <v>208</v>
      </c>
      <c r="E670" s="28" t="s">
        <v>1747</v>
      </c>
      <c r="F670" s="32">
        <v>1580</v>
      </c>
      <c r="G670" s="44" t="s">
        <v>1748</v>
      </c>
      <c r="H670" s="44"/>
      <c r="I670" s="27" t="s">
        <v>347</v>
      </c>
      <c r="J670" s="27" t="s">
        <v>7</v>
      </c>
    </row>
    <row r="671" spans="1:10" ht="32.4" x14ac:dyDescent="0.3">
      <c r="A671" s="2" t="s">
        <v>52</v>
      </c>
      <c r="B671" s="26" t="s">
        <v>1745</v>
      </c>
      <c r="C671" s="26" t="s">
        <v>1746</v>
      </c>
      <c r="D671" s="28" t="s">
        <v>208</v>
      </c>
      <c r="E671" s="28" t="s">
        <v>1749</v>
      </c>
      <c r="F671" s="32">
        <v>2980</v>
      </c>
      <c r="G671" s="44" t="s">
        <v>1750</v>
      </c>
      <c r="H671" s="44"/>
      <c r="I671" s="27" t="s">
        <v>499</v>
      </c>
      <c r="J671" s="27" t="s">
        <v>7</v>
      </c>
    </row>
    <row r="672" spans="1:10" ht="32.4" x14ac:dyDescent="0.3">
      <c r="A672" s="2" t="s">
        <v>52</v>
      </c>
      <c r="B672" s="26" t="s">
        <v>1745</v>
      </c>
      <c r="C672" s="26" t="s">
        <v>1751</v>
      </c>
      <c r="D672" s="28" t="s">
        <v>703</v>
      </c>
      <c r="E672" s="28" t="s">
        <v>1752</v>
      </c>
      <c r="F672" s="32">
        <v>3290</v>
      </c>
      <c r="G672" s="44" t="s">
        <v>1753</v>
      </c>
      <c r="H672" s="44"/>
      <c r="I672" s="27" t="s">
        <v>1232</v>
      </c>
      <c r="J672" s="27" t="s">
        <v>7</v>
      </c>
    </row>
    <row r="673" spans="1:10" ht="32.4" x14ac:dyDescent="0.3">
      <c r="A673" s="2" t="s">
        <v>52</v>
      </c>
      <c r="B673" s="26" t="s">
        <v>1745</v>
      </c>
      <c r="C673" s="26" t="s">
        <v>1754</v>
      </c>
      <c r="D673" s="28" t="s">
        <v>81</v>
      </c>
      <c r="E673" s="28" t="s">
        <v>1755</v>
      </c>
      <c r="F673" s="32">
        <v>17516</v>
      </c>
      <c r="G673" s="44" t="s">
        <v>1756</v>
      </c>
      <c r="H673" s="44"/>
      <c r="I673" s="27" t="s">
        <v>1757</v>
      </c>
      <c r="J673" s="27" t="s">
        <v>7</v>
      </c>
    </row>
    <row r="674" spans="1:10" ht="32.4" x14ac:dyDescent="0.3">
      <c r="A674" s="2" t="s">
        <v>52</v>
      </c>
      <c r="B674" s="26" t="s">
        <v>1745</v>
      </c>
      <c r="C674" s="26" t="s">
        <v>1758</v>
      </c>
      <c r="D674" s="28" t="s">
        <v>81</v>
      </c>
      <c r="E674" s="28" t="s">
        <v>1759</v>
      </c>
      <c r="F674" s="32">
        <v>19987</v>
      </c>
      <c r="G674" s="44" t="s">
        <v>1760</v>
      </c>
      <c r="H674" s="44"/>
      <c r="I674" s="27" t="s">
        <v>1757</v>
      </c>
      <c r="J674" s="27" t="s">
        <v>7</v>
      </c>
    </row>
    <row r="675" spans="1:10" ht="32.4" x14ac:dyDescent="0.3">
      <c r="A675" s="2" t="s">
        <v>52</v>
      </c>
      <c r="B675" s="26" t="s">
        <v>1745</v>
      </c>
      <c r="C675" s="26" t="s">
        <v>1761</v>
      </c>
      <c r="D675" s="28" t="s">
        <v>81</v>
      </c>
      <c r="E675" s="28" t="s">
        <v>1762</v>
      </c>
      <c r="F675" s="32">
        <v>32261</v>
      </c>
      <c r="G675" s="44" t="s">
        <v>1763</v>
      </c>
      <c r="H675" s="44"/>
      <c r="I675" s="27" t="s">
        <v>223</v>
      </c>
      <c r="J675" s="27" t="s">
        <v>7</v>
      </c>
    </row>
    <row r="676" spans="1:10" ht="48.6" x14ac:dyDescent="0.3">
      <c r="A676" s="2" t="s">
        <v>52</v>
      </c>
      <c r="B676" s="26" t="s">
        <v>1745</v>
      </c>
      <c r="C676" s="26" t="s">
        <v>1764</v>
      </c>
      <c r="D676" s="28" t="s">
        <v>110</v>
      </c>
      <c r="E676" s="28" t="s">
        <v>1765</v>
      </c>
      <c r="F676" s="32">
        <v>4084</v>
      </c>
      <c r="G676" s="44" t="s">
        <v>1766</v>
      </c>
      <c r="H676" s="44"/>
      <c r="I676" s="27" t="s">
        <v>150</v>
      </c>
      <c r="J676" s="27" t="s">
        <v>7</v>
      </c>
    </row>
    <row r="677" spans="1:10" x14ac:dyDescent="0.3">
      <c r="A677" s="2" t="s">
        <v>44</v>
      </c>
      <c r="B677" s="26" t="s">
        <v>1745</v>
      </c>
      <c r="C677" s="26" t="s">
        <v>330</v>
      </c>
      <c r="D677" s="28" t="s">
        <v>7</v>
      </c>
      <c r="E677" s="28" t="s">
        <v>1767</v>
      </c>
      <c r="F677" s="32">
        <v>1500</v>
      </c>
      <c r="G677" s="44" t="s">
        <v>1768</v>
      </c>
      <c r="H677" s="44"/>
      <c r="I677" s="27" t="s">
        <v>183</v>
      </c>
      <c r="J677" s="27" t="s">
        <v>7</v>
      </c>
    </row>
    <row r="678" spans="1:10" ht="32.4" x14ac:dyDescent="0.3">
      <c r="A678" s="2" t="s">
        <v>44</v>
      </c>
      <c r="B678" s="26" t="s">
        <v>1745</v>
      </c>
      <c r="C678" s="26" t="s">
        <v>330</v>
      </c>
      <c r="D678" s="28" t="s">
        <v>7</v>
      </c>
      <c r="E678" s="28" t="s">
        <v>1769</v>
      </c>
      <c r="F678" s="32">
        <v>2980</v>
      </c>
      <c r="G678" s="44" t="s">
        <v>1770</v>
      </c>
      <c r="H678" s="44"/>
      <c r="I678" s="27" t="s">
        <v>58</v>
      </c>
      <c r="J678" s="27" t="s">
        <v>7</v>
      </c>
    </row>
    <row r="679" spans="1:10" x14ac:dyDescent="0.3">
      <c r="A679" s="2" t="s">
        <v>44</v>
      </c>
      <c r="B679" s="26" t="s">
        <v>1745</v>
      </c>
      <c r="C679" s="26" t="s">
        <v>46</v>
      </c>
      <c r="D679" s="28" t="s">
        <v>7</v>
      </c>
      <c r="E679" s="28" t="s">
        <v>1771</v>
      </c>
      <c r="F679" s="32">
        <v>4084</v>
      </c>
      <c r="G679" s="44" t="s">
        <v>1772</v>
      </c>
      <c r="H679" s="44"/>
      <c r="I679" s="27" t="s">
        <v>1550</v>
      </c>
      <c r="J679" s="27" t="s">
        <v>7</v>
      </c>
    </row>
    <row r="680" spans="1:10" x14ac:dyDescent="0.3">
      <c r="A680" s="2" t="s">
        <v>44</v>
      </c>
      <c r="B680" s="26" t="s">
        <v>1745</v>
      </c>
      <c r="C680" s="26" t="s">
        <v>46</v>
      </c>
      <c r="D680" s="28" t="s">
        <v>7</v>
      </c>
      <c r="E680" s="28" t="s">
        <v>1773</v>
      </c>
      <c r="F680" s="32">
        <v>4084</v>
      </c>
      <c r="G680" s="44" t="s">
        <v>1774</v>
      </c>
      <c r="H680" s="44"/>
      <c r="I680" s="27" t="s">
        <v>1550</v>
      </c>
      <c r="J680" s="27" t="s">
        <v>7</v>
      </c>
    </row>
    <row r="681" spans="1:10" x14ac:dyDescent="0.3">
      <c r="A681" s="2" t="s">
        <v>44</v>
      </c>
      <c r="B681" s="26" t="s">
        <v>1745</v>
      </c>
      <c r="C681" s="26" t="s">
        <v>46</v>
      </c>
      <c r="D681" s="28" t="s">
        <v>7</v>
      </c>
      <c r="E681" s="28" t="s">
        <v>1775</v>
      </c>
      <c r="F681" s="32">
        <v>1089</v>
      </c>
      <c r="G681" s="44" t="s">
        <v>1776</v>
      </c>
      <c r="H681" s="44"/>
      <c r="I681" s="27" t="s">
        <v>838</v>
      </c>
      <c r="J681" s="27" t="s">
        <v>7</v>
      </c>
    </row>
    <row r="682" spans="1:10" x14ac:dyDescent="0.3">
      <c r="A682" s="2" t="s">
        <v>44</v>
      </c>
      <c r="B682" s="26" t="s">
        <v>1745</v>
      </c>
      <c r="C682" s="26" t="s">
        <v>46</v>
      </c>
      <c r="D682" s="28" t="s">
        <v>7</v>
      </c>
      <c r="E682" s="28" t="s">
        <v>1777</v>
      </c>
      <c r="F682" s="32">
        <v>11340</v>
      </c>
      <c r="G682" s="44" t="s">
        <v>1778</v>
      </c>
      <c r="H682" s="44"/>
      <c r="I682" s="27" t="s">
        <v>1207</v>
      </c>
      <c r="J682" s="27" t="s">
        <v>7</v>
      </c>
    </row>
    <row r="683" spans="1:10" ht="32.4" x14ac:dyDescent="0.3">
      <c r="A683" s="2" t="s">
        <v>44</v>
      </c>
      <c r="B683" s="26" t="s">
        <v>1745</v>
      </c>
      <c r="C683" s="26" t="s">
        <v>46</v>
      </c>
      <c r="D683" s="28" t="s">
        <v>7</v>
      </c>
      <c r="E683" s="28" t="s">
        <v>1779</v>
      </c>
      <c r="F683" s="32">
        <v>14700</v>
      </c>
      <c r="G683" s="44" t="s">
        <v>1780</v>
      </c>
      <c r="H683" s="44"/>
      <c r="I683" s="27" t="s">
        <v>1306</v>
      </c>
      <c r="J683" s="27" t="s">
        <v>7</v>
      </c>
    </row>
    <row r="684" spans="1:10" x14ac:dyDescent="0.3">
      <c r="A684" s="2" t="s">
        <v>44</v>
      </c>
      <c r="B684" s="26" t="s">
        <v>1745</v>
      </c>
      <c r="C684" s="26" t="s">
        <v>46</v>
      </c>
      <c r="D684" s="28" t="s">
        <v>7</v>
      </c>
      <c r="E684" s="28" t="s">
        <v>1781</v>
      </c>
      <c r="F684" s="32">
        <v>3063</v>
      </c>
      <c r="G684" s="44" t="s">
        <v>1782</v>
      </c>
      <c r="H684" s="44"/>
      <c r="I684" s="27" t="s">
        <v>70</v>
      </c>
      <c r="J684" s="27" t="s">
        <v>7</v>
      </c>
    </row>
    <row r="685" spans="1:10" x14ac:dyDescent="0.3">
      <c r="A685" s="2" t="s">
        <v>44</v>
      </c>
      <c r="B685" s="26" t="s">
        <v>1745</v>
      </c>
      <c r="C685" s="26" t="s">
        <v>46</v>
      </c>
      <c r="D685" s="28" t="s">
        <v>7</v>
      </c>
      <c r="E685" s="28" t="s">
        <v>1783</v>
      </c>
      <c r="F685" s="32">
        <v>1580</v>
      </c>
      <c r="G685" s="44" t="s">
        <v>1784</v>
      </c>
      <c r="H685" s="44"/>
      <c r="I685" s="27" t="s">
        <v>70</v>
      </c>
      <c r="J685" s="27" t="s">
        <v>7</v>
      </c>
    </row>
    <row r="686" spans="1:10" x14ac:dyDescent="0.3">
      <c r="A686" s="2" t="s">
        <v>44</v>
      </c>
      <c r="B686" s="26" t="s">
        <v>1745</v>
      </c>
      <c r="C686" s="26" t="s">
        <v>46</v>
      </c>
      <c r="D686" s="28" t="s">
        <v>7</v>
      </c>
      <c r="E686" s="28" t="s">
        <v>1785</v>
      </c>
      <c r="F686" s="32">
        <v>9949</v>
      </c>
      <c r="G686" s="44" t="s">
        <v>1786</v>
      </c>
      <c r="H686" s="44"/>
      <c r="I686" s="27" t="s">
        <v>1787</v>
      </c>
      <c r="J686" s="27" t="s">
        <v>7</v>
      </c>
    </row>
    <row r="687" spans="1:10" x14ac:dyDescent="0.3">
      <c r="A687" s="2" t="s">
        <v>44</v>
      </c>
      <c r="B687" s="26" t="s">
        <v>1745</v>
      </c>
      <c r="C687" s="26" t="s">
        <v>46</v>
      </c>
      <c r="D687" s="28" t="s">
        <v>7</v>
      </c>
      <c r="E687" s="28" t="s">
        <v>1788</v>
      </c>
      <c r="F687" s="32">
        <v>9848</v>
      </c>
      <c r="G687" s="44" t="s">
        <v>1789</v>
      </c>
      <c r="H687" s="44"/>
      <c r="I687" s="27" t="s">
        <v>1787</v>
      </c>
      <c r="J687" s="27" t="s">
        <v>7</v>
      </c>
    </row>
    <row r="688" spans="1:10" ht="32.4" x14ac:dyDescent="0.3">
      <c r="A688" s="2" t="s">
        <v>52</v>
      </c>
      <c r="B688" s="26" t="s">
        <v>1790</v>
      </c>
      <c r="C688" s="26" t="s">
        <v>1791</v>
      </c>
      <c r="D688" s="28" t="s">
        <v>245</v>
      </c>
      <c r="E688" s="28" t="s">
        <v>1792</v>
      </c>
      <c r="F688" s="32">
        <v>3658</v>
      </c>
      <c r="G688" s="44" t="s">
        <v>1793</v>
      </c>
      <c r="H688" s="44"/>
      <c r="I688" s="27" t="s">
        <v>1412</v>
      </c>
      <c r="J688" s="27" t="s">
        <v>7</v>
      </c>
    </row>
    <row r="689" spans="1:10" x14ac:dyDescent="0.3">
      <c r="A689" s="2" t="s">
        <v>52</v>
      </c>
      <c r="B689" s="26" t="s">
        <v>1790</v>
      </c>
      <c r="C689" s="26" t="s">
        <v>1791</v>
      </c>
      <c r="D689" s="28" t="s">
        <v>124</v>
      </c>
      <c r="E689" s="28" t="s">
        <v>1794</v>
      </c>
      <c r="F689" s="32">
        <v>32</v>
      </c>
      <c r="G689" s="44" t="s">
        <v>1795</v>
      </c>
      <c r="H689" s="44"/>
      <c r="I689" s="27" t="s">
        <v>1223</v>
      </c>
      <c r="J689" s="27" t="s">
        <v>7</v>
      </c>
    </row>
    <row r="690" spans="1:10" ht="32.4" x14ac:dyDescent="0.3">
      <c r="A690" s="2" t="s">
        <v>52</v>
      </c>
      <c r="B690" s="26" t="s">
        <v>1790</v>
      </c>
      <c r="C690" s="26" t="s">
        <v>1791</v>
      </c>
      <c r="D690" s="28" t="s">
        <v>141</v>
      </c>
      <c r="E690" s="28" t="s">
        <v>1794</v>
      </c>
      <c r="F690" s="32">
        <v>1708</v>
      </c>
      <c r="G690" s="44" t="s">
        <v>1795</v>
      </c>
      <c r="H690" s="44"/>
      <c r="I690" s="27" t="s">
        <v>1223</v>
      </c>
      <c r="J690" s="27" t="s">
        <v>7</v>
      </c>
    </row>
    <row r="691" spans="1:10" x14ac:dyDescent="0.3">
      <c r="A691" s="2" t="s">
        <v>52</v>
      </c>
      <c r="B691" s="26" t="s">
        <v>1790</v>
      </c>
      <c r="C691" s="26" t="s">
        <v>1791</v>
      </c>
      <c r="D691" s="28" t="s">
        <v>115</v>
      </c>
      <c r="E691" s="28" t="s">
        <v>1794</v>
      </c>
      <c r="F691" s="32">
        <v>525</v>
      </c>
      <c r="G691" s="44" t="s">
        <v>1795</v>
      </c>
      <c r="H691" s="44"/>
      <c r="I691" s="27" t="s">
        <v>1223</v>
      </c>
      <c r="J691" s="27" t="s">
        <v>7</v>
      </c>
    </row>
    <row r="692" spans="1:10" ht="32.4" x14ac:dyDescent="0.3">
      <c r="A692" s="2" t="s">
        <v>52</v>
      </c>
      <c r="B692" s="26" t="s">
        <v>1790</v>
      </c>
      <c r="C692" s="26" t="s">
        <v>1796</v>
      </c>
      <c r="D692" s="28" t="s">
        <v>121</v>
      </c>
      <c r="E692" s="28" t="s">
        <v>1797</v>
      </c>
      <c r="F692" s="32">
        <v>8524</v>
      </c>
      <c r="G692" s="44" t="s">
        <v>1798</v>
      </c>
      <c r="H692" s="44"/>
      <c r="I692" s="27" t="s">
        <v>1799</v>
      </c>
      <c r="J692" s="27" t="s">
        <v>7</v>
      </c>
    </row>
    <row r="693" spans="1:10" ht="32.4" x14ac:dyDescent="0.3">
      <c r="A693" s="2" t="s">
        <v>52</v>
      </c>
      <c r="B693" s="26" t="s">
        <v>1790</v>
      </c>
      <c r="C693" s="26" t="s">
        <v>1800</v>
      </c>
      <c r="D693" s="28" t="s">
        <v>121</v>
      </c>
      <c r="E693" s="28" t="s">
        <v>1801</v>
      </c>
      <c r="F693" s="32">
        <v>130</v>
      </c>
      <c r="G693" s="44" t="s">
        <v>1802</v>
      </c>
      <c r="H693" s="44"/>
      <c r="I693" s="27" t="s">
        <v>1412</v>
      </c>
      <c r="J693" s="27" t="s">
        <v>7</v>
      </c>
    </row>
    <row r="694" spans="1:10" ht="32.4" x14ac:dyDescent="0.3">
      <c r="A694" s="2" t="s">
        <v>52</v>
      </c>
      <c r="B694" s="26" t="s">
        <v>1790</v>
      </c>
      <c r="C694" s="26" t="s">
        <v>1800</v>
      </c>
      <c r="D694" s="28" t="s">
        <v>1314</v>
      </c>
      <c r="E694" s="28" t="s">
        <v>1801</v>
      </c>
      <c r="F694" s="32">
        <v>7410</v>
      </c>
      <c r="G694" s="44" t="s">
        <v>1802</v>
      </c>
      <c r="H694" s="44"/>
      <c r="I694" s="27" t="s">
        <v>1412</v>
      </c>
      <c r="J694" s="27" t="s">
        <v>7</v>
      </c>
    </row>
    <row r="695" spans="1:10" ht="32.4" x14ac:dyDescent="0.3">
      <c r="A695" s="2" t="s">
        <v>52</v>
      </c>
      <c r="B695" s="26" t="s">
        <v>1790</v>
      </c>
      <c r="C695" s="26" t="s">
        <v>1800</v>
      </c>
      <c r="D695" s="28" t="s">
        <v>245</v>
      </c>
      <c r="E695" s="28" t="s">
        <v>1801</v>
      </c>
      <c r="F695" s="32">
        <v>5117</v>
      </c>
      <c r="G695" s="44" t="s">
        <v>1802</v>
      </c>
      <c r="H695" s="44"/>
      <c r="I695" s="27" t="s">
        <v>1412</v>
      </c>
      <c r="J695" s="27" t="s">
        <v>7</v>
      </c>
    </row>
    <row r="696" spans="1:10" ht="32.4" x14ac:dyDescent="0.3">
      <c r="A696" s="2" t="s">
        <v>52</v>
      </c>
      <c r="B696" s="26" t="s">
        <v>1790</v>
      </c>
      <c r="C696" s="26" t="s">
        <v>1803</v>
      </c>
      <c r="D696" s="28" t="s">
        <v>232</v>
      </c>
      <c r="E696" s="28" t="s">
        <v>1804</v>
      </c>
      <c r="F696" s="32">
        <v>2000</v>
      </c>
      <c r="G696" s="44" t="s">
        <v>1805</v>
      </c>
      <c r="H696" s="44"/>
      <c r="I696" s="27" t="s">
        <v>1806</v>
      </c>
      <c r="J696" s="27" t="s">
        <v>7</v>
      </c>
    </row>
    <row r="697" spans="1:10" ht="32.4" x14ac:dyDescent="0.3">
      <c r="A697" s="2" t="s">
        <v>52</v>
      </c>
      <c r="B697" s="26" t="s">
        <v>1790</v>
      </c>
      <c r="C697" s="26" t="s">
        <v>1803</v>
      </c>
      <c r="D697" s="28" t="s">
        <v>141</v>
      </c>
      <c r="E697" s="28" t="s">
        <v>1807</v>
      </c>
      <c r="F697" s="32">
        <v>1107</v>
      </c>
      <c r="G697" s="44" t="s">
        <v>1808</v>
      </c>
      <c r="H697" s="44"/>
      <c r="I697" s="27" t="s">
        <v>925</v>
      </c>
      <c r="J697" s="27" t="s">
        <v>7</v>
      </c>
    </row>
    <row r="698" spans="1:10" ht="32.4" x14ac:dyDescent="0.3">
      <c r="A698" s="2" t="s">
        <v>52</v>
      </c>
      <c r="B698" s="26" t="s">
        <v>1790</v>
      </c>
      <c r="C698" s="26" t="s">
        <v>1803</v>
      </c>
      <c r="D698" s="28" t="s">
        <v>195</v>
      </c>
      <c r="E698" s="28" t="s">
        <v>1809</v>
      </c>
      <c r="F698" s="32">
        <v>2000</v>
      </c>
      <c r="G698" s="44" t="s">
        <v>1810</v>
      </c>
      <c r="H698" s="44"/>
      <c r="I698" s="27" t="s">
        <v>1487</v>
      </c>
      <c r="J698" s="27" t="s">
        <v>7</v>
      </c>
    </row>
    <row r="699" spans="1:10" x14ac:dyDescent="0.3">
      <c r="A699" s="2" t="s">
        <v>44</v>
      </c>
      <c r="B699" s="26" t="s">
        <v>1790</v>
      </c>
      <c r="C699" s="26" t="s">
        <v>46</v>
      </c>
      <c r="D699" s="28" t="s">
        <v>7</v>
      </c>
      <c r="E699" s="28" t="s">
        <v>1811</v>
      </c>
      <c r="F699" s="32">
        <v>664</v>
      </c>
      <c r="G699" s="44" t="s">
        <v>1812</v>
      </c>
      <c r="H699" s="44"/>
      <c r="I699" s="27" t="s">
        <v>49</v>
      </c>
      <c r="J699" s="27" t="s">
        <v>7</v>
      </c>
    </row>
    <row r="700" spans="1:10" x14ac:dyDescent="0.3">
      <c r="A700" s="2" t="s">
        <v>44</v>
      </c>
      <c r="B700" s="26" t="s">
        <v>1790</v>
      </c>
      <c r="C700" s="26" t="s">
        <v>46</v>
      </c>
      <c r="D700" s="28" t="s">
        <v>7</v>
      </c>
      <c r="E700" s="28" t="s">
        <v>1813</v>
      </c>
      <c r="F700" s="32">
        <v>820</v>
      </c>
      <c r="G700" s="44" t="s">
        <v>1814</v>
      </c>
      <c r="H700" s="44"/>
      <c r="I700" s="27" t="s">
        <v>1118</v>
      </c>
      <c r="J700" s="27" t="s">
        <v>7</v>
      </c>
    </row>
    <row r="701" spans="1:10" x14ac:dyDescent="0.3">
      <c r="A701" s="2" t="s">
        <v>44</v>
      </c>
      <c r="B701" s="26" t="s">
        <v>1790</v>
      </c>
      <c r="C701" s="26" t="s">
        <v>46</v>
      </c>
      <c r="D701" s="28" t="s">
        <v>7</v>
      </c>
      <c r="E701" s="28" t="s">
        <v>1815</v>
      </c>
      <c r="F701" s="32">
        <v>457</v>
      </c>
      <c r="G701" s="44" t="s">
        <v>1816</v>
      </c>
      <c r="H701" s="44"/>
      <c r="I701" s="27" t="s">
        <v>842</v>
      </c>
      <c r="J701" s="27" t="s">
        <v>7</v>
      </c>
    </row>
    <row r="702" spans="1:10" x14ac:dyDescent="0.3">
      <c r="A702" s="2" t="s">
        <v>44</v>
      </c>
      <c r="B702" s="26" t="s">
        <v>1790</v>
      </c>
      <c r="C702" s="26" t="s">
        <v>46</v>
      </c>
      <c r="D702" s="28" t="s">
        <v>7</v>
      </c>
      <c r="E702" s="28" t="s">
        <v>1817</v>
      </c>
      <c r="F702" s="32">
        <v>2920</v>
      </c>
      <c r="G702" s="44" t="s">
        <v>1818</v>
      </c>
      <c r="H702" s="44"/>
      <c r="I702" s="27" t="s">
        <v>70</v>
      </c>
      <c r="J702" s="27" t="s">
        <v>7</v>
      </c>
    </row>
    <row r="703" spans="1:10" x14ac:dyDescent="0.3">
      <c r="A703" s="2" t="s">
        <v>44</v>
      </c>
      <c r="B703" s="26" t="s">
        <v>1790</v>
      </c>
      <c r="C703" s="26" t="s">
        <v>46</v>
      </c>
      <c r="D703" s="28" t="s">
        <v>7</v>
      </c>
      <c r="E703" s="28" t="s">
        <v>1819</v>
      </c>
      <c r="F703" s="32">
        <v>1200</v>
      </c>
      <c r="G703" s="44" t="s">
        <v>1820</v>
      </c>
      <c r="H703" s="44"/>
      <c r="I703" s="27" t="s">
        <v>70</v>
      </c>
      <c r="J703" s="27" t="s">
        <v>7</v>
      </c>
    </row>
    <row r="704" spans="1:10" ht="32.4" x14ac:dyDescent="0.3">
      <c r="A704" s="2" t="s">
        <v>44</v>
      </c>
      <c r="B704" s="26" t="s">
        <v>1790</v>
      </c>
      <c r="C704" s="26" t="s">
        <v>46</v>
      </c>
      <c r="D704" s="28" t="s">
        <v>7</v>
      </c>
      <c r="E704" s="28" t="s">
        <v>1821</v>
      </c>
      <c r="F704" s="32">
        <v>2000</v>
      </c>
      <c r="G704" s="44" t="s">
        <v>1822</v>
      </c>
      <c r="H704" s="44"/>
      <c r="I704" s="27" t="s">
        <v>58</v>
      </c>
      <c r="J704" s="27" t="s">
        <v>7</v>
      </c>
    </row>
    <row r="705" spans="1:10" ht="32.4" x14ac:dyDescent="0.3">
      <c r="A705" s="2" t="s">
        <v>44</v>
      </c>
      <c r="B705" s="26" t="s">
        <v>1790</v>
      </c>
      <c r="C705" s="26" t="s">
        <v>46</v>
      </c>
      <c r="D705" s="28" t="s">
        <v>7</v>
      </c>
      <c r="E705" s="28" t="s">
        <v>1823</v>
      </c>
      <c r="F705" s="32">
        <v>2980</v>
      </c>
      <c r="G705" s="44" t="s">
        <v>1824</v>
      </c>
      <c r="H705" s="44"/>
      <c r="I705" s="27" t="s">
        <v>58</v>
      </c>
      <c r="J705" s="27" t="s">
        <v>7</v>
      </c>
    </row>
    <row r="706" spans="1:10" ht="32.4" x14ac:dyDescent="0.3">
      <c r="A706" s="2" t="s">
        <v>44</v>
      </c>
      <c r="B706" s="26" t="s">
        <v>1790</v>
      </c>
      <c r="C706" s="26" t="s">
        <v>46</v>
      </c>
      <c r="D706" s="28" t="s">
        <v>7</v>
      </c>
      <c r="E706" s="28" t="s">
        <v>1825</v>
      </c>
      <c r="F706" s="32">
        <v>2000</v>
      </c>
      <c r="G706" s="44" t="s">
        <v>1826</v>
      </c>
      <c r="H706" s="44"/>
      <c r="I706" s="27" t="s">
        <v>58</v>
      </c>
      <c r="J706" s="27" t="s">
        <v>7</v>
      </c>
    </row>
    <row r="707" spans="1:10" ht="32.4" x14ac:dyDescent="0.3">
      <c r="A707" s="2" t="s">
        <v>44</v>
      </c>
      <c r="B707" s="26" t="s">
        <v>1790</v>
      </c>
      <c r="C707" s="26" t="s">
        <v>46</v>
      </c>
      <c r="D707" s="28" t="s">
        <v>7</v>
      </c>
      <c r="E707" s="28" t="s">
        <v>1827</v>
      </c>
      <c r="F707" s="32">
        <v>2980</v>
      </c>
      <c r="G707" s="44" t="s">
        <v>1828</v>
      </c>
      <c r="H707" s="44"/>
      <c r="I707" s="27" t="s">
        <v>58</v>
      </c>
      <c r="J707" s="27" t="s">
        <v>7</v>
      </c>
    </row>
    <row r="708" spans="1:10" ht="32.4" x14ac:dyDescent="0.3">
      <c r="A708" s="2" t="s">
        <v>44</v>
      </c>
      <c r="B708" s="26" t="s">
        <v>1790</v>
      </c>
      <c r="C708" s="26" t="s">
        <v>46</v>
      </c>
      <c r="D708" s="28" t="s">
        <v>7</v>
      </c>
      <c r="E708" s="28" t="s">
        <v>1829</v>
      </c>
      <c r="F708" s="32">
        <v>10000</v>
      </c>
      <c r="G708" s="44" t="s">
        <v>1830</v>
      </c>
      <c r="H708" s="44"/>
      <c r="I708" s="27" t="s">
        <v>325</v>
      </c>
      <c r="J708" s="27" t="s">
        <v>7</v>
      </c>
    </row>
    <row r="709" spans="1:10" ht="32.4" x14ac:dyDescent="0.3">
      <c r="A709" s="2" t="s">
        <v>44</v>
      </c>
      <c r="B709" s="26" t="s">
        <v>1790</v>
      </c>
      <c r="C709" s="26" t="s">
        <v>46</v>
      </c>
      <c r="D709" s="28" t="s">
        <v>7</v>
      </c>
      <c r="E709" s="28" t="s">
        <v>1831</v>
      </c>
      <c r="F709" s="32">
        <v>3696</v>
      </c>
      <c r="G709" s="44" t="s">
        <v>1832</v>
      </c>
      <c r="H709" s="44"/>
      <c r="I709" s="27" t="s">
        <v>150</v>
      </c>
      <c r="J709" s="27" t="s">
        <v>7</v>
      </c>
    </row>
    <row r="710" spans="1:10" ht="32.4" x14ac:dyDescent="0.3">
      <c r="A710" s="2" t="s">
        <v>44</v>
      </c>
      <c r="B710" s="26" t="s">
        <v>1790</v>
      </c>
      <c r="C710" s="26" t="s">
        <v>46</v>
      </c>
      <c r="D710" s="28" t="s">
        <v>7</v>
      </c>
      <c r="E710" s="28" t="s">
        <v>1833</v>
      </c>
      <c r="F710" s="32">
        <v>1836</v>
      </c>
      <c r="G710" s="44" t="s">
        <v>1834</v>
      </c>
      <c r="H710" s="44"/>
      <c r="I710" s="27" t="s">
        <v>150</v>
      </c>
      <c r="J710" s="27" t="s">
        <v>7</v>
      </c>
    </row>
    <row r="711" spans="1:10" ht="32.4" x14ac:dyDescent="0.3">
      <c r="A711" s="2" t="s">
        <v>52</v>
      </c>
      <c r="B711" s="26" t="s">
        <v>1835</v>
      </c>
      <c r="C711" s="26" t="s">
        <v>1836</v>
      </c>
      <c r="D711" s="28" t="s">
        <v>245</v>
      </c>
      <c r="E711" s="28" t="s">
        <v>1837</v>
      </c>
      <c r="F711" s="32">
        <v>9000</v>
      </c>
      <c r="G711" s="44" t="s">
        <v>1838</v>
      </c>
      <c r="H711" s="44"/>
      <c r="I711" s="27" t="s">
        <v>1839</v>
      </c>
      <c r="J711" s="27" t="s">
        <v>7</v>
      </c>
    </row>
    <row r="712" spans="1:10" ht="32.4" x14ac:dyDescent="0.3">
      <c r="A712" s="2" t="s">
        <v>52</v>
      </c>
      <c r="B712" s="26" t="s">
        <v>1835</v>
      </c>
      <c r="C712" s="26" t="s">
        <v>1836</v>
      </c>
      <c r="D712" s="28" t="s">
        <v>121</v>
      </c>
      <c r="E712" s="28" t="s">
        <v>1840</v>
      </c>
      <c r="F712" s="32">
        <v>4500</v>
      </c>
      <c r="G712" s="44" t="s">
        <v>835</v>
      </c>
      <c r="H712" s="44"/>
      <c r="I712" s="27" t="s">
        <v>49</v>
      </c>
      <c r="J712" s="27" t="s">
        <v>7</v>
      </c>
    </row>
    <row r="713" spans="1:10" ht="32.4" x14ac:dyDescent="0.3">
      <c r="A713" s="2" t="s">
        <v>52</v>
      </c>
      <c r="B713" s="26" t="s">
        <v>1835</v>
      </c>
      <c r="C713" s="26" t="s">
        <v>1836</v>
      </c>
      <c r="D713" s="28" t="s">
        <v>216</v>
      </c>
      <c r="E713" s="28" t="s">
        <v>1841</v>
      </c>
      <c r="F713" s="32">
        <v>630</v>
      </c>
      <c r="G713" s="44" t="s">
        <v>1842</v>
      </c>
      <c r="H713" s="44"/>
      <c r="I713" s="27" t="s">
        <v>49</v>
      </c>
      <c r="J713" s="27" t="s">
        <v>7</v>
      </c>
    </row>
    <row r="714" spans="1:10" x14ac:dyDescent="0.3">
      <c r="A714" s="2" t="s">
        <v>44</v>
      </c>
      <c r="B714" s="26" t="s">
        <v>1835</v>
      </c>
      <c r="C714" s="26" t="s">
        <v>46</v>
      </c>
      <c r="D714" s="28" t="s">
        <v>7</v>
      </c>
      <c r="E714" s="28" t="s">
        <v>1843</v>
      </c>
      <c r="F714" s="32">
        <v>1835</v>
      </c>
      <c r="G714" s="44" t="s">
        <v>1844</v>
      </c>
      <c r="H714" s="44"/>
      <c r="I714" s="27" t="s">
        <v>1412</v>
      </c>
      <c r="J714" s="27" t="s">
        <v>7</v>
      </c>
    </row>
    <row r="715" spans="1:10" ht="32.4" x14ac:dyDescent="0.3">
      <c r="A715" s="2" t="s">
        <v>44</v>
      </c>
      <c r="B715" s="26" t="s">
        <v>1835</v>
      </c>
      <c r="C715" s="26" t="s">
        <v>46</v>
      </c>
      <c r="D715" s="28" t="s">
        <v>7</v>
      </c>
      <c r="E715" s="28" t="s">
        <v>1845</v>
      </c>
      <c r="F715" s="32">
        <v>7137</v>
      </c>
      <c r="G715" s="44" t="s">
        <v>1846</v>
      </c>
      <c r="H715" s="44"/>
      <c r="I715" s="27" t="s">
        <v>337</v>
      </c>
      <c r="J715" s="27" t="s">
        <v>7</v>
      </c>
    </row>
    <row r="716" spans="1:10" ht="32.4" x14ac:dyDescent="0.3">
      <c r="A716" s="2" t="s">
        <v>44</v>
      </c>
      <c r="B716" s="26" t="s">
        <v>1835</v>
      </c>
      <c r="C716" s="26" t="s">
        <v>46</v>
      </c>
      <c r="D716" s="28" t="s">
        <v>7</v>
      </c>
      <c r="E716" s="28" t="s">
        <v>1847</v>
      </c>
      <c r="F716" s="32">
        <v>1160</v>
      </c>
      <c r="G716" s="44" t="s">
        <v>1848</v>
      </c>
      <c r="H716" s="44"/>
      <c r="I716" s="27" t="s">
        <v>150</v>
      </c>
      <c r="J716" s="27" t="s">
        <v>7</v>
      </c>
    </row>
    <row r="717" spans="1:10" ht="32.4" x14ac:dyDescent="0.3">
      <c r="A717" s="2" t="s">
        <v>44</v>
      </c>
      <c r="B717" s="26" t="s">
        <v>1835</v>
      </c>
      <c r="C717" s="26" t="s">
        <v>46</v>
      </c>
      <c r="D717" s="28" t="s">
        <v>7</v>
      </c>
      <c r="E717" s="28" t="s">
        <v>1849</v>
      </c>
      <c r="F717" s="32">
        <v>3115</v>
      </c>
      <c r="G717" s="44" t="s">
        <v>1850</v>
      </c>
      <c r="H717" s="44"/>
      <c r="I717" s="27" t="s">
        <v>150</v>
      </c>
      <c r="J717" s="27" t="s">
        <v>7</v>
      </c>
    </row>
    <row r="718" spans="1:10" x14ac:dyDescent="0.3">
      <c r="A718" s="2" t="s">
        <v>44</v>
      </c>
      <c r="B718" s="26" t="s">
        <v>1835</v>
      </c>
      <c r="C718" s="26" t="s">
        <v>46</v>
      </c>
      <c r="D718" s="28" t="s">
        <v>7</v>
      </c>
      <c r="E718" s="28" t="s">
        <v>1851</v>
      </c>
      <c r="F718" s="32">
        <v>4084</v>
      </c>
      <c r="G718" s="44" t="s">
        <v>1852</v>
      </c>
      <c r="H718" s="44"/>
      <c r="I718" s="27" t="s">
        <v>1853</v>
      </c>
      <c r="J718" s="27" t="s">
        <v>7</v>
      </c>
    </row>
    <row r="719" spans="1:10" x14ac:dyDescent="0.3">
      <c r="A719" s="2" t="s">
        <v>44</v>
      </c>
      <c r="B719" s="26" t="s">
        <v>1835</v>
      </c>
      <c r="C719" s="26" t="s">
        <v>46</v>
      </c>
      <c r="D719" s="28" t="s">
        <v>7</v>
      </c>
      <c r="E719" s="28" t="s">
        <v>1854</v>
      </c>
      <c r="F719" s="32">
        <v>6126</v>
      </c>
      <c r="G719" s="44" t="s">
        <v>1855</v>
      </c>
      <c r="H719" s="44"/>
      <c r="I719" s="27" t="s">
        <v>211</v>
      </c>
      <c r="J719" s="27" t="s">
        <v>7</v>
      </c>
    </row>
    <row r="720" spans="1:10" ht="32.4" x14ac:dyDescent="0.3">
      <c r="A720" s="2" t="s">
        <v>44</v>
      </c>
      <c r="B720" s="26" t="s">
        <v>1856</v>
      </c>
      <c r="C720" s="26" t="s">
        <v>46</v>
      </c>
      <c r="D720" s="28" t="s">
        <v>7</v>
      </c>
      <c r="E720" s="28" t="s">
        <v>1857</v>
      </c>
      <c r="F720" s="32">
        <v>6000</v>
      </c>
      <c r="G720" s="44" t="s">
        <v>1858</v>
      </c>
      <c r="H720" s="44"/>
      <c r="I720" s="27" t="s">
        <v>235</v>
      </c>
      <c r="J720" s="27" t="s">
        <v>7</v>
      </c>
    </row>
    <row r="721" spans="1:10" ht="32.4" x14ac:dyDescent="0.3">
      <c r="A721" s="2" t="s">
        <v>52</v>
      </c>
      <c r="B721" s="26" t="s">
        <v>1859</v>
      </c>
      <c r="C721" s="26" t="s">
        <v>1860</v>
      </c>
      <c r="D721" s="28" t="s">
        <v>141</v>
      </c>
      <c r="E721" s="28" t="s">
        <v>1861</v>
      </c>
      <c r="F721" s="32">
        <v>12000</v>
      </c>
      <c r="G721" s="44" t="s">
        <v>1862</v>
      </c>
      <c r="H721" s="44"/>
      <c r="I721" s="27" t="s">
        <v>211</v>
      </c>
      <c r="J721" s="27" t="s">
        <v>7</v>
      </c>
    </row>
    <row r="722" spans="1:10" ht="32.4" x14ac:dyDescent="0.3">
      <c r="A722" s="2" t="s">
        <v>52</v>
      </c>
      <c r="B722" s="26" t="s">
        <v>1859</v>
      </c>
      <c r="C722" s="26" t="s">
        <v>1863</v>
      </c>
      <c r="D722" s="28" t="s">
        <v>1053</v>
      </c>
      <c r="E722" s="28" t="s">
        <v>1864</v>
      </c>
      <c r="F722" s="32">
        <v>32100</v>
      </c>
      <c r="G722" s="44" t="s">
        <v>1865</v>
      </c>
      <c r="H722" s="44"/>
      <c r="I722" s="27" t="s">
        <v>150</v>
      </c>
      <c r="J722" s="27" t="s">
        <v>7</v>
      </c>
    </row>
    <row r="723" spans="1:10" ht="32.4" x14ac:dyDescent="0.3">
      <c r="A723" s="2" t="s">
        <v>52</v>
      </c>
      <c r="B723" s="26" t="s">
        <v>1859</v>
      </c>
      <c r="C723" s="26" t="s">
        <v>1866</v>
      </c>
      <c r="D723" s="28" t="s">
        <v>141</v>
      </c>
      <c r="E723" s="28" t="s">
        <v>1867</v>
      </c>
      <c r="F723" s="32">
        <v>14513</v>
      </c>
      <c r="G723" s="44" t="s">
        <v>1868</v>
      </c>
      <c r="H723" s="44"/>
      <c r="I723" s="27" t="s">
        <v>1042</v>
      </c>
      <c r="J723" s="27" t="s">
        <v>7</v>
      </c>
    </row>
    <row r="724" spans="1:10" ht="48.6" x14ac:dyDescent="0.3">
      <c r="A724" s="2" t="s">
        <v>52</v>
      </c>
      <c r="B724" s="26" t="s">
        <v>1859</v>
      </c>
      <c r="C724" s="26" t="s">
        <v>1869</v>
      </c>
      <c r="D724" s="28" t="s">
        <v>110</v>
      </c>
      <c r="E724" s="28" t="s">
        <v>1870</v>
      </c>
      <c r="F724" s="32">
        <v>2042</v>
      </c>
      <c r="G724" s="44" t="s">
        <v>1871</v>
      </c>
      <c r="H724" s="44"/>
      <c r="I724" s="27" t="s">
        <v>168</v>
      </c>
      <c r="J724" s="27" t="s">
        <v>7</v>
      </c>
    </row>
    <row r="725" spans="1:10" ht="32.4" x14ac:dyDescent="0.3">
      <c r="A725" s="2" t="s">
        <v>52</v>
      </c>
      <c r="B725" s="26" t="s">
        <v>1859</v>
      </c>
      <c r="C725" s="26" t="s">
        <v>1869</v>
      </c>
      <c r="D725" s="28" t="s">
        <v>471</v>
      </c>
      <c r="E725" s="28" t="s">
        <v>1872</v>
      </c>
      <c r="F725" s="32">
        <v>6126</v>
      </c>
      <c r="G725" s="44" t="s">
        <v>1873</v>
      </c>
      <c r="H725" s="44"/>
      <c r="I725" s="27" t="s">
        <v>211</v>
      </c>
      <c r="J725" s="27" t="s">
        <v>7</v>
      </c>
    </row>
    <row r="726" spans="1:10" ht="48.6" x14ac:dyDescent="0.3">
      <c r="A726" s="2" t="s">
        <v>52</v>
      </c>
      <c r="B726" s="26" t="s">
        <v>1859</v>
      </c>
      <c r="C726" s="26" t="s">
        <v>1869</v>
      </c>
      <c r="D726" s="28" t="s">
        <v>110</v>
      </c>
      <c r="E726" s="28" t="s">
        <v>1874</v>
      </c>
      <c r="F726" s="32">
        <v>6127</v>
      </c>
      <c r="G726" s="44" t="s">
        <v>1875</v>
      </c>
      <c r="H726" s="44"/>
      <c r="I726" s="27" t="s">
        <v>49</v>
      </c>
      <c r="J726" s="27" t="s">
        <v>7</v>
      </c>
    </row>
    <row r="727" spans="1:10" ht="48.6" x14ac:dyDescent="0.3">
      <c r="A727" s="2" t="s">
        <v>52</v>
      </c>
      <c r="B727" s="26" t="s">
        <v>1859</v>
      </c>
      <c r="C727" s="26" t="s">
        <v>1869</v>
      </c>
      <c r="D727" s="28" t="s">
        <v>110</v>
      </c>
      <c r="E727" s="28" t="s">
        <v>1876</v>
      </c>
      <c r="F727" s="32">
        <v>6127</v>
      </c>
      <c r="G727" s="44" t="s">
        <v>1877</v>
      </c>
      <c r="H727" s="44"/>
      <c r="I727" s="27" t="s">
        <v>49</v>
      </c>
      <c r="J727" s="27" t="s">
        <v>7</v>
      </c>
    </row>
    <row r="728" spans="1:10" x14ac:dyDescent="0.3">
      <c r="A728" s="2" t="s">
        <v>44</v>
      </c>
      <c r="B728" s="26" t="s">
        <v>1859</v>
      </c>
      <c r="C728" s="26" t="s">
        <v>46</v>
      </c>
      <c r="D728" s="28" t="s">
        <v>7</v>
      </c>
      <c r="E728" s="28" t="s">
        <v>1878</v>
      </c>
      <c r="F728" s="32">
        <v>1399</v>
      </c>
      <c r="G728" s="44" t="s">
        <v>1879</v>
      </c>
      <c r="H728" s="44"/>
      <c r="I728" s="27" t="s">
        <v>248</v>
      </c>
      <c r="J728" s="27" t="s">
        <v>7</v>
      </c>
    </row>
    <row r="729" spans="1:10" ht="32.4" x14ac:dyDescent="0.3">
      <c r="A729" s="2" t="s">
        <v>44</v>
      </c>
      <c r="B729" s="26" t="s">
        <v>1859</v>
      </c>
      <c r="C729" s="26" t="s">
        <v>46</v>
      </c>
      <c r="D729" s="28" t="s">
        <v>7</v>
      </c>
      <c r="E729" s="28" t="s">
        <v>1880</v>
      </c>
      <c r="F729" s="32">
        <v>6000</v>
      </c>
      <c r="G729" s="44" t="s">
        <v>1881</v>
      </c>
      <c r="H729" s="44"/>
      <c r="I729" s="27" t="s">
        <v>84</v>
      </c>
      <c r="J729" s="27" t="s">
        <v>7</v>
      </c>
    </row>
    <row r="730" spans="1:10" ht="32.4" x14ac:dyDescent="0.3">
      <c r="A730" s="2" t="s">
        <v>44</v>
      </c>
      <c r="B730" s="26" t="s">
        <v>1859</v>
      </c>
      <c r="C730" s="26" t="s">
        <v>46</v>
      </c>
      <c r="D730" s="28" t="s">
        <v>7</v>
      </c>
      <c r="E730" s="28" t="s">
        <v>1882</v>
      </c>
      <c r="F730" s="32">
        <v>7980</v>
      </c>
      <c r="G730" s="44" t="s">
        <v>1883</v>
      </c>
      <c r="H730" s="44"/>
      <c r="I730" s="27" t="s">
        <v>58</v>
      </c>
      <c r="J730" s="27" t="s">
        <v>7</v>
      </c>
    </row>
    <row r="731" spans="1:10" ht="32.4" x14ac:dyDescent="0.3">
      <c r="A731" s="2" t="s">
        <v>44</v>
      </c>
      <c r="B731" s="26" t="s">
        <v>1859</v>
      </c>
      <c r="C731" s="26" t="s">
        <v>46</v>
      </c>
      <c r="D731" s="28" t="s">
        <v>7</v>
      </c>
      <c r="E731" s="28" t="s">
        <v>1884</v>
      </c>
      <c r="F731" s="32">
        <v>2020</v>
      </c>
      <c r="G731" s="44" t="s">
        <v>1885</v>
      </c>
      <c r="H731" s="44"/>
      <c r="I731" s="27" t="s">
        <v>58</v>
      </c>
      <c r="J731" s="27" t="s">
        <v>7</v>
      </c>
    </row>
    <row r="732" spans="1:10" ht="32.4" x14ac:dyDescent="0.3">
      <c r="A732" s="2" t="s">
        <v>44</v>
      </c>
      <c r="B732" s="26" t="s">
        <v>1859</v>
      </c>
      <c r="C732" s="26" t="s">
        <v>46</v>
      </c>
      <c r="D732" s="28" t="s">
        <v>7</v>
      </c>
      <c r="E732" s="28" t="s">
        <v>1886</v>
      </c>
      <c r="F732" s="32">
        <v>15860</v>
      </c>
      <c r="G732" s="44" t="s">
        <v>1887</v>
      </c>
      <c r="H732" s="44"/>
      <c r="I732" s="27" t="s">
        <v>337</v>
      </c>
      <c r="J732" s="27" t="s">
        <v>7</v>
      </c>
    </row>
    <row r="733" spans="1:10" ht="32.4" x14ac:dyDescent="0.3">
      <c r="A733" s="2" t="s">
        <v>44</v>
      </c>
      <c r="B733" s="26" t="s">
        <v>1859</v>
      </c>
      <c r="C733" s="26" t="s">
        <v>46</v>
      </c>
      <c r="D733" s="28" t="s">
        <v>7</v>
      </c>
      <c r="E733" s="28" t="s">
        <v>1888</v>
      </c>
      <c r="F733" s="32">
        <v>5830</v>
      </c>
      <c r="G733" s="44" t="s">
        <v>1889</v>
      </c>
      <c r="H733" s="44"/>
      <c r="I733" s="27" t="s">
        <v>102</v>
      </c>
      <c r="J733" s="27" t="s">
        <v>7</v>
      </c>
    </row>
    <row r="734" spans="1:10" x14ac:dyDescent="0.3">
      <c r="A734" s="2" t="s">
        <v>44</v>
      </c>
      <c r="B734" s="26" t="s">
        <v>1859</v>
      </c>
      <c r="C734" s="26" t="s">
        <v>46</v>
      </c>
      <c r="D734" s="28" t="s">
        <v>7</v>
      </c>
      <c r="E734" s="28" t="s">
        <v>1890</v>
      </c>
      <c r="F734" s="32">
        <v>2640</v>
      </c>
      <c r="G734" s="44" t="s">
        <v>1891</v>
      </c>
      <c r="H734" s="44"/>
      <c r="I734" s="27" t="s">
        <v>499</v>
      </c>
      <c r="J734" s="27" t="s">
        <v>7</v>
      </c>
    </row>
    <row r="735" spans="1:10" x14ac:dyDescent="0.3">
      <c r="A735" s="2" t="s">
        <v>44</v>
      </c>
      <c r="B735" s="26" t="s">
        <v>1859</v>
      </c>
      <c r="C735" s="26" t="s">
        <v>46</v>
      </c>
      <c r="D735" s="28" t="s">
        <v>7</v>
      </c>
      <c r="E735" s="28" t="s">
        <v>1892</v>
      </c>
      <c r="F735" s="32">
        <v>4000</v>
      </c>
      <c r="G735" s="44" t="s">
        <v>1893</v>
      </c>
      <c r="H735" s="44"/>
      <c r="I735" s="27" t="s">
        <v>342</v>
      </c>
      <c r="J735" s="27" t="s">
        <v>7</v>
      </c>
    </row>
    <row r="736" spans="1:10" ht="32.4" x14ac:dyDescent="0.3">
      <c r="A736" s="2" t="s">
        <v>52</v>
      </c>
      <c r="B736" s="26" t="s">
        <v>1894</v>
      </c>
      <c r="C736" s="26" t="s">
        <v>1895</v>
      </c>
      <c r="D736" s="28" t="s">
        <v>703</v>
      </c>
      <c r="E736" s="28" t="s">
        <v>1896</v>
      </c>
      <c r="F736" s="32">
        <v>2980</v>
      </c>
      <c r="G736" s="44" t="s">
        <v>1897</v>
      </c>
      <c r="H736" s="44"/>
      <c r="I736" s="27" t="s">
        <v>163</v>
      </c>
      <c r="J736" s="27" t="s">
        <v>7</v>
      </c>
    </row>
    <row r="737" spans="1:10" ht="32.4" x14ac:dyDescent="0.3">
      <c r="A737" s="2" t="s">
        <v>52</v>
      </c>
      <c r="B737" s="26" t="s">
        <v>1894</v>
      </c>
      <c r="C737" s="26" t="s">
        <v>1898</v>
      </c>
      <c r="D737" s="28" t="s">
        <v>141</v>
      </c>
      <c r="E737" s="28" t="s">
        <v>1899</v>
      </c>
      <c r="F737" s="32">
        <v>748</v>
      </c>
      <c r="G737" s="44" t="s">
        <v>1900</v>
      </c>
      <c r="H737" s="44"/>
      <c r="I737" s="27" t="s">
        <v>1122</v>
      </c>
      <c r="J737" s="27" t="s">
        <v>7</v>
      </c>
    </row>
    <row r="738" spans="1:10" ht="32.4" x14ac:dyDescent="0.3">
      <c r="A738" s="2" t="s">
        <v>52</v>
      </c>
      <c r="B738" s="26" t="s">
        <v>1894</v>
      </c>
      <c r="C738" s="26" t="s">
        <v>1898</v>
      </c>
      <c r="D738" s="28" t="s">
        <v>422</v>
      </c>
      <c r="E738" s="28" t="s">
        <v>1901</v>
      </c>
      <c r="F738" s="32">
        <v>1674</v>
      </c>
      <c r="G738" s="44" t="s">
        <v>1902</v>
      </c>
      <c r="H738" s="44"/>
      <c r="I738" s="27" t="s">
        <v>1122</v>
      </c>
      <c r="J738" s="27" t="s">
        <v>7</v>
      </c>
    </row>
    <row r="739" spans="1:10" ht="32.4" x14ac:dyDescent="0.3">
      <c r="A739" s="2" t="s">
        <v>52</v>
      </c>
      <c r="B739" s="26" t="s">
        <v>1894</v>
      </c>
      <c r="C739" s="26" t="s">
        <v>1898</v>
      </c>
      <c r="D739" s="28" t="s">
        <v>232</v>
      </c>
      <c r="E739" s="28" t="s">
        <v>1903</v>
      </c>
      <c r="F739" s="32">
        <v>2800</v>
      </c>
      <c r="G739" s="44" t="s">
        <v>1904</v>
      </c>
      <c r="H739" s="44"/>
      <c r="I739" s="27" t="s">
        <v>1122</v>
      </c>
      <c r="J739" s="27" t="s">
        <v>7</v>
      </c>
    </row>
    <row r="740" spans="1:10" ht="32.4" x14ac:dyDescent="0.3">
      <c r="A740" s="2" t="s">
        <v>52</v>
      </c>
      <c r="B740" s="26" t="s">
        <v>1894</v>
      </c>
      <c r="C740" s="26" t="s">
        <v>1898</v>
      </c>
      <c r="D740" s="28" t="s">
        <v>141</v>
      </c>
      <c r="E740" s="28" t="s">
        <v>1905</v>
      </c>
      <c r="F740" s="32">
        <v>233</v>
      </c>
      <c r="G740" s="44" t="s">
        <v>1906</v>
      </c>
      <c r="H740" s="44"/>
      <c r="I740" s="27" t="s">
        <v>1165</v>
      </c>
      <c r="J740" s="27" t="s">
        <v>7</v>
      </c>
    </row>
    <row r="741" spans="1:10" ht="32.4" x14ac:dyDescent="0.3">
      <c r="A741" s="2" t="s">
        <v>52</v>
      </c>
      <c r="B741" s="26" t="s">
        <v>1894</v>
      </c>
      <c r="C741" s="26" t="s">
        <v>1898</v>
      </c>
      <c r="D741" s="28" t="s">
        <v>216</v>
      </c>
      <c r="E741" s="28" t="s">
        <v>1907</v>
      </c>
      <c r="F741" s="32">
        <v>6507</v>
      </c>
      <c r="G741" s="44" t="s">
        <v>1908</v>
      </c>
      <c r="H741" s="44"/>
      <c r="I741" s="27" t="s">
        <v>1320</v>
      </c>
      <c r="J741" s="27" t="s">
        <v>7</v>
      </c>
    </row>
    <row r="742" spans="1:10" ht="32.4" x14ac:dyDescent="0.3">
      <c r="A742" s="2" t="s">
        <v>52</v>
      </c>
      <c r="B742" s="26" t="s">
        <v>1894</v>
      </c>
      <c r="C742" s="26" t="s">
        <v>1898</v>
      </c>
      <c r="D742" s="28" t="s">
        <v>141</v>
      </c>
      <c r="E742" s="28" t="s">
        <v>1909</v>
      </c>
      <c r="F742" s="32">
        <v>999</v>
      </c>
      <c r="G742" s="44" t="s">
        <v>1910</v>
      </c>
      <c r="H742" s="44"/>
      <c r="I742" s="27" t="s">
        <v>902</v>
      </c>
      <c r="J742" s="27" t="s">
        <v>7</v>
      </c>
    </row>
    <row r="743" spans="1:10" ht="32.4" x14ac:dyDescent="0.3">
      <c r="A743" s="2" t="s">
        <v>52</v>
      </c>
      <c r="B743" s="26" t="s">
        <v>1894</v>
      </c>
      <c r="C743" s="26" t="s">
        <v>1898</v>
      </c>
      <c r="D743" s="28" t="s">
        <v>245</v>
      </c>
      <c r="E743" s="28" t="s">
        <v>1911</v>
      </c>
      <c r="F743" s="32">
        <v>6000</v>
      </c>
      <c r="G743" s="44" t="s">
        <v>1459</v>
      </c>
      <c r="H743" s="44"/>
      <c r="I743" s="27" t="s">
        <v>248</v>
      </c>
      <c r="J743" s="27" t="s">
        <v>7</v>
      </c>
    </row>
    <row r="744" spans="1:10" ht="32.4" x14ac:dyDescent="0.3">
      <c r="A744" s="2" t="s">
        <v>52</v>
      </c>
      <c r="B744" s="26" t="s">
        <v>1894</v>
      </c>
      <c r="C744" s="26" t="s">
        <v>1898</v>
      </c>
      <c r="D744" s="28" t="s">
        <v>245</v>
      </c>
      <c r="E744" s="28" t="s">
        <v>1912</v>
      </c>
      <c r="F744" s="32">
        <v>3200</v>
      </c>
      <c r="G744" s="44" t="s">
        <v>1913</v>
      </c>
      <c r="H744" s="44"/>
      <c r="I744" s="27" t="s">
        <v>248</v>
      </c>
      <c r="J744" s="27" t="s">
        <v>7</v>
      </c>
    </row>
    <row r="745" spans="1:10" ht="32.4" x14ac:dyDescent="0.3">
      <c r="A745" s="2" t="s">
        <v>52</v>
      </c>
      <c r="B745" s="26" t="s">
        <v>1894</v>
      </c>
      <c r="C745" s="26" t="s">
        <v>1898</v>
      </c>
      <c r="D745" s="28" t="s">
        <v>245</v>
      </c>
      <c r="E745" s="28" t="s">
        <v>1914</v>
      </c>
      <c r="F745" s="32">
        <v>5975</v>
      </c>
      <c r="G745" s="44" t="s">
        <v>1915</v>
      </c>
      <c r="H745" s="44"/>
      <c r="I745" s="27" t="s">
        <v>248</v>
      </c>
      <c r="J745" s="27" t="s">
        <v>7</v>
      </c>
    </row>
    <row r="746" spans="1:10" ht="32.4" x14ac:dyDescent="0.3">
      <c r="A746" s="2" t="s">
        <v>52</v>
      </c>
      <c r="B746" s="26" t="s">
        <v>1894</v>
      </c>
      <c r="C746" s="26" t="s">
        <v>1898</v>
      </c>
      <c r="D746" s="28" t="s">
        <v>926</v>
      </c>
      <c r="E746" s="28" t="s">
        <v>1916</v>
      </c>
      <c r="F746" s="32">
        <v>3150</v>
      </c>
      <c r="G746" s="44" t="s">
        <v>1917</v>
      </c>
      <c r="H746" s="44"/>
      <c r="I746" s="27" t="s">
        <v>248</v>
      </c>
      <c r="J746" s="27" t="s">
        <v>7</v>
      </c>
    </row>
    <row r="747" spans="1:10" ht="32.4" x14ac:dyDescent="0.3">
      <c r="A747" s="2" t="s">
        <v>52</v>
      </c>
      <c r="B747" s="26" t="s">
        <v>1894</v>
      </c>
      <c r="C747" s="26" t="s">
        <v>1898</v>
      </c>
      <c r="D747" s="28" t="s">
        <v>245</v>
      </c>
      <c r="E747" s="28" t="s">
        <v>1918</v>
      </c>
      <c r="F747" s="32">
        <v>5930</v>
      </c>
      <c r="G747" s="44" t="s">
        <v>1919</v>
      </c>
      <c r="H747" s="44"/>
      <c r="I747" s="27" t="s">
        <v>1223</v>
      </c>
      <c r="J747" s="27" t="s">
        <v>7</v>
      </c>
    </row>
    <row r="748" spans="1:10" ht="32.4" x14ac:dyDescent="0.3">
      <c r="A748" s="2" t="s">
        <v>52</v>
      </c>
      <c r="B748" s="26" t="s">
        <v>1894</v>
      </c>
      <c r="C748" s="26" t="s">
        <v>1898</v>
      </c>
      <c r="D748" s="28" t="s">
        <v>245</v>
      </c>
      <c r="E748" s="28" t="s">
        <v>1920</v>
      </c>
      <c r="F748" s="32">
        <v>5360</v>
      </c>
      <c r="G748" s="44" t="s">
        <v>1921</v>
      </c>
      <c r="H748" s="44"/>
      <c r="I748" s="27" t="s">
        <v>1223</v>
      </c>
      <c r="J748" s="27" t="s">
        <v>7</v>
      </c>
    </row>
    <row r="749" spans="1:10" ht="32.4" x14ac:dyDescent="0.3">
      <c r="A749" s="2" t="s">
        <v>52</v>
      </c>
      <c r="B749" s="26" t="s">
        <v>1894</v>
      </c>
      <c r="C749" s="26" t="s">
        <v>1898</v>
      </c>
      <c r="D749" s="28" t="s">
        <v>245</v>
      </c>
      <c r="E749" s="28" t="s">
        <v>1922</v>
      </c>
      <c r="F749" s="32">
        <v>1020</v>
      </c>
      <c r="G749" s="44" t="s">
        <v>1923</v>
      </c>
      <c r="H749" s="44"/>
      <c r="I749" s="27" t="s">
        <v>1165</v>
      </c>
      <c r="J749" s="27" t="s">
        <v>7</v>
      </c>
    </row>
    <row r="750" spans="1:10" x14ac:dyDescent="0.3">
      <c r="A750" s="2" t="s">
        <v>52</v>
      </c>
      <c r="B750" s="26" t="s">
        <v>1894</v>
      </c>
      <c r="C750" s="26" t="s">
        <v>1924</v>
      </c>
      <c r="D750" s="28" t="s">
        <v>62</v>
      </c>
      <c r="E750" s="28" t="s">
        <v>1925</v>
      </c>
      <c r="F750" s="32">
        <v>83855</v>
      </c>
      <c r="G750" s="44" t="s">
        <v>1926</v>
      </c>
      <c r="H750" s="44"/>
      <c r="I750" s="27" t="s">
        <v>49</v>
      </c>
      <c r="J750" s="27" t="s">
        <v>7</v>
      </c>
    </row>
    <row r="751" spans="1:10" x14ac:dyDescent="0.3">
      <c r="A751" s="2" t="s">
        <v>52</v>
      </c>
      <c r="B751" s="26" t="s">
        <v>1894</v>
      </c>
      <c r="C751" s="26" t="s">
        <v>1927</v>
      </c>
      <c r="D751" s="28" t="s">
        <v>62</v>
      </c>
      <c r="E751" s="28" t="s">
        <v>1928</v>
      </c>
      <c r="F751" s="32">
        <v>94948</v>
      </c>
      <c r="G751" s="44" t="s">
        <v>1929</v>
      </c>
      <c r="H751" s="44"/>
      <c r="I751" s="27" t="s">
        <v>1930</v>
      </c>
      <c r="J751" s="27" t="s">
        <v>7</v>
      </c>
    </row>
    <row r="752" spans="1:10" ht="48.6" x14ac:dyDescent="0.3">
      <c r="A752" s="2" t="s">
        <v>52</v>
      </c>
      <c r="B752" s="26" t="s">
        <v>1894</v>
      </c>
      <c r="C752" s="26" t="s">
        <v>1927</v>
      </c>
      <c r="D752" s="28" t="s">
        <v>213</v>
      </c>
      <c r="E752" s="28" t="s">
        <v>1928</v>
      </c>
      <c r="F752" s="32">
        <v>1424</v>
      </c>
      <c r="G752" s="44" t="s">
        <v>1929</v>
      </c>
      <c r="H752" s="44"/>
      <c r="I752" s="27" t="s">
        <v>1930</v>
      </c>
      <c r="J752" s="27" t="s">
        <v>7</v>
      </c>
    </row>
    <row r="753" spans="1:10" ht="32.4" x14ac:dyDescent="0.3">
      <c r="A753" s="2" t="s">
        <v>52</v>
      </c>
      <c r="B753" s="26" t="s">
        <v>1894</v>
      </c>
      <c r="C753" s="26" t="s">
        <v>1931</v>
      </c>
      <c r="D753" s="28" t="s">
        <v>141</v>
      </c>
      <c r="E753" s="28" t="s">
        <v>1932</v>
      </c>
      <c r="F753" s="32">
        <v>6865</v>
      </c>
      <c r="G753" s="44" t="s">
        <v>1933</v>
      </c>
      <c r="H753" s="44"/>
      <c r="I753" s="27" t="s">
        <v>1934</v>
      </c>
      <c r="J753" s="27" t="s">
        <v>7</v>
      </c>
    </row>
    <row r="754" spans="1:10" ht="32.4" x14ac:dyDescent="0.3">
      <c r="A754" s="2" t="s">
        <v>52</v>
      </c>
      <c r="B754" s="26" t="s">
        <v>1894</v>
      </c>
      <c r="C754" s="26" t="s">
        <v>1935</v>
      </c>
      <c r="D754" s="28" t="s">
        <v>81</v>
      </c>
      <c r="E754" s="28" t="s">
        <v>1936</v>
      </c>
      <c r="F754" s="32">
        <v>2556</v>
      </c>
      <c r="G754" s="44" t="s">
        <v>1937</v>
      </c>
      <c r="H754" s="44"/>
      <c r="I754" s="27" t="s">
        <v>150</v>
      </c>
      <c r="J754" s="27" t="s">
        <v>7</v>
      </c>
    </row>
    <row r="755" spans="1:10" x14ac:dyDescent="0.3">
      <c r="A755" s="2" t="s">
        <v>44</v>
      </c>
      <c r="B755" s="26" t="s">
        <v>1894</v>
      </c>
      <c r="C755" s="26" t="s">
        <v>46</v>
      </c>
      <c r="D755" s="28" t="s">
        <v>7</v>
      </c>
      <c r="E755" s="28" t="s">
        <v>1938</v>
      </c>
      <c r="F755" s="32">
        <v>3380</v>
      </c>
      <c r="G755" s="44" t="s">
        <v>1939</v>
      </c>
      <c r="H755" s="44"/>
      <c r="I755" s="27" t="s">
        <v>49</v>
      </c>
      <c r="J755" s="27" t="s">
        <v>7</v>
      </c>
    </row>
    <row r="756" spans="1:10" x14ac:dyDescent="0.3">
      <c r="A756" s="2" t="s">
        <v>44</v>
      </c>
      <c r="B756" s="26" t="s">
        <v>1894</v>
      </c>
      <c r="C756" s="26" t="s">
        <v>46</v>
      </c>
      <c r="D756" s="28" t="s">
        <v>7</v>
      </c>
      <c r="E756" s="28" t="s">
        <v>1940</v>
      </c>
      <c r="F756" s="32">
        <v>3380</v>
      </c>
      <c r="G756" s="44" t="s">
        <v>1941</v>
      </c>
      <c r="H756" s="44"/>
      <c r="I756" s="27" t="s">
        <v>49</v>
      </c>
      <c r="J756" s="27" t="s">
        <v>7</v>
      </c>
    </row>
    <row r="757" spans="1:10" x14ac:dyDescent="0.3">
      <c r="A757" s="2" t="s">
        <v>44</v>
      </c>
      <c r="B757" s="26" t="s">
        <v>1894</v>
      </c>
      <c r="C757" s="26" t="s">
        <v>46</v>
      </c>
      <c r="D757" s="28" t="s">
        <v>7</v>
      </c>
      <c r="E757" s="28" t="s">
        <v>1942</v>
      </c>
      <c r="F757" s="32">
        <v>28805</v>
      </c>
      <c r="G757" s="44" t="s">
        <v>1943</v>
      </c>
      <c r="H757" s="44"/>
      <c r="I757" s="27" t="s">
        <v>272</v>
      </c>
      <c r="J757" s="27" t="s">
        <v>7</v>
      </c>
    </row>
    <row r="758" spans="1:10" x14ac:dyDescent="0.3">
      <c r="A758" s="2" t="s">
        <v>44</v>
      </c>
      <c r="B758" s="26" t="s">
        <v>1894</v>
      </c>
      <c r="C758" s="26" t="s">
        <v>46</v>
      </c>
      <c r="D758" s="28" t="s">
        <v>7</v>
      </c>
      <c r="E758" s="28" t="s">
        <v>1944</v>
      </c>
      <c r="F758" s="32">
        <v>13000</v>
      </c>
      <c r="G758" s="44" t="s">
        <v>1945</v>
      </c>
      <c r="H758" s="44"/>
      <c r="I758" s="27" t="s">
        <v>1946</v>
      </c>
      <c r="J758" s="27" t="s">
        <v>7</v>
      </c>
    </row>
    <row r="759" spans="1:10" x14ac:dyDescent="0.3">
      <c r="A759" s="2" t="s">
        <v>44</v>
      </c>
      <c r="B759" s="26" t="s">
        <v>1894</v>
      </c>
      <c r="C759" s="26" t="s">
        <v>46</v>
      </c>
      <c r="D759" s="28" t="s">
        <v>7</v>
      </c>
      <c r="E759" s="28" t="s">
        <v>1947</v>
      </c>
      <c r="F759" s="32">
        <v>2000</v>
      </c>
      <c r="G759" s="44" t="s">
        <v>1948</v>
      </c>
      <c r="H759" s="44"/>
      <c r="I759" s="27" t="s">
        <v>1949</v>
      </c>
      <c r="J759" s="27" t="s">
        <v>7</v>
      </c>
    </row>
    <row r="760" spans="1:10" x14ac:dyDescent="0.3">
      <c r="A760" s="2" t="s">
        <v>44</v>
      </c>
      <c r="B760" s="26" t="s">
        <v>1894</v>
      </c>
      <c r="C760" s="26" t="s">
        <v>46</v>
      </c>
      <c r="D760" s="28" t="s">
        <v>7</v>
      </c>
      <c r="E760" s="28" t="s">
        <v>1950</v>
      </c>
      <c r="F760" s="32">
        <v>3000</v>
      </c>
      <c r="G760" s="44" t="s">
        <v>1951</v>
      </c>
      <c r="H760" s="44"/>
      <c r="I760" s="27" t="s">
        <v>1949</v>
      </c>
      <c r="J760" s="27" t="s">
        <v>7</v>
      </c>
    </row>
    <row r="761" spans="1:10" x14ac:dyDescent="0.3">
      <c r="A761" s="2" t="s">
        <v>44</v>
      </c>
      <c r="B761" s="26" t="s">
        <v>1894</v>
      </c>
      <c r="C761" s="26" t="s">
        <v>46</v>
      </c>
      <c r="D761" s="28" t="s">
        <v>7</v>
      </c>
      <c r="E761" s="28" t="s">
        <v>1952</v>
      </c>
      <c r="F761" s="32">
        <v>15000</v>
      </c>
      <c r="G761" s="44" t="s">
        <v>1953</v>
      </c>
      <c r="H761" s="44"/>
      <c r="I761" s="27" t="s">
        <v>1954</v>
      </c>
      <c r="J761" s="27" t="s">
        <v>7</v>
      </c>
    </row>
    <row r="762" spans="1:10" ht="32.4" x14ac:dyDescent="0.3">
      <c r="A762" s="2" t="s">
        <v>44</v>
      </c>
      <c r="B762" s="26" t="s">
        <v>1894</v>
      </c>
      <c r="C762" s="26" t="s">
        <v>46</v>
      </c>
      <c r="D762" s="28" t="s">
        <v>7</v>
      </c>
      <c r="E762" s="28" t="s">
        <v>1955</v>
      </c>
      <c r="F762" s="32">
        <v>6000</v>
      </c>
      <c r="G762" s="44" t="s">
        <v>1956</v>
      </c>
      <c r="H762" s="44"/>
      <c r="I762" s="27" t="s">
        <v>84</v>
      </c>
      <c r="J762" s="27" t="s">
        <v>7</v>
      </c>
    </row>
    <row r="763" spans="1:10" x14ac:dyDescent="0.3">
      <c r="A763" s="2" t="s">
        <v>44</v>
      </c>
      <c r="B763" s="26" t="s">
        <v>1894</v>
      </c>
      <c r="C763" s="26" t="s">
        <v>46</v>
      </c>
      <c r="D763" s="28" t="s">
        <v>7</v>
      </c>
      <c r="E763" s="28" t="s">
        <v>1957</v>
      </c>
      <c r="F763" s="32">
        <v>2480</v>
      </c>
      <c r="G763" s="44" t="s">
        <v>1958</v>
      </c>
      <c r="H763" s="44"/>
      <c r="I763" s="27" t="s">
        <v>211</v>
      </c>
      <c r="J763" s="27" t="s">
        <v>7</v>
      </c>
    </row>
    <row r="764" spans="1:10" x14ac:dyDescent="0.3">
      <c r="A764" s="2" t="s">
        <v>44</v>
      </c>
      <c r="B764" s="26" t="s">
        <v>1894</v>
      </c>
      <c r="C764" s="26" t="s">
        <v>46</v>
      </c>
      <c r="D764" s="28" t="s">
        <v>7</v>
      </c>
      <c r="E764" s="28" t="s">
        <v>1959</v>
      </c>
      <c r="F764" s="32">
        <v>16418</v>
      </c>
      <c r="G764" s="44" t="s">
        <v>1960</v>
      </c>
      <c r="H764" s="44"/>
      <c r="I764" s="27" t="s">
        <v>211</v>
      </c>
      <c r="J764" s="27" t="s">
        <v>7</v>
      </c>
    </row>
    <row r="765" spans="1:10" x14ac:dyDescent="0.3">
      <c r="A765" s="2" t="s">
        <v>44</v>
      </c>
      <c r="B765" s="26" t="s">
        <v>1894</v>
      </c>
      <c r="C765" s="26" t="s">
        <v>46</v>
      </c>
      <c r="D765" s="28" t="s">
        <v>7</v>
      </c>
      <c r="E765" s="28" t="s">
        <v>1961</v>
      </c>
      <c r="F765" s="32">
        <v>3980</v>
      </c>
      <c r="G765" s="44" t="s">
        <v>1962</v>
      </c>
      <c r="H765" s="44"/>
      <c r="I765" s="27" t="s">
        <v>1744</v>
      </c>
      <c r="J765" s="27" t="s">
        <v>7</v>
      </c>
    </row>
    <row r="766" spans="1:10" ht="32.4" x14ac:dyDescent="0.3">
      <c r="A766" s="2" t="s">
        <v>44</v>
      </c>
      <c r="B766" s="26" t="s">
        <v>1894</v>
      </c>
      <c r="C766" s="26" t="s">
        <v>46</v>
      </c>
      <c r="D766" s="28" t="s">
        <v>7</v>
      </c>
      <c r="E766" s="28" t="s">
        <v>1963</v>
      </c>
      <c r="F766" s="32">
        <v>4904</v>
      </c>
      <c r="G766" s="44" t="s">
        <v>1964</v>
      </c>
      <c r="H766" s="44"/>
      <c r="I766" s="27" t="s">
        <v>235</v>
      </c>
      <c r="J766" s="27" t="s">
        <v>7</v>
      </c>
    </row>
    <row r="767" spans="1:10" ht="32.4" x14ac:dyDescent="0.3">
      <c r="A767" s="2" t="s">
        <v>52</v>
      </c>
      <c r="B767" s="26" t="s">
        <v>1965</v>
      </c>
      <c r="C767" s="26" t="s">
        <v>1966</v>
      </c>
      <c r="D767" s="28" t="s">
        <v>147</v>
      </c>
      <c r="E767" s="28" t="s">
        <v>1967</v>
      </c>
      <c r="F767" s="32">
        <v>3605</v>
      </c>
      <c r="G767" s="44" t="s">
        <v>1968</v>
      </c>
      <c r="H767" s="44"/>
      <c r="I767" s="27" t="s">
        <v>150</v>
      </c>
      <c r="J767" s="27" t="s">
        <v>7</v>
      </c>
    </row>
    <row r="768" spans="1:10" ht="32.4" x14ac:dyDescent="0.3">
      <c r="A768" s="2" t="s">
        <v>52</v>
      </c>
      <c r="B768" s="26" t="s">
        <v>1965</v>
      </c>
      <c r="C768" s="26" t="s">
        <v>1966</v>
      </c>
      <c r="D768" s="28" t="s">
        <v>147</v>
      </c>
      <c r="E768" s="28" t="s">
        <v>1969</v>
      </c>
      <c r="F768" s="32">
        <v>1715</v>
      </c>
      <c r="G768" s="44" t="s">
        <v>1970</v>
      </c>
      <c r="H768" s="44"/>
      <c r="I768" s="27" t="s">
        <v>150</v>
      </c>
      <c r="J768" s="27" t="s">
        <v>7</v>
      </c>
    </row>
    <row r="769" spans="1:10" ht="32.4" x14ac:dyDescent="0.3">
      <c r="A769" s="2" t="s">
        <v>52</v>
      </c>
      <c r="B769" s="26" t="s">
        <v>1965</v>
      </c>
      <c r="C769" s="26" t="s">
        <v>1966</v>
      </c>
      <c r="D769" s="28" t="s">
        <v>1053</v>
      </c>
      <c r="E769" s="28" t="s">
        <v>1971</v>
      </c>
      <c r="F769" s="32">
        <v>3740</v>
      </c>
      <c r="G769" s="44" t="s">
        <v>1972</v>
      </c>
      <c r="H769" s="44"/>
      <c r="I769" s="27" t="s">
        <v>150</v>
      </c>
      <c r="J769" s="27" t="s">
        <v>7</v>
      </c>
    </row>
    <row r="770" spans="1:10" ht="32.4" x14ac:dyDescent="0.3">
      <c r="A770" s="2" t="s">
        <v>52</v>
      </c>
      <c r="B770" s="26" t="s">
        <v>1965</v>
      </c>
      <c r="C770" s="26" t="s">
        <v>1966</v>
      </c>
      <c r="D770" s="28" t="s">
        <v>147</v>
      </c>
      <c r="E770" s="28" t="s">
        <v>1973</v>
      </c>
      <c r="F770" s="32">
        <v>840</v>
      </c>
      <c r="G770" s="44" t="s">
        <v>1974</v>
      </c>
      <c r="H770" s="44"/>
      <c r="I770" s="27" t="s">
        <v>150</v>
      </c>
      <c r="J770" s="27" t="s">
        <v>7</v>
      </c>
    </row>
    <row r="771" spans="1:10" ht="32.4" x14ac:dyDescent="0.3">
      <c r="A771" s="2" t="s">
        <v>52</v>
      </c>
      <c r="B771" s="26" t="s">
        <v>1965</v>
      </c>
      <c r="C771" s="26" t="s">
        <v>1966</v>
      </c>
      <c r="D771" s="28" t="s">
        <v>635</v>
      </c>
      <c r="E771" s="28" t="s">
        <v>1975</v>
      </c>
      <c r="F771" s="32">
        <v>6150</v>
      </c>
      <c r="G771" s="44" t="s">
        <v>1976</v>
      </c>
      <c r="H771" s="44"/>
      <c r="I771" s="27" t="s">
        <v>499</v>
      </c>
      <c r="J771" s="27" t="s">
        <v>7</v>
      </c>
    </row>
    <row r="772" spans="1:10" x14ac:dyDescent="0.3">
      <c r="A772" s="2" t="s">
        <v>52</v>
      </c>
      <c r="B772" s="26" t="s">
        <v>1965</v>
      </c>
      <c r="C772" s="26" t="s">
        <v>1966</v>
      </c>
      <c r="D772" s="28" t="s">
        <v>130</v>
      </c>
      <c r="E772" s="28" t="s">
        <v>1977</v>
      </c>
      <c r="F772" s="32">
        <v>2640</v>
      </c>
      <c r="G772" s="44" t="s">
        <v>1978</v>
      </c>
      <c r="H772" s="44"/>
      <c r="I772" s="27" t="s">
        <v>499</v>
      </c>
      <c r="J772" s="27" t="s">
        <v>7</v>
      </c>
    </row>
    <row r="773" spans="1:10" ht="32.4" x14ac:dyDescent="0.3">
      <c r="A773" s="2" t="s">
        <v>52</v>
      </c>
      <c r="B773" s="26" t="s">
        <v>1965</v>
      </c>
      <c r="C773" s="26" t="s">
        <v>1966</v>
      </c>
      <c r="D773" s="28" t="s">
        <v>55</v>
      </c>
      <c r="E773" s="28" t="s">
        <v>1979</v>
      </c>
      <c r="F773" s="32">
        <v>2000</v>
      </c>
      <c r="G773" s="44" t="s">
        <v>1980</v>
      </c>
      <c r="H773" s="44"/>
      <c r="I773" s="27" t="s">
        <v>58</v>
      </c>
      <c r="J773" s="27" t="s">
        <v>7</v>
      </c>
    </row>
    <row r="774" spans="1:10" ht="32.4" x14ac:dyDescent="0.3">
      <c r="A774" s="2" t="s">
        <v>52</v>
      </c>
      <c r="B774" s="26" t="s">
        <v>1965</v>
      </c>
      <c r="C774" s="26" t="s">
        <v>1966</v>
      </c>
      <c r="D774" s="28" t="s">
        <v>141</v>
      </c>
      <c r="E774" s="28" t="s">
        <v>1981</v>
      </c>
      <c r="F774" s="32">
        <v>1836</v>
      </c>
      <c r="G774" s="44" t="s">
        <v>309</v>
      </c>
      <c r="H774" s="44"/>
      <c r="I774" s="27" t="s">
        <v>168</v>
      </c>
      <c r="J774" s="27" t="s">
        <v>7</v>
      </c>
    </row>
    <row r="775" spans="1:10" x14ac:dyDescent="0.3">
      <c r="A775" s="2" t="s">
        <v>52</v>
      </c>
      <c r="B775" s="26" t="s">
        <v>1965</v>
      </c>
      <c r="C775" s="26" t="s">
        <v>1966</v>
      </c>
      <c r="D775" s="28" t="s">
        <v>62</v>
      </c>
      <c r="E775" s="28" t="s">
        <v>1982</v>
      </c>
      <c r="F775" s="32">
        <v>7986</v>
      </c>
      <c r="G775" s="44" t="s">
        <v>1983</v>
      </c>
      <c r="H775" s="44"/>
      <c r="I775" s="27" t="s">
        <v>211</v>
      </c>
      <c r="J775" s="27" t="s">
        <v>7</v>
      </c>
    </row>
    <row r="776" spans="1:10" x14ac:dyDescent="0.3">
      <c r="A776" s="2" t="s">
        <v>52</v>
      </c>
      <c r="B776" s="26" t="s">
        <v>1965</v>
      </c>
      <c r="C776" s="26" t="s">
        <v>1966</v>
      </c>
      <c r="D776" s="28" t="s">
        <v>115</v>
      </c>
      <c r="E776" s="28" t="s">
        <v>1984</v>
      </c>
      <c r="F776" s="32">
        <v>2077</v>
      </c>
      <c r="G776" s="44" t="s">
        <v>1985</v>
      </c>
      <c r="H776" s="44"/>
      <c r="I776" s="27" t="s">
        <v>353</v>
      </c>
      <c r="J776" s="27" t="s">
        <v>7</v>
      </c>
    </row>
    <row r="777" spans="1:10" x14ac:dyDescent="0.3">
      <c r="A777" s="2" t="s">
        <v>52</v>
      </c>
      <c r="B777" s="26" t="s">
        <v>1965</v>
      </c>
      <c r="C777" s="26" t="s">
        <v>1966</v>
      </c>
      <c r="D777" s="28" t="s">
        <v>115</v>
      </c>
      <c r="E777" s="28" t="s">
        <v>1986</v>
      </c>
      <c r="F777" s="32">
        <v>6000</v>
      </c>
      <c r="G777" s="44" t="s">
        <v>1987</v>
      </c>
      <c r="H777" s="44"/>
      <c r="I777" s="27" t="s">
        <v>70</v>
      </c>
      <c r="J777" s="27" t="s">
        <v>7</v>
      </c>
    </row>
    <row r="778" spans="1:10" ht="32.4" x14ac:dyDescent="0.3">
      <c r="A778" s="2" t="s">
        <v>52</v>
      </c>
      <c r="B778" s="26" t="s">
        <v>1965</v>
      </c>
      <c r="C778" s="26" t="s">
        <v>1966</v>
      </c>
      <c r="D778" s="28" t="s">
        <v>141</v>
      </c>
      <c r="E778" s="28" t="s">
        <v>1988</v>
      </c>
      <c r="F778" s="32">
        <v>3870</v>
      </c>
      <c r="G778" s="44" t="s">
        <v>1989</v>
      </c>
      <c r="H778" s="44"/>
      <c r="I778" s="27" t="s">
        <v>183</v>
      </c>
      <c r="J778" s="27" t="s">
        <v>7</v>
      </c>
    </row>
    <row r="779" spans="1:10" x14ac:dyDescent="0.3">
      <c r="A779" s="2" t="s">
        <v>52</v>
      </c>
      <c r="B779" s="26" t="s">
        <v>1965</v>
      </c>
      <c r="C779" s="26" t="s">
        <v>1990</v>
      </c>
      <c r="D779" s="28" t="s">
        <v>130</v>
      </c>
      <c r="E779" s="28" t="s">
        <v>1991</v>
      </c>
      <c r="F779" s="32">
        <v>1320</v>
      </c>
      <c r="G779" s="44" t="s">
        <v>1992</v>
      </c>
      <c r="H779" s="44"/>
      <c r="I779" s="27" t="s">
        <v>133</v>
      </c>
      <c r="J779" s="27" t="s">
        <v>7</v>
      </c>
    </row>
    <row r="780" spans="1:10" ht="32.4" x14ac:dyDescent="0.3">
      <c r="A780" s="2" t="s">
        <v>52</v>
      </c>
      <c r="B780" s="26" t="s">
        <v>1965</v>
      </c>
      <c r="C780" s="26" t="s">
        <v>1990</v>
      </c>
      <c r="D780" s="28" t="s">
        <v>141</v>
      </c>
      <c r="E780" s="28" t="s">
        <v>1993</v>
      </c>
      <c r="F780" s="32">
        <v>2500</v>
      </c>
      <c r="G780" s="44" t="s">
        <v>1994</v>
      </c>
      <c r="H780" s="44"/>
      <c r="I780" s="27" t="s">
        <v>1197</v>
      </c>
      <c r="J780" s="27" t="s">
        <v>7</v>
      </c>
    </row>
    <row r="781" spans="1:10" ht="32.4" x14ac:dyDescent="0.3">
      <c r="A781" s="2" t="s">
        <v>52</v>
      </c>
      <c r="B781" s="26" t="s">
        <v>1965</v>
      </c>
      <c r="C781" s="26" t="s">
        <v>1990</v>
      </c>
      <c r="D781" s="28" t="s">
        <v>147</v>
      </c>
      <c r="E781" s="28" t="s">
        <v>1995</v>
      </c>
      <c r="F781" s="32">
        <v>300</v>
      </c>
      <c r="G781" s="44" t="s">
        <v>1996</v>
      </c>
      <c r="H781" s="44"/>
      <c r="I781" s="27" t="s">
        <v>740</v>
      </c>
      <c r="J781" s="27" t="s">
        <v>7</v>
      </c>
    </row>
    <row r="782" spans="1:10" ht="32.4" x14ac:dyDescent="0.3">
      <c r="A782" s="2" t="s">
        <v>52</v>
      </c>
      <c r="B782" s="26" t="s">
        <v>1965</v>
      </c>
      <c r="C782" s="26" t="s">
        <v>1990</v>
      </c>
      <c r="D782" s="28" t="s">
        <v>1053</v>
      </c>
      <c r="E782" s="28" t="s">
        <v>1997</v>
      </c>
      <c r="F782" s="32">
        <v>3500</v>
      </c>
      <c r="G782" s="44" t="s">
        <v>1998</v>
      </c>
      <c r="H782" s="44"/>
      <c r="I782" s="27" t="s">
        <v>150</v>
      </c>
      <c r="J782" s="27" t="s">
        <v>7</v>
      </c>
    </row>
    <row r="783" spans="1:10" ht="32.4" x14ac:dyDescent="0.3">
      <c r="A783" s="2" t="s">
        <v>52</v>
      </c>
      <c r="B783" s="26" t="s">
        <v>1965</v>
      </c>
      <c r="C783" s="26" t="s">
        <v>1990</v>
      </c>
      <c r="D783" s="28" t="s">
        <v>1086</v>
      </c>
      <c r="E783" s="28" t="s">
        <v>1999</v>
      </c>
      <c r="F783" s="32">
        <v>3000</v>
      </c>
      <c r="G783" s="44" t="s">
        <v>2000</v>
      </c>
      <c r="H783" s="44"/>
      <c r="I783" s="27" t="s">
        <v>150</v>
      </c>
      <c r="J783" s="27" t="s">
        <v>7</v>
      </c>
    </row>
    <row r="784" spans="1:10" ht="32.4" x14ac:dyDescent="0.3">
      <c r="A784" s="2" t="s">
        <v>52</v>
      </c>
      <c r="B784" s="26" t="s">
        <v>1965</v>
      </c>
      <c r="C784" s="26" t="s">
        <v>1990</v>
      </c>
      <c r="D784" s="28" t="s">
        <v>1086</v>
      </c>
      <c r="E784" s="28" t="s">
        <v>2001</v>
      </c>
      <c r="F784" s="32">
        <v>3000</v>
      </c>
      <c r="G784" s="44" t="s">
        <v>2002</v>
      </c>
      <c r="H784" s="44"/>
      <c r="I784" s="27" t="s">
        <v>150</v>
      </c>
      <c r="J784" s="27" t="s">
        <v>7</v>
      </c>
    </row>
    <row r="785" spans="1:10" ht="32.4" x14ac:dyDescent="0.3">
      <c r="A785" s="2" t="s">
        <v>52</v>
      </c>
      <c r="B785" s="26" t="s">
        <v>1965</v>
      </c>
      <c r="C785" s="26" t="s">
        <v>2003</v>
      </c>
      <c r="D785" s="28" t="s">
        <v>141</v>
      </c>
      <c r="E785" s="28" t="s">
        <v>2004</v>
      </c>
      <c r="F785" s="32">
        <v>1290</v>
      </c>
      <c r="G785" s="44" t="s">
        <v>2005</v>
      </c>
      <c r="H785" s="44"/>
      <c r="I785" s="27" t="s">
        <v>102</v>
      </c>
      <c r="J785" s="27" t="s">
        <v>7</v>
      </c>
    </row>
    <row r="786" spans="1:10" x14ac:dyDescent="0.3">
      <c r="A786" s="2" t="s">
        <v>52</v>
      </c>
      <c r="B786" s="26" t="s">
        <v>1965</v>
      </c>
      <c r="C786" s="26" t="s">
        <v>2003</v>
      </c>
      <c r="D786" s="28" t="s">
        <v>1053</v>
      </c>
      <c r="E786" s="28" t="s">
        <v>2006</v>
      </c>
      <c r="F786" s="32">
        <v>7350</v>
      </c>
      <c r="G786" s="44" t="s">
        <v>2007</v>
      </c>
      <c r="H786" s="44"/>
      <c r="I786" s="27" t="s">
        <v>74</v>
      </c>
      <c r="J786" s="27" t="s">
        <v>7</v>
      </c>
    </row>
    <row r="787" spans="1:10" ht="32.4" x14ac:dyDescent="0.3">
      <c r="A787" s="2" t="s">
        <v>52</v>
      </c>
      <c r="B787" s="26" t="s">
        <v>1965</v>
      </c>
      <c r="C787" s="26" t="s">
        <v>2003</v>
      </c>
      <c r="D787" s="28" t="s">
        <v>62</v>
      </c>
      <c r="E787" s="28" t="s">
        <v>2008</v>
      </c>
      <c r="F787" s="32">
        <v>2000</v>
      </c>
      <c r="G787" s="44" t="s">
        <v>2009</v>
      </c>
      <c r="H787" s="44"/>
      <c r="I787" s="27" t="s">
        <v>58</v>
      </c>
      <c r="J787" s="27" t="s">
        <v>7</v>
      </c>
    </row>
    <row r="788" spans="1:10" ht="32.4" x14ac:dyDescent="0.3">
      <c r="A788" s="2" t="s">
        <v>52</v>
      </c>
      <c r="B788" s="26" t="s">
        <v>1965</v>
      </c>
      <c r="C788" s="26" t="s">
        <v>2003</v>
      </c>
      <c r="D788" s="28" t="s">
        <v>62</v>
      </c>
      <c r="E788" s="28" t="s">
        <v>2010</v>
      </c>
      <c r="F788" s="32">
        <v>2000</v>
      </c>
      <c r="G788" s="44" t="s">
        <v>2011</v>
      </c>
      <c r="H788" s="44"/>
      <c r="I788" s="27" t="s">
        <v>58</v>
      </c>
      <c r="J788" s="27" t="s">
        <v>7</v>
      </c>
    </row>
    <row r="789" spans="1:10" ht="32.4" x14ac:dyDescent="0.3">
      <c r="A789" s="2" t="s">
        <v>52</v>
      </c>
      <c r="B789" s="26" t="s">
        <v>1965</v>
      </c>
      <c r="C789" s="26" t="s">
        <v>2003</v>
      </c>
      <c r="D789" s="28" t="s">
        <v>62</v>
      </c>
      <c r="E789" s="28" t="s">
        <v>2012</v>
      </c>
      <c r="F789" s="32">
        <v>2000</v>
      </c>
      <c r="G789" s="44" t="s">
        <v>2013</v>
      </c>
      <c r="H789" s="44"/>
      <c r="I789" s="27" t="s">
        <v>58</v>
      </c>
      <c r="J789" s="27" t="s">
        <v>7</v>
      </c>
    </row>
    <row r="790" spans="1:10" ht="32.4" x14ac:dyDescent="0.3">
      <c r="A790" s="2" t="s">
        <v>52</v>
      </c>
      <c r="B790" s="26" t="s">
        <v>1965</v>
      </c>
      <c r="C790" s="26" t="s">
        <v>2003</v>
      </c>
      <c r="D790" s="28" t="s">
        <v>62</v>
      </c>
      <c r="E790" s="28" t="s">
        <v>2014</v>
      </c>
      <c r="F790" s="32">
        <v>2000</v>
      </c>
      <c r="G790" s="44" t="s">
        <v>2015</v>
      </c>
      <c r="H790" s="44"/>
      <c r="I790" s="27" t="s">
        <v>58</v>
      </c>
      <c r="J790" s="27" t="s">
        <v>7</v>
      </c>
    </row>
    <row r="791" spans="1:10" ht="32.4" x14ac:dyDescent="0.3">
      <c r="A791" s="2" t="s">
        <v>52</v>
      </c>
      <c r="B791" s="26" t="s">
        <v>1965</v>
      </c>
      <c r="C791" s="26" t="s">
        <v>2003</v>
      </c>
      <c r="D791" s="28" t="s">
        <v>62</v>
      </c>
      <c r="E791" s="28" t="s">
        <v>2016</v>
      </c>
      <c r="F791" s="32">
        <v>2000</v>
      </c>
      <c r="G791" s="44" t="s">
        <v>2017</v>
      </c>
      <c r="H791" s="44"/>
      <c r="I791" s="27" t="s">
        <v>58</v>
      </c>
      <c r="J791" s="27" t="s">
        <v>7</v>
      </c>
    </row>
    <row r="792" spans="1:10" ht="32.4" x14ac:dyDescent="0.3">
      <c r="A792" s="2" t="s">
        <v>52</v>
      </c>
      <c r="B792" s="26" t="s">
        <v>1965</v>
      </c>
      <c r="C792" s="26" t="s">
        <v>2003</v>
      </c>
      <c r="D792" s="28" t="s">
        <v>62</v>
      </c>
      <c r="E792" s="28" t="s">
        <v>2018</v>
      </c>
      <c r="F792" s="32">
        <v>2000</v>
      </c>
      <c r="G792" s="44" t="s">
        <v>2019</v>
      </c>
      <c r="H792" s="44"/>
      <c r="I792" s="27" t="s">
        <v>58</v>
      </c>
      <c r="J792" s="27" t="s">
        <v>7</v>
      </c>
    </row>
    <row r="793" spans="1:10" ht="32.4" x14ac:dyDescent="0.3">
      <c r="A793" s="2" t="s">
        <v>52</v>
      </c>
      <c r="B793" s="26" t="s">
        <v>1965</v>
      </c>
      <c r="C793" s="26" t="s">
        <v>2003</v>
      </c>
      <c r="D793" s="28" t="s">
        <v>121</v>
      </c>
      <c r="E793" s="28" t="s">
        <v>2020</v>
      </c>
      <c r="F793" s="32">
        <v>2150</v>
      </c>
      <c r="G793" s="44" t="s">
        <v>2021</v>
      </c>
      <c r="H793" s="44"/>
      <c r="I793" s="27" t="s">
        <v>353</v>
      </c>
      <c r="J793" s="27" t="s">
        <v>7</v>
      </c>
    </row>
    <row r="794" spans="1:10" ht="32.4" x14ac:dyDescent="0.3">
      <c r="A794" s="2" t="s">
        <v>52</v>
      </c>
      <c r="B794" s="26" t="s">
        <v>1965</v>
      </c>
      <c r="C794" s="26" t="s">
        <v>2003</v>
      </c>
      <c r="D794" s="28" t="s">
        <v>141</v>
      </c>
      <c r="E794" s="28" t="s">
        <v>2022</v>
      </c>
      <c r="F794" s="32">
        <v>4000</v>
      </c>
      <c r="G794" s="44" t="s">
        <v>2023</v>
      </c>
      <c r="H794" s="44"/>
      <c r="I794" s="27" t="s">
        <v>211</v>
      </c>
      <c r="J794" s="27" t="s">
        <v>7</v>
      </c>
    </row>
    <row r="795" spans="1:10" ht="32.4" x14ac:dyDescent="0.3">
      <c r="A795" s="2" t="s">
        <v>52</v>
      </c>
      <c r="B795" s="26" t="s">
        <v>1965</v>
      </c>
      <c r="C795" s="26" t="s">
        <v>2003</v>
      </c>
      <c r="D795" s="28" t="s">
        <v>141</v>
      </c>
      <c r="E795" s="28" t="s">
        <v>2024</v>
      </c>
      <c r="F795" s="32">
        <v>6474</v>
      </c>
      <c r="G795" s="44" t="s">
        <v>2025</v>
      </c>
      <c r="H795" s="44"/>
      <c r="I795" s="27" t="s">
        <v>202</v>
      </c>
      <c r="J795" s="27" t="s">
        <v>7</v>
      </c>
    </row>
    <row r="796" spans="1:10" ht="32.4" x14ac:dyDescent="0.3">
      <c r="A796" s="2" t="s">
        <v>52</v>
      </c>
      <c r="B796" s="26" t="s">
        <v>1965</v>
      </c>
      <c r="C796" s="26" t="s">
        <v>2003</v>
      </c>
      <c r="D796" s="28" t="s">
        <v>141</v>
      </c>
      <c r="E796" s="28" t="s">
        <v>2026</v>
      </c>
      <c r="F796" s="32">
        <v>10000</v>
      </c>
      <c r="G796" s="44" t="s">
        <v>2027</v>
      </c>
      <c r="H796" s="44"/>
      <c r="I796" s="27" t="s">
        <v>2028</v>
      </c>
      <c r="J796" s="27" t="s">
        <v>7</v>
      </c>
    </row>
    <row r="797" spans="1:10" ht="32.4" x14ac:dyDescent="0.3">
      <c r="A797" s="2" t="s">
        <v>52</v>
      </c>
      <c r="B797" s="26" t="s">
        <v>1965</v>
      </c>
      <c r="C797" s="26" t="s">
        <v>2003</v>
      </c>
      <c r="D797" s="28" t="s">
        <v>141</v>
      </c>
      <c r="E797" s="28" t="s">
        <v>2029</v>
      </c>
      <c r="F797" s="32">
        <v>1390</v>
      </c>
      <c r="G797" s="44" t="s">
        <v>2030</v>
      </c>
      <c r="H797" s="44"/>
      <c r="I797" s="27" t="s">
        <v>1197</v>
      </c>
      <c r="J797" s="27" t="s">
        <v>7</v>
      </c>
    </row>
    <row r="798" spans="1:10" ht="32.4" x14ac:dyDescent="0.3">
      <c r="A798" s="2" t="s">
        <v>52</v>
      </c>
      <c r="B798" s="26" t="s">
        <v>1965</v>
      </c>
      <c r="C798" s="26" t="s">
        <v>2003</v>
      </c>
      <c r="D798" s="28" t="s">
        <v>216</v>
      </c>
      <c r="E798" s="28" t="s">
        <v>2031</v>
      </c>
      <c r="F798" s="32">
        <v>630</v>
      </c>
      <c r="G798" s="44" t="s">
        <v>2032</v>
      </c>
      <c r="H798" s="44"/>
      <c r="I798" s="27" t="s">
        <v>49</v>
      </c>
      <c r="J798" s="27" t="s">
        <v>7</v>
      </c>
    </row>
    <row r="799" spans="1:10" ht="32.4" x14ac:dyDescent="0.3">
      <c r="A799" s="2" t="s">
        <v>52</v>
      </c>
      <c r="B799" s="26" t="s">
        <v>1965</v>
      </c>
      <c r="C799" s="26" t="s">
        <v>2003</v>
      </c>
      <c r="D799" s="28" t="s">
        <v>245</v>
      </c>
      <c r="E799" s="28" t="s">
        <v>2033</v>
      </c>
      <c r="F799" s="32">
        <v>650</v>
      </c>
      <c r="G799" s="44" t="s">
        <v>2034</v>
      </c>
      <c r="H799" s="44"/>
      <c r="I799" s="27" t="s">
        <v>248</v>
      </c>
      <c r="J799" s="27" t="s">
        <v>7</v>
      </c>
    </row>
    <row r="800" spans="1:10" ht="32.4" x14ac:dyDescent="0.3">
      <c r="A800" s="2" t="s">
        <v>52</v>
      </c>
      <c r="B800" s="26" t="s">
        <v>1965</v>
      </c>
      <c r="C800" s="26" t="s">
        <v>2003</v>
      </c>
      <c r="D800" s="28" t="s">
        <v>121</v>
      </c>
      <c r="E800" s="28" t="s">
        <v>2035</v>
      </c>
      <c r="F800" s="32">
        <v>360</v>
      </c>
      <c r="G800" s="44" t="s">
        <v>2036</v>
      </c>
      <c r="H800" s="44"/>
      <c r="I800" s="27" t="s">
        <v>248</v>
      </c>
      <c r="J800" s="27" t="s">
        <v>7</v>
      </c>
    </row>
    <row r="801" spans="1:10" x14ac:dyDescent="0.3">
      <c r="A801" s="2" t="s">
        <v>52</v>
      </c>
      <c r="B801" s="26" t="s">
        <v>1965</v>
      </c>
      <c r="C801" s="26" t="s">
        <v>2003</v>
      </c>
      <c r="D801" s="28" t="s">
        <v>115</v>
      </c>
      <c r="E801" s="28" t="s">
        <v>2035</v>
      </c>
      <c r="F801" s="32">
        <v>521</v>
      </c>
      <c r="G801" s="44" t="s">
        <v>2036</v>
      </c>
      <c r="H801" s="44"/>
      <c r="I801" s="27" t="s">
        <v>248</v>
      </c>
      <c r="J801" s="27" t="s">
        <v>7</v>
      </c>
    </row>
    <row r="802" spans="1:10" ht="32.4" x14ac:dyDescent="0.3">
      <c r="A802" s="2" t="s">
        <v>52</v>
      </c>
      <c r="B802" s="26" t="s">
        <v>1965</v>
      </c>
      <c r="C802" s="26" t="s">
        <v>2003</v>
      </c>
      <c r="D802" s="28" t="s">
        <v>245</v>
      </c>
      <c r="E802" s="28" t="s">
        <v>2037</v>
      </c>
      <c r="F802" s="32">
        <v>883</v>
      </c>
      <c r="G802" s="44" t="s">
        <v>2038</v>
      </c>
      <c r="H802" s="44"/>
      <c r="I802" s="27" t="s">
        <v>248</v>
      </c>
      <c r="J802" s="27" t="s">
        <v>7</v>
      </c>
    </row>
    <row r="803" spans="1:10" ht="32.4" x14ac:dyDescent="0.3">
      <c r="A803" s="2" t="s">
        <v>52</v>
      </c>
      <c r="B803" s="26" t="s">
        <v>1965</v>
      </c>
      <c r="C803" s="26" t="s">
        <v>2003</v>
      </c>
      <c r="D803" s="28" t="s">
        <v>245</v>
      </c>
      <c r="E803" s="28" t="s">
        <v>2039</v>
      </c>
      <c r="F803" s="32">
        <v>766</v>
      </c>
      <c r="G803" s="44" t="s">
        <v>2040</v>
      </c>
      <c r="H803" s="44"/>
      <c r="I803" s="27" t="s">
        <v>248</v>
      </c>
      <c r="J803" s="27" t="s">
        <v>7</v>
      </c>
    </row>
    <row r="804" spans="1:10" ht="32.4" x14ac:dyDescent="0.3">
      <c r="A804" s="2" t="s">
        <v>52</v>
      </c>
      <c r="B804" s="26" t="s">
        <v>1965</v>
      </c>
      <c r="C804" s="26" t="s">
        <v>2003</v>
      </c>
      <c r="D804" s="28" t="s">
        <v>121</v>
      </c>
      <c r="E804" s="28" t="s">
        <v>2041</v>
      </c>
      <c r="F804" s="32">
        <v>886</v>
      </c>
      <c r="G804" s="44" t="s">
        <v>2042</v>
      </c>
      <c r="H804" s="44"/>
      <c r="I804" s="27" t="s">
        <v>248</v>
      </c>
      <c r="J804" s="27" t="s">
        <v>7</v>
      </c>
    </row>
    <row r="805" spans="1:10" ht="32.4" x14ac:dyDescent="0.3">
      <c r="A805" s="2" t="s">
        <v>52</v>
      </c>
      <c r="B805" s="26" t="s">
        <v>1965</v>
      </c>
      <c r="C805" s="26" t="s">
        <v>2003</v>
      </c>
      <c r="D805" s="28" t="s">
        <v>245</v>
      </c>
      <c r="E805" s="28" t="s">
        <v>2041</v>
      </c>
      <c r="F805" s="32">
        <v>995</v>
      </c>
      <c r="G805" s="44" t="s">
        <v>2042</v>
      </c>
      <c r="H805" s="44"/>
      <c r="I805" s="27" t="s">
        <v>248</v>
      </c>
      <c r="J805" s="27" t="s">
        <v>7</v>
      </c>
    </row>
    <row r="806" spans="1:10" ht="32.4" x14ac:dyDescent="0.3">
      <c r="A806" s="2" t="s">
        <v>52</v>
      </c>
      <c r="B806" s="26" t="s">
        <v>1965</v>
      </c>
      <c r="C806" s="26" t="s">
        <v>2003</v>
      </c>
      <c r="D806" s="28" t="s">
        <v>141</v>
      </c>
      <c r="E806" s="28" t="s">
        <v>2043</v>
      </c>
      <c r="F806" s="32">
        <v>1200</v>
      </c>
      <c r="G806" s="44" t="s">
        <v>2044</v>
      </c>
      <c r="H806" s="44"/>
      <c r="I806" s="27" t="s">
        <v>248</v>
      </c>
      <c r="J806" s="27" t="s">
        <v>7</v>
      </c>
    </row>
    <row r="807" spans="1:10" ht="32.4" x14ac:dyDescent="0.3">
      <c r="A807" s="2" t="s">
        <v>52</v>
      </c>
      <c r="B807" s="26" t="s">
        <v>1965</v>
      </c>
      <c r="C807" s="26" t="s">
        <v>2003</v>
      </c>
      <c r="D807" s="28" t="s">
        <v>216</v>
      </c>
      <c r="E807" s="28" t="s">
        <v>2045</v>
      </c>
      <c r="F807" s="32">
        <v>690</v>
      </c>
      <c r="G807" s="44" t="s">
        <v>2046</v>
      </c>
      <c r="H807" s="44"/>
      <c r="I807" s="27" t="s">
        <v>133</v>
      </c>
      <c r="J807" s="27" t="s">
        <v>7</v>
      </c>
    </row>
    <row r="808" spans="1:10" ht="32.4" x14ac:dyDescent="0.3">
      <c r="A808" s="2" t="s">
        <v>52</v>
      </c>
      <c r="B808" s="26" t="s">
        <v>1965</v>
      </c>
      <c r="C808" s="26" t="s">
        <v>2003</v>
      </c>
      <c r="D808" s="28" t="s">
        <v>141</v>
      </c>
      <c r="E808" s="28" t="s">
        <v>2047</v>
      </c>
      <c r="F808" s="32">
        <v>3476</v>
      </c>
      <c r="G808" s="44" t="s">
        <v>2048</v>
      </c>
      <c r="H808" s="44"/>
      <c r="I808" s="27" t="s">
        <v>347</v>
      </c>
      <c r="J808" s="27" t="s">
        <v>7</v>
      </c>
    </row>
    <row r="809" spans="1:10" ht="32.4" x14ac:dyDescent="0.3">
      <c r="A809" s="2" t="s">
        <v>52</v>
      </c>
      <c r="B809" s="26" t="s">
        <v>1965</v>
      </c>
      <c r="C809" s="26" t="s">
        <v>2049</v>
      </c>
      <c r="D809" s="28" t="s">
        <v>141</v>
      </c>
      <c r="E809" s="28" t="s">
        <v>2050</v>
      </c>
      <c r="F809" s="32">
        <v>545</v>
      </c>
      <c r="G809" s="44" t="s">
        <v>2051</v>
      </c>
      <c r="H809" s="44"/>
      <c r="I809" s="27" t="s">
        <v>133</v>
      </c>
      <c r="J809" s="27" t="s">
        <v>7</v>
      </c>
    </row>
    <row r="810" spans="1:10" ht="32.4" x14ac:dyDescent="0.3">
      <c r="A810" s="2" t="s">
        <v>52</v>
      </c>
      <c r="B810" s="26" t="s">
        <v>1965</v>
      </c>
      <c r="C810" s="26" t="s">
        <v>2049</v>
      </c>
      <c r="D810" s="28" t="s">
        <v>141</v>
      </c>
      <c r="E810" s="28" t="s">
        <v>2052</v>
      </c>
      <c r="F810" s="32">
        <v>1699</v>
      </c>
      <c r="G810" s="44" t="s">
        <v>2053</v>
      </c>
      <c r="H810" s="44"/>
      <c r="I810" s="27" t="s">
        <v>337</v>
      </c>
      <c r="J810" s="27" t="s">
        <v>7</v>
      </c>
    </row>
    <row r="811" spans="1:10" ht="32.4" x14ac:dyDescent="0.3">
      <c r="A811" s="2" t="s">
        <v>52</v>
      </c>
      <c r="B811" s="26" t="s">
        <v>1965</v>
      </c>
      <c r="C811" s="26" t="s">
        <v>2054</v>
      </c>
      <c r="D811" s="28" t="s">
        <v>55</v>
      </c>
      <c r="E811" s="28" t="s">
        <v>2055</v>
      </c>
      <c r="F811" s="32">
        <v>2935</v>
      </c>
      <c r="G811" s="44" t="s">
        <v>2056</v>
      </c>
      <c r="H811" s="44"/>
      <c r="I811" s="27" t="s">
        <v>58</v>
      </c>
      <c r="J811" s="27" t="s">
        <v>7</v>
      </c>
    </row>
    <row r="812" spans="1:10" ht="32.4" x14ac:dyDescent="0.3">
      <c r="A812" s="2" t="s">
        <v>52</v>
      </c>
      <c r="B812" s="26" t="s">
        <v>1965</v>
      </c>
      <c r="C812" s="26" t="s">
        <v>2054</v>
      </c>
      <c r="D812" s="28" t="s">
        <v>55</v>
      </c>
      <c r="E812" s="28" t="s">
        <v>2057</v>
      </c>
      <c r="F812" s="32">
        <v>2980</v>
      </c>
      <c r="G812" s="44" t="s">
        <v>2058</v>
      </c>
      <c r="H812" s="44"/>
      <c r="I812" s="27" t="s">
        <v>58</v>
      </c>
      <c r="J812" s="27" t="s">
        <v>7</v>
      </c>
    </row>
    <row r="813" spans="1:10" ht="32.4" x14ac:dyDescent="0.3">
      <c r="A813" s="2" t="s">
        <v>52</v>
      </c>
      <c r="B813" s="26" t="s">
        <v>1965</v>
      </c>
      <c r="C813" s="26" t="s">
        <v>2054</v>
      </c>
      <c r="D813" s="28" t="s">
        <v>55</v>
      </c>
      <c r="E813" s="28" t="s">
        <v>2059</v>
      </c>
      <c r="F813" s="32">
        <v>2980</v>
      </c>
      <c r="G813" s="44" t="s">
        <v>2060</v>
      </c>
      <c r="H813" s="44"/>
      <c r="I813" s="27" t="s">
        <v>58</v>
      </c>
      <c r="J813" s="27" t="s">
        <v>7</v>
      </c>
    </row>
    <row r="814" spans="1:10" ht="32.4" x14ac:dyDescent="0.3">
      <c r="A814" s="2" t="s">
        <v>52</v>
      </c>
      <c r="B814" s="26" t="s">
        <v>1965</v>
      </c>
      <c r="C814" s="26" t="s">
        <v>2054</v>
      </c>
      <c r="D814" s="28" t="s">
        <v>55</v>
      </c>
      <c r="E814" s="28" t="s">
        <v>2061</v>
      </c>
      <c r="F814" s="32">
        <v>2980</v>
      </c>
      <c r="G814" s="44" t="s">
        <v>2062</v>
      </c>
      <c r="H814" s="44"/>
      <c r="I814" s="27" t="s">
        <v>58</v>
      </c>
      <c r="J814" s="27" t="s">
        <v>7</v>
      </c>
    </row>
    <row r="815" spans="1:10" ht="32.4" x14ac:dyDescent="0.3">
      <c r="A815" s="2" t="s">
        <v>52</v>
      </c>
      <c r="B815" s="26" t="s">
        <v>1965</v>
      </c>
      <c r="C815" s="26" t="s">
        <v>2054</v>
      </c>
      <c r="D815" s="28" t="s">
        <v>55</v>
      </c>
      <c r="E815" s="28" t="s">
        <v>2063</v>
      </c>
      <c r="F815" s="32">
        <v>2980</v>
      </c>
      <c r="G815" s="44" t="s">
        <v>2064</v>
      </c>
      <c r="H815" s="44"/>
      <c r="I815" s="27" t="s">
        <v>58</v>
      </c>
      <c r="J815" s="27" t="s">
        <v>7</v>
      </c>
    </row>
    <row r="816" spans="1:10" ht="32.4" x14ac:dyDescent="0.3">
      <c r="A816" s="2" t="s">
        <v>52</v>
      </c>
      <c r="B816" s="26" t="s">
        <v>1965</v>
      </c>
      <c r="C816" s="26" t="s">
        <v>2054</v>
      </c>
      <c r="D816" s="28" t="s">
        <v>55</v>
      </c>
      <c r="E816" s="28" t="s">
        <v>2065</v>
      </c>
      <c r="F816" s="32">
        <v>2980</v>
      </c>
      <c r="G816" s="44" t="s">
        <v>2066</v>
      </c>
      <c r="H816" s="44"/>
      <c r="I816" s="27" t="s">
        <v>58</v>
      </c>
      <c r="J816" s="27" t="s">
        <v>7</v>
      </c>
    </row>
    <row r="817" spans="1:10" ht="32.4" x14ac:dyDescent="0.3">
      <c r="A817" s="2" t="s">
        <v>52</v>
      </c>
      <c r="B817" s="26" t="s">
        <v>1965</v>
      </c>
      <c r="C817" s="26" t="s">
        <v>2054</v>
      </c>
      <c r="D817" s="28" t="s">
        <v>1053</v>
      </c>
      <c r="E817" s="28" t="s">
        <v>2067</v>
      </c>
      <c r="F817" s="32">
        <v>2337</v>
      </c>
      <c r="G817" s="44" t="s">
        <v>2068</v>
      </c>
      <c r="H817" s="44"/>
      <c r="I817" s="27" t="s">
        <v>150</v>
      </c>
      <c r="J817" s="27" t="s">
        <v>7</v>
      </c>
    </row>
    <row r="818" spans="1:10" ht="32.4" x14ac:dyDescent="0.3">
      <c r="A818" s="2" t="s">
        <v>52</v>
      </c>
      <c r="B818" s="26" t="s">
        <v>1965</v>
      </c>
      <c r="C818" s="26" t="s">
        <v>2054</v>
      </c>
      <c r="D818" s="28" t="s">
        <v>141</v>
      </c>
      <c r="E818" s="28" t="s">
        <v>2069</v>
      </c>
      <c r="F818" s="32">
        <v>1646</v>
      </c>
      <c r="G818" s="44" t="s">
        <v>2070</v>
      </c>
      <c r="H818" s="44"/>
      <c r="I818" s="27" t="s">
        <v>1232</v>
      </c>
      <c r="J818" s="27" t="s">
        <v>7</v>
      </c>
    </row>
    <row r="819" spans="1:10" ht="32.4" x14ac:dyDescent="0.3">
      <c r="A819" s="2" t="s">
        <v>52</v>
      </c>
      <c r="B819" s="26" t="s">
        <v>1965</v>
      </c>
      <c r="C819" s="26" t="s">
        <v>2054</v>
      </c>
      <c r="D819" s="28" t="s">
        <v>141</v>
      </c>
      <c r="E819" s="28" t="s">
        <v>2071</v>
      </c>
      <c r="F819" s="32">
        <v>5390</v>
      </c>
      <c r="G819" s="44" t="s">
        <v>2072</v>
      </c>
      <c r="H819" s="44"/>
      <c r="I819" s="27" t="s">
        <v>49</v>
      </c>
      <c r="J819" s="27" t="s">
        <v>7</v>
      </c>
    </row>
    <row r="820" spans="1:10" ht="48.6" x14ac:dyDescent="0.3">
      <c r="A820" s="2" t="s">
        <v>52</v>
      </c>
      <c r="B820" s="26" t="s">
        <v>1965</v>
      </c>
      <c r="C820" s="26" t="s">
        <v>2073</v>
      </c>
      <c r="D820" s="28" t="s">
        <v>2074</v>
      </c>
      <c r="E820" s="28" t="s">
        <v>2075</v>
      </c>
      <c r="F820" s="32">
        <v>19003</v>
      </c>
      <c r="G820" s="44" t="s">
        <v>2076</v>
      </c>
      <c r="H820" s="44"/>
      <c r="I820" s="27" t="s">
        <v>393</v>
      </c>
      <c r="J820" s="27" t="s">
        <v>7</v>
      </c>
    </row>
    <row r="821" spans="1:10" ht="32.4" x14ac:dyDescent="0.3">
      <c r="A821" s="2" t="s">
        <v>52</v>
      </c>
      <c r="B821" s="26" t="s">
        <v>1965</v>
      </c>
      <c r="C821" s="26" t="s">
        <v>2077</v>
      </c>
      <c r="D821" s="28" t="s">
        <v>703</v>
      </c>
      <c r="E821" s="28" t="s">
        <v>2078</v>
      </c>
      <c r="F821" s="32">
        <v>1980</v>
      </c>
      <c r="G821" s="44" t="s">
        <v>2079</v>
      </c>
      <c r="H821" s="44"/>
      <c r="I821" s="27" t="s">
        <v>272</v>
      </c>
      <c r="J821" s="27" t="s">
        <v>7</v>
      </c>
    </row>
    <row r="822" spans="1:10" ht="32.4" x14ac:dyDescent="0.3">
      <c r="A822" s="2" t="s">
        <v>52</v>
      </c>
      <c r="B822" s="26" t="s">
        <v>1965</v>
      </c>
      <c r="C822" s="26" t="s">
        <v>2077</v>
      </c>
      <c r="D822" s="28" t="s">
        <v>703</v>
      </c>
      <c r="E822" s="28" t="s">
        <v>2080</v>
      </c>
      <c r="F822" s="32">
        <v>3155</v>
      </c>
      <c r="G822" s="44" t="s">
        <v>2081</v>
      </c>
      <c r="H822" s="44"/>
      <c r="I822" s="27" t="s">
        <v>84</v>
      </c>
      <c r="J822" s="27" t="s">
        <v>7</v>
      </c>
    </row>
    <row r="823" spans="1:10" x14ac:dyDescent="0.3">
      <c r="A823" s="2" t="s">
        <v>44</v>
      </c>
      <c r="B823" s="26" t="s">
        <v>1965</v>
      </c>
      <c r="C823" s="26" t="s">
        <v>46</v>
      </c>
      <c r="D823" s="28" t="s">
        <v>7</v>
      </c>
      <c r="E823" s="28" t="s">
        <v>2082</v>
      </c>
      <c r="F823" s="32">
        <v>2300</v>
      </c>
      <c r="G823" s="44" t="s">
        <v>2083</v>
      </c>
      <c r="H823" s="44"/>
      <c r="I823" s="27" t="s">
        <v>1207</v>
      </c>
      <c r="J823" s="27" t="s">
        <v>7</v>
      </c>
    </row>
    <row r="824" spans="1:10" x14ac:dyDescent="0.3">
      <c r="A824" s="2" t="s">
        <v>44</v>
      </c>
      <c r="B824" s="26" t="s">
        <v>1965</v>
      </c>
      <c r="C824" s="26" t="s">
        <v>46</v>
      </c>
      <c r="D824" s="28" t="s">
        <v>7</v>
      </c>
      <c r="E824" s="28" t="s">
        <v>2084</v>
      </c>
      <c r="F824" s="32">
        <v>3063</v>
      </c>
      <c r="G824" s="44" t="s">
        <v>2085</v>
      </c>
      <c r="H824" s="44"/>
      <c r="I824" s="27" t="s">
        <v>70</v>
      </c>
      <c r="J824" s="27" t="s">
        <v>7</v>
      </c>
    </row>
    <row r="825" spans="1:10" x14ac:dyDescent="0.3">
      <c r="A825" s="2" t="s">
        <v>44</v>
      </c>
      <c r="B825" s="26" t="s">
        <v>1965</v>
      </c>
      <c r="C825" s="26" t="s">
        <v>46</v>
      </c>
      <c r="D825" s="28" t="s">
        <v>7</v>
      </c>
      <c r="E825" s="28" t="s">
        <v>2086</v>
      </c>
      <c r="F825" s="32">
        <v>4000</v>
      </c>
      <c r="G825" s="44" t="s">
        <v>2087</v>
      </c>
      <c r="H825" s="44"/>
      <c r="I825" s="27" t="s">
        <v>127</v>
      </c>
      <c r="J825" s="27" t="s">
        <v>7</v>
      </c>
    </row>
    <row r="826" spans="1:10" ht="32.4" x14ac:dyDescent="0.3">
      <c r="A826" s="2" t="s">
        <v>44</v>
      </c>
      <c r="B826" s="26" t="s">
        <v>1965</v>
      </c>
      <c r="C826" s="26" t="s">
        <v>46</v>
      </c>
      <c r="D826" s="28" t="s">
        <v>7</v>
      </c>
      <c r="E826" s="28" t="s">
        <v>2088</v>
      </c>
      <c r="F826" s="32">
        <v>1577</v>
      </c>
      <c r="G826" s="44" t="s">
        <v>2089</v>
      </c>
      <c r="H826" s="44"/>
      <c r="I826" s="27" t="s">
        <v>58</v>
      </c>
      <c r="J826" s="27" t="s">
        <v>7</v>
      </c>
    </row>
    <row r="827" spans="1:10" ht="32.4" x14ac:dyDescent="0.3">
      <c r="A827" s="2" t="s">
        <v>44</v>
      </c>
      <c r="B827" s="26" t="s">
        <v>1965</v>
      </c>
      <c r="C827" s="26" t="s">
        <v>46</v>
      </c>
      <c r="D827" s="28" t="s">
        <v>7</v>
      </c>
      <c r="E827" s="28" t="s">
        <v>2090</v>
      </c>
      <c r="F827" s="32">
        <v>502</v>
      </c>
      <c r="G827" s="44" t="s">
        <v>2091</v>
      </c>
      <c r="H827" s="44"/>
      <c r="I827" s="27" t="s">
        <v>58</v>
      </c>
      <c r="J827" s="27" t="s">
        <v>7</v>
      </c>
    </row>
    <row r="828" spans="1:10" x14ac:dyDescent="0.3">
      <c r="A828" s="2" t="s">
        <v>44</v>
      </c>
      <c r="B828" s="26" t="s">
        <v>1965</v>
      </c>
      <c r="C828" s="26" t="s">
        <v>46</v>
      </c>
      <c r="D828" s="28" t="s">
        <v>7</v>
      </c>
      <c r="E828" s="28" t="s">
        <v>2092</v>
      </c>
      <c r="F828" s="32">
        <v>8587</v>
      </c>
      <c r="G828" s="44" t="s">
        <v>2093</v>
      </c>
      <c r="H828" s="44"/>
      <c r="I828" s="27" t="s">
        <v>2094</v>
      </c>
      <c r="J828" s="27" t="s">
        <v>7</v>
      </c>
    </row>
    <row r="829" spans="1:10" x14ac:dyDescent="0.3">
      <c r="A829" s="2" t="s">
        <v>44</v>
      </c>
      <c r="B829" s="26" t="s">
        <v>1965</v>
      </c>
      <c r="C829" s="26" t="s">
        <v>46</v>
      </c>
      <c r="D829" s="28" t="s">
        <v>7</v>
      </c>
      <c r="E829" s="28" t="s">
        <v>2095</v>
      </c>
      <c r="F829" s="32">
        <v>2039</v>
      </c>
      <c r="G829" s="44" t="s">
        <v>2096</v>
      </c>
      <c r="H829" s="44"/>
      <c r="I829" s="27" t="s">
        <v>2094</v>
      </c>
      <c r="J829" s="27" t="s">
        <v>7</v>
      </c>
    </row>
    <row r="830" spans="1:10" x14ac:dyDescent="0.3">
      <c r="A830" s="2" t="s">
        <v>44</v>
      </c>
      <c r="B830" s="26" t="s">
        <v>2097</v>
      </c>
      <c r="C830" s="26" t="s">
        <v>46</v>
      </c>
      <c r="D830" s="28" t="s">
        <v>7</v>
      </c>
      <c r="E830" s="28" t="s">
        <v>2098</v>
      </c>
      <c r="F830" s="32">
        <v>8076</v>
      </c>
      <c r="G830" s="44" t="s">
        <v>2099</v>
      </c>
      <c r="H830" s="44"/>
      <c r="I830" s="27" t="s">
        <v>248</v>
      </c>
      <c r="J830" s="27" t="s">
        <v>7</v>
      </c>
    </row>
    <row r="831" spans="1:10" x14ac:dyDescent="0.3">
      <c r="A831" s="2" t="s">
        <v>44</v>
      </c>
      <c r="B831" s="26" t="s">
        <v>2097</v>
      </c>
      <c r="C831" s="26" t="s">
        <v>46</v>
      </c>
      <c r="D831" s="28" t="s">
        <v>7</v>
      </c>
      <c r="E831" s="28" t="s">
        <v>2100</v>
      </c>
      <c r="F831" s="32">
        <v>632</v>
      </c>
      <c r="G831" s="44" t="s">
        <v>2101</v>
      </c>
      <c r="H831" s="44"/>
      <c r="I831" s="27" t="s">
        <v>49</v>
      </c>
      <c r="J831" s="27" t="s">
        <v>7</v>
      </c>
    </row>
    <row r="832" spans="1:10" x14ac:dyDescent="0.3">
      <c r="A832" s="2" t="s">
        <v>44</v>
      </c>
      <c r="B832" s="26" t="s">
        <v>2097</v>
      </c>
      <c r="C832" s="26" t="s">
        <v>46</v>
      </c>
      <c r="D832" s="28" t="s">
        <v>7</v>
      </c>
      <c r="E832" s="28" t="s">
        <v>2102</v>
      </c>
      <c r="F832" s="32">
        <v>300</v>
      </c>
      <c r="G832" s="44" t="s">
        <v>2103</v>
      </c>
      <c r="H832" s="44"/>
      <c r="I832" s="27" t="s">
        <v>1946</v>
      </c>
      <c r="J832" s="27" t="s">
        <v>7</v>
      </c>
    </row>
    <row r="833" spans="1:10" x14ac:dyDescent="0.3">
      <c r="A833" s="2" t="s">
        <v>44</v>
      </c>
      <c r="B833" s="26" t="s">
        <v>2097</v>
      </c>
      <c r="C833" s="26" t="s">
        <v>46</v>
      </c>
      <c r="D833" s="28" t="s">
        <v>7</v>
      </c>
      <c r="E833" s="28" t="s">
        <v>2104</v>
      </c>
      <c r="F833" s="32">
        <v>6126</v>
      </c>
      <c r="G833" s="44" t="s">
        <v>2105</v>
      </c>
      <c r="H833" s="44"/>
      <c r="I833" s="27" t="s">
        <v>70</v>
      </c>
      <c r="J833" s="27" t="s">
        <v>7</v>
      </c>
    </row>
    <row r="834" spans="1:10" x14ac:dyDescent="0.3">
      <c r="A834" s="2" t="s">
        <v>44</v>
      </c>
      <c r="B834" s="26" t="s">
        <v>2097</v>
      </c>
      <c r="C834" s="26" t="s">
        <v>46</v>
      </c>
      <c r="D834" s="28" t="s">
        <v>7</v>
      </c>
      <c r="E834" s="28" t="s">
        <v>2106</v>
      </c>
      <c r="F834" s="32">
        <v>1680</v>
      </c>
      <c r="G834" s="44" t="s">
        <v>2107</v>
      </c>
      <c r="H834" s="44"/>
      <c r="I834" s="27" t="s">
        <v>70</v>
      </c>
      <c r="J834" s="27" t="s">
        <v>7</v>
      </c>
    </row>
    <row r="835" spans="1:10" ht="32.4" x14ac:dyDescent="0.3">
      <c r="A835" s="2" t="s">
        <v>44</v>
      </c>
      <c r="B835" s="26" t="s">
        <v>2097</v>
      </c>
      <c r="C835" s="26" t="s">
        <v>46</v>
      </c>
      <c r="D835" s="28" t="s">
        <v>7</v>
      </c>
      <c r="E835" s="28" t="s">
        <v>2108</v>
      </c>
      <c r="F835" s="32">
        <v>32702</v>
      </c>
      <c r="G835" s="44" t="s">
        <v>2109</v>
      </c>
      <c r="H835" s="44"/>
      <c r="I835" s="27" t="s">
        <v>168</v>
      </c>
      <c r="J835" s="27" t="s">
        <v>7</v>
      </c>
    </row>
    <row r="836" spans="1:10" ht="32.4" x14ac:dyDescent="0.3">
      <c r="A836" s="2" t="s">
        <v>44</v>
      </c>
      <c r="B836" s="26" t="s">
        <v>2097</v>
      </c>
      <c r="C836" s="26" t="s">
        <v>46</v>
      </c>
      <c r="D836" s="28" t="s">
        <v>7</v>
      </c>
      <c r="E836" s="28" t="s">
        <v>2110</v>
      </c>
      <c r="F836" s="32">
        <v>32261</v>
      </c>
      <c r="G836" s="44" t="s">
        <v>2111</v>
      </c>
      <c r="H836" s="44"/>
      <c r="I836" s="27" t="s">
        <v>223</v>
      </c>
      <c r="J836" s="27" t="s">
        <v>7</v>
      </c>
    </row>
    <row r="837" spans="1:10" ht="32.4" x14ac:dyDescent="0.3">
      <c r="A837" s="2" t="s">
        <v>44</v>
      </c>
      <c r="B837" s="26" t="s">
        <v>2097</v>
      </c>
      <c r="C837" s="26" t="s">
        <v>46</v>
      </c>
      <c r="D837" s="28" t="s">
        <v>7</v>
      </c>
      <c r="E837" s="28" t="s">
        <v>2112</v>
      </c>
      <c r="F837" s="32">
        <v>32741</v>
      </c>
      <c r="G837" s="44" t="s">
        <v>2113</v>
      </c>
      <c r="H837" s="44"/>
      <c r="I837" s="27" t="s">
        <v>223</v>
      </c>
      <c r="J837" s="27" t="s">
        <v>7</v>
      </c>
    </row>
    <row r="838" spans="1:10" x14ac:dyDescent="0.3">
      <c r="A838" s="2" t="s">
        <v>44</v>
      </c>
      <c r="B838" s="26" t="s">
        <v>2097</v>
      </c>
      <c r="C838" s="26" t="s">
        <v>46</v>
      </c>
      <c r="D838" s="28" t="s">
        <v>7</v>
      </c>
      <c r="E838" s="28" t="s">
        <v>2114</v>
      </c>
      <c r="F838" s="32">
        <v>3282</v>
      </c>
      <c r="G838" s="44" t="s">
        <v>2115</v>
      </c>
      <c r="H838" s="44"/>
      <c r="I838" s="27" t="s">
        <v>2116</v>
      </c>
      <c r="J838" s="27" t="s">
        <v>7</v>
      </c>
    </row>
    <row r="839" spans="1:10" x14ac:dyDescent="0.3">
      <c r="A839" s="2" t="s">
        <v>44</v>
      </c>
      <c r="B839" s="26" t="s">
        <v>2117</v>
      </c>
      <c r="C839" s="26" t="s">
        <v>46</v>
      </c>
      <c r="D839" s="28" t="s">
        <v>7</v>
      </c>
      <c r="E839" s="28" t="s">
        <v>2118</v>
      </c>
      <c r="F839" s="32">
        <v>2553</v>
      </c>
      <c r="G839" s="44" t="s">
        <v>2119</v>
      </c>
      <c r="H839" s="44"/>
      <c r="I839" s="27" t="s">
        <v>49</v>
      </c>
      <c r="J839" s="27" t="s">
        <v>7</v>
      </c>
    </row>
    <row r="840" spans="1:10" x14ac:dyDescent="0.3">
      <c r="A840" s="2" t="s">
        <v>44</v>
      </c>
      <c r="B840" s="26" t="s">
        <v>2117</v>
      </c>
      <c r="C840" s="26" t="s">
        <v>46</v>
      </c>
      <c r="D840" s="28" t="s">
        <v>7</v>
      </c>
      <c r="E840" s="28" t="s">
        <v>2120</v>
      </c>
      <c r="F840" s="32">
        <v>4000</v>
      </c>
      <c r="G840" s="44" t="s">
        <v>2121</v>
      </c>
      <c r="H840" s="44"/>
      <c r="I840" s="27" t="s">
        <v>2122</v>
      </c>
      <c r="J840" s="27" t="s">
        <v>7</v>
      </c>
    </row>
    <row r="841" spans="1:10" x14ac:dyDescent="0.3">
      <c r="A841" s="2" t="s">
        <v>44</v>
      </c>
      <c r="B841" s="26" t="s">
        <v>2117</v>
      </c>
      <c r="C841" s="26" t="s">
        <v>46</v>
      </c>
      <c r="D841" s="28" t="s">
        <v>7</v>
      </c>
      <c r="E841" s="28" t="s">
        <v>2123</v>
      </c>
      <c r="F841" s="32">
        <v>1347</v>
      </c>
      <c r="G841" s="44" t="s">
        <v>2124</v>
      </c>
      <c r="H841" s="44"/>
      <c r="I841" s="27" t="s">
        <v>2122</v>
      </c>
      <c r="J841" s="27" t="s">
        <v>7</v>
      </c>
    </row>
    <row r="842" spans="1:10" ht="32.4" x14ac:dyDescent="0.3">
      <c r="A842" s="2" t="s">
        <v>44</v>
      </c>
      <c r="B842" s="26" t="s">
        <v>2117</v>
      </c>
      <c r="C842" s="26" t="s">
        <v>46</v>
      </c>
      <c r="D842" s="28" t="s">
        <v>7</v>
      </c>
      <c r="E842" s="28" t="s">
        <v>2125</v>
      </c>
      <c r="F842" s="32">
        <v>13201</v>
      </c>
      <c r="G842" s="44" t="s">
        <v>2126</v>
      </c>
      <c r="H842" s="44"/>
      <c r="I842" s="27" t="s">
        <v>163</v>
      </c>
      <c r="J842" s="27" t="s">
        <v>7</v>
      </c>
    </row>
    <row r="843" spans="1:10" ht="32.4" x14ac:dyDescent="0.3">
      <c r="A843" s="2" t="s">
        <v>44</v>
      </c>
      <c r="B843" s="26" t="s">
        <v>2117</v>
      </c>
      <c r="C843" s="26" t="s">
        <v>46</v>
      </c>
      <c r="D843" s="28" t="s">
        <v>7</v>
      </c>
      <c r="E843" s="28" t="s">
        <v>2127</v>
      </c>
      <c r="F843" s="32">
        <v>2700</v>
      </c>
      <c r="G843" s="44" t="s">
        <v>2128</v>
      </c>
      <c r="H843" s="44"/>
      <c r="I843" s="27" t="s">
        <v>163</v>
      </c>
      <c r="J843" s="27" t="s">
        <v>7</v>
      </c>
    </row>
    <row r="844" spans="1:10" x14ac:dyDescent="0.3">
      <c r="A844" s="2" t="s">
        <v>44</v>
      </c>
      <c r="B844" s="26" t="s">
        <v>2117</v>
      </c>
      <c r="C844" s="26" t="s">
        <v>46</v>
      </c>
      <c r="D844" s="28" t="s">
        <v>7</v>
      </c>
      <c r="E844" s="28" t="s">
        <v>2129</v>
      </c>
      <c r="F844" s="32">
        <v>19755</v>
      </c>
      <c r="G844" s="44" t="s">
        <v>2130</v>
      </c>
      <c r="H844" s="44"/>
      <c r="I844" s="27" t="s">
        <v>1853</v>
      </c>
      <c r="J844" s="27" t="s">
        <v>7</v>
      </c>
    </row>
    <row r="845" spans="1:10" x14ac:dyDescent="0.3">
      <c r="A845" s="2" t="s">
        <v>44</v>
      </c>
      <c r="B845" s="26" t="s">
        <v>2117</v>
      </c>
      <c r="C845" s="26" t="s">
        <v>46</v>
      </c>
      <c r="D845" s="28" t="s">
        <v>7</v>
      </c>
      <c r="E845" s="28" t="s">
        <v>2131</v>
      </c>
      <c r="F845" s="32">
        <v>20212</v>
      </c>
      <c r="G845" s="44" t="s">
        <v>2132</v>
      </c>
      <c r="H845" s="44"/>
      <c r="I845" s="27" t="s">
        <v>211</v>
      </c>
      <c r="J845" s="27" t="s">
        <v>7</v>
      </c>
    </row>
    <row r="846" spans="1:10" x14ac:dyDescent="0.3">
      <c r="A846" s="2" t="s">
        <v>44</v>
      </c>
      <c r="B846" s="26" t="s">
        <v>2117</v>
      </c>
      <c r="C846" s="26" t="s">
        <v>46</v>
      </c>
      <c r="D846" s="28" t="s">
        <v>7</v>
      </c>
      <c r="E846" s="28" t="s">
        <v>2133</v>
      </c>
      <c r="F846" s="32">
        <v>19503</v>
      </c>
      <c r="G846" s="44" t="s">
        <v>2134</v>
      </c>
      <c r="H846" s="44"/>
      <c r="I846" s="27" t="s">
        <v>211</v>
      </c>
      <c r="J846" s="27" t="s">
        <v>7</v>
      </c>
    </row>
    <row r="847" spans="1:10" x14ac:dyDescent="0.3">
      <c r="B847" s="29" t="s">
        <v>40</v>
      </c>
      <c r="C847" s="44" t="s">
        <v>2135</v>
      </c>
      <c r="D847" s="45"/>
      <c r="E847" s="46"/>
      <c r="F847" s="47"/>
      <c r="G847" s="44"/>
      <c r="H847" s="44"/>
      <c r="I847" s="44"/>
      <c r="J847" s="44"/>
    </row>
    <row r="848" spans="1:10" x14ac:dyDescent="0.3">
      <c r="A848" s="25" t="s">
        <v>2136</v>
      </c>
      <c r="B848" s="22"/>
      <c r="C848" s="22"/>
      <c r="D848" s="30"/>
      <c r="E848" s="31"/>
      <c r="F848" s="24"/>
      <c r="G848" s="23"/>
      <c r="H848" s="23"/>
      <c r="I848" s="23"/>
      <c r="J848" s="23"/>
    </row>
    <row r="849" spans="2:10" x14ac:dyDescent="0.3">
      <c r="B849" s="29" t="s">
        <v>40</v>
      </c>
      <c r="C849" s="44" t="s">
        <v>2137</v>
      </c>
      <c r="D849" s="45"/>
      <c r="E849" s="46"/>
      <c r="F849" s="47"/>
      <c r="G849" s="44"/>
      <c r="H849" s="44"/>
      <c r="I849" s="44"/>
      <c r="J849" s="44"/>
    </row>
  </sheetData>
  <autoFilter ref="A21:M21" xr:uid="{46B88ECE-5F0C-4358-9E44-010A14A40541}"/>
  <mergeCells count="843">
    <mergeCell ref="G16:H16"/>
    <mergeCell ref="I10:J10"/>
    <mergeCell ref="I11:J11"/>
    <mergeCell ref="I12:J12"/>
    <mergeCell ref="A7:A8"/>
    <mergeCell ref="B9:E9"/>
    <mergeCell ref="A2:J2"/>
    <mergeCell ref="A3:J3"/>
    <mergeCell ref="G5:J5"/>
    <mergeCell ref="G6:J6"/>
    <mergeCell ref="B6:E6"/>
    <mergeCell ref="B5:E5"/>
    <mergeCell ref="B7:J8"/>
    <mergeCell ref="G9:J9"/>
    <mergeCell ref="G25:H25"/>
    <mergeCell ref="G26:H26"/>
    <mergeCell ref="G27:H27"/>
    <mergeCell ref="G28:H28"/>
    <mergeCell ref="G29:H29"/>
    <mergeCell ref="C18:J18"/>
    <mergeCell ref="C20:J20"/>
    <mergeCell ref="G22:H22"/>
    <mergeCell ref="G23:H23"/>
    <mergeCell ref="G24:H24"/>
    <mergeCell ref="G35:H35"/>
    <mergeCell ref="G36:H36"/>
    <mergeCell ref="G37:H37"/>
    <mergeCell ref="G38:H38"/>
    <mergeCell ref="G39:H39"/>
    <mergeCell ref="G30:H30"/>
    <mergeCell ref="G31:H31"/>
    <mergeCell ref="G32:H32"/>
    <mergeCell ref="G33:H33"/>
    <mergeCell ref="G34:H34"/>
    <mergeCell ref="G45:H45"/>
    <mergeCell ref="G46:H46"/>
    <mergeCell ref="G47:H47"/>
    <mergeCell ref="G48:H48"/>
    <mergeCell ref="G49:H49"/>
    <mergeCell ref="G40:H40"/>
    <mergeCell ref="G41:H41"/>
    <mergeCell ref="G42:H42"/>
    <mergeCell ref="G43:H43"/>
    <mergeCell ref="G44:H44"/>
    <mergeCell ref="G55:H55"/>
    <mergeCell ref="G56:H56"/>
    <mergeCell ref="G57:H57"/>
    <mergeCell ref="G58:H58"/>
    <mergeCell ref="G59:H59"/>
    <mergeCell ref="G50:H50"/>
    <mergeCell ref="G51:H51"/>
    <mergeCell ref="G52:H52"/>
    <mergeCell ref="G53:H53"/>
    <mergeCell ref="G54:H54"/>
    <mergeCell ref="G65:H65"/>
    <mergeCell ref="G66:H66"/>
    <mergeCell ref="G67:H67"/>
    <mergeCell ref="G68:H68"/>
    <mergeCell ref="G69:H69"/>
    <mergeCell ref="G60:H60"/>
    <mergeCell ref="G61:H61"/>
    <mergeCell ref="G62:H62"/>
    <mergeCell ref="G63:H63"/>
    <mergeCell ref="G64:H64"/>
    <mergeCell ref="G75:H75"/>
    <mergeCell ref="G76:H76"/>
    <mergeCell ref="G77:H77"/>
    <mergeCell ref="G78:H78"/>
    <mergeCell ref="G79:H79"/>
    <mergeCell ref="G70:H70"/>
    <mergeCell ref="G71:H71"/>
    <mergeCell ref="G72:H72"/>
    <mergeCell ref="G73:H73"/>
    <mergeCell ref="G74:H74"/>
    <mergeCell ref="G85:H85"/>
    <mergeCell ref="G86:H86"/>
    <mergeCell ref="G87:H87"/>
    <mergeCell ref="G88:H88"/>
    <mergeCell ref="G89:H89"/>
    <mergeCell ref="G80:H80"/>
    <mergeCell ref="G81:H81"/>
    <mergeCell ref="G82:H82"/>
    <mergeCell ref="G83:H83"/>
    <mergeCell ref="G84:H84"/>
    <mergeCell ref="G95:H95"/>
    <mergeCell ref="G96:H96"/>
    <mergeCell ref="G97:H97"/>
    <mergeCell ref="G98:H98"/>
    <mergeCell ref="G99:H99"/>
    <mergeCell ref="G90:H90"/>
    <mergeCell ref="G91:H91"/>
    <mergeCell ref="G92:H92"/>
    <mergeCell ref="G93:H93"/>
    <mergeCell ref="G94:H94"/>
    <mergeCell ref="G105:H105"/>
    <mergeCell ref="G106:H106"/>
    <mergeCell ref="G107:H107"/>
    <mergeCell ref="G108:H108"/>
    <mergeCell ref="G109:H109"/>
    <mergeCell ref="G100:H100"/>
    <mergeCell ref="G101:H101"/>
    <mergeCell ref="G102:H102"/>
    <mergeCell ref="G103:H103"/>
    <mergeCell ref="G104:H104"/>
    <mergeCell ref="G115:H115"/>
    <mergeCell ref="G116:H116"/>
    <mergeCell ref="G117:H117"/>
    <mergeCell ref="G118:H118"/>
    <mergeCell ref="G119:H119"/>
    <mergeCell ref="G110:H110"/>
    <mergeCell ref="G111:H111"/>
    <mergeCell ref="G112:H112"/>
    <mergeCell ref="G113:H113"/>
    <mergeCell ref="G114:H114"/>
    <mergeCell ref="G125:H125"/>
    <mergeCell ref="G126:H126"/>
    <mergeCell ref="G127:H127"/>
    <mergeCell ref="G128:H128"/>
    <mergeCell ref="G129:H129"/>
    <mergeCell ref="G120:H120"/>
    <mergeCell ref="G121:H121"/>
    <mergeCell ref="G122:H122"/>
    <mergeCell ref="G123:H123"/>
    <mergeCell ref="G124:H124"/>
    <mergeCell ref="G135:H135"/>
    <mergeCell ref="G136:H136"/>
    <mergeCell ref="G137:H137"/>
    <mergeCell ref="G138:H138"/>
    <mergeCell ref="G139:H139"/>
    <mergeCell ref="G130:H130"/>
    <mergeCell ref="G131:H131"/>
    <mergeCell ref="G132:H132"/>
    <mergeCell ref="G133:H133"/>
    <mergeCell ref="G134:H134"/>
    <mergeCell ref="G145:H145"/>
    <mergeCell ref="G146:H146"/>
    <mergeCell ref="G147:H147"/>
    <mergeCell ref="G148:H148"/>
    <mergeCell ref="G149:H149"/>
    <mergeCell ref="G140:H140"/>
    <mergeCell ref="G141:H141"/>
    <mergeCell ref="G142:H142"/>
    <mergeCell ref="G143:H143"/>
    <mergeCell ref="G144:H144"/>
    <mergeCell ref="G155:H155"/>
    <mergeCell ref="G156:H156"/>
    <mergeCell ref="G157:H157"/>
    <mergeCell ref="G158:H158"/>
    <mergeCell ref="G159:H159"/>
    <mergeCell ref="G150:H150"/>
    <mergeCell ref="G151:H151"/>
    <mergeCell ref="G152:H152"/>
    <mergeCell ref="G153:H153"/>
    <mergeCell ref="G154:H154"/>
    <mergeCell ref="G165:H165"/>
    <mergeCell ref="G166:H166"/>
    <mergeCell ref="G167:H167"/>
    <mergeCell ref="G168:H168"/>
    <mergeCell ref="G169:H169"/>
    <mergeCell ref="G160:H160"/>
    <mergeCell ref="G161:H161"/>
    <mergeCell ref="G162:H162"/>
    <mergeCell ref="G163:H163"/>
    <mergeCell ref="G164:H164"/>
    <mergeCell ref="G175:H175"/>
    <mergeCell ref="G176:H176"/>
    <mergeCell ref="G177:H177"/>
    <mergeCell ref="G178:H178"/>
    <mergeCell ref="G179:H179"/>
    <mergeCell ref="G170:H170"/>
    <mergeCell ref="G171:H171"/>
    <mergeCell ref="G172:H172"/>
    <mergeCell ref="G173:H173"/>
    <mergeCell ref="G174:H174"/>
    <mergeCell ref="G185:H185"/>
    <mergeCell ref="G186:H186"/>
    <mergeCell ref="G187:H187"/>
    <mergeCell ref="G188:H188"/>
    <mergeCell ref="G189:H189"/>
    <mergeCell ref="G180:H180"/>
    <mergeCell ref="G181:H181"/>
    <mergeCell ref="G182:H182"/>
    <mergeCell ref="G183:H183"/>
    <mergeCell ref="G184:H184"/>
    <mergeCell ref="G195:H195"/>
    <mergeCell ref="G196:H196"/>
    <mergeCell ref="G197:H197"/>
    <mergeCell ref="G198:H198"/>
    <mergeCell ref="G199:H199"/>
    <mergeCell ref="G190:H190"/>
    <mergeCell ref="G191:H191"/>
    <mergeCell ref="G192:H192"/>
    <mergeCell ref="G193:H193"/>
    <mergeCell ref="G194:H194"/>
    <mergeCell ref="G205:H205"/>
    <mergeCell ref="G206:H206"/>
    <mergeCell ref="G207:H207"/>
    <mergeCell ref="G208:H208"/>
    <mergeCell ref="G209:H209"/>
    <mergeCell ref="G200:H200"/>
    <mergeCell ref="G201:H201"/>
    <mergeCell ref="G202:H202"/>
    <mergeCell ref="G203:H203"/>
    <mergeCell ref="G204:H204"/>
    <mergeCell ref="G215:H215"/>
    <mergeCell ref="G216:H216"/>
    <mergeCell ref="G217:H217"/>
    <mergeCell ref="G218:H218"/>
    <mergeCell ref="G219:H219"/>
    <mergeCell ref="G210:H210"/>
    <mergeCell ref="G211:H211"/>
    <mergeCell ref="G212:H212"/>
    <mergeCell ref="G213:H213"/>
    <mergeCell ref="G214:H214"/>
    <mergeCell ref="G225:H225"/>
    <mergeCell ref="G226:H226"/>
    <mergeCell ref="G227:H227"/>
    <mergeCell ref="G228:H228"/>
    <mergeCell ref="G229:H229"/>
    <mergeCell ref="G220:H220"/>
    <mergeCell ref="G221:H221"/>
    <mergeCell ref="G222:H222"/>
    <mergeCell ref="G223:H223"/>
    <mergeCell ref="G224:H224"/>
    <mergeCell ref="G235:H235"/>
    <mergeCell ref="G236:H236"/>
    <mergeCell ref="G237:H237"/>
    <mergeCell ref="G238:H238"/>
    <mergeCell ref="G239:H239"/>
    <mergeCell ref="G230:H230"/>
    <mergeCell ref="G231:H231"/>
    <mergeCell ref="G232:H232"/>
    <mergeCell ref="G233:H233"/>
    <mergeCell ref="G234:H234"/>
    <mergeCell ref="G245:H245"/>
    <mergeCell ref="G246:H246"/>
    <mergeCell ref="G247:H247"/>
    <mergeCell ref="G248:H248"/>
    <mergeCell ref="G249:H249"/>
    <mergeCell ref="G240:H240"/>
    <mergeCell ref="G241:H241"/>
    <mergeCell ref="G242:H242"/>
    <mergeCell ref="G243:H243"/>
    <mergeCell ref="G244:H244"/>
    <mergeCell ref="G255:H255"/>
    <mergeCell ref="G256:H256"/>
    <mergeCell ref="G257:H257"/>
    <mergeCell ref="G258:H258"/>
    <mergeCell ref="G259:H259"/>
    <mergeCell ref="G250:H250"/>
    <mergeCell ref="G251:H251"/>
    <mergeCell ref="G252:H252"/>
    <mergeCell ref="G253:H253"/>
    <mergeCell ref="G254:H254"/>
    <mergeCell ref="G265:H265"/>
    <mergeCell ref="G266:H266"/>
    <mergeCell ref="G267:H267"/>
    <mergeCell ref="G268:H268"/>
    <mergeCell ref="G269:H269"/>
    <mergeCell ref="G260:H260"/>
    <mergeCell ref="G261:H261"/>
    <mergeCell ref="G262:H262"/>
    <mergeCell ref="G263:H263"/>
    <mergeCell ref="G264:H264"/>
    <mergeCell ref="G275:H275"/>
    <mergeCell ref="G276:H276"/>
    <mergeCell ref="G277:H277"/>
    <mergeCell ref="G278:H278"/>
    <mergeCell ref="G279:H279"/>
    <mergeCell ref="G270:H270"/>
    <mergeCell ref="G271:H271"/>
    <mergeCell ref="G272:H272"/>
    <mergeCell ref="G273:H273"/>
    <mergeCell ref="G274:H274"/>
    <mergeCell ref="G285:H285"/>
    <mergeCell ref="G286:H286"/>
    <mergeCell ref="G287:H287"/>
    <mergeCell ref="G288:H288"/>
    <mergeCell ref="G289:H289"/>
    <mergeCell ref="G280:H280"/>
    <mergeCell ref="G281:H281"/>
    <mergeCell ref="G282:H282"/>
    <mergeCell ref="G283:H283"/>
    <mergeCell ref="G284:H284"/>
    <mergeCell ref="G295:H295"/>
    <mergeCell ref="G296:H296"/>
    <mergeCell ref="G297:H297"/>
    <mergeCell ref="G298:H298"/>
    <mergeCell ref="G299:H299"/>
    <mergeCell ref="G290:H290"/>
    <mergeCell ref="G291:H291"/>
    <mergeCell ref="G292:H292"/>
    <mergeCell ref="G293:H293"/>
    <mergeCell ref="G294:H294"/>
    <mergeCell ref="G305:H305"/>
    <mergeCell ref="G306:H306"/>
    <mergeCell ref="G307:H307"/>
    <mergeCell ref="G308:H308"/>
    <mergeCell ref="G309:H309"/>
    <mergeCell ref="G300:H300"/>
    <mergeCell ref="G301:H301"/>
    <mergeCell ref="G302:H302"/>
    <mergeCell ref="G303:H303"/>
    <mergeCell ref="G304:H304"/>
    <mergeCell ref="G315:H315"/>
    <mergeCell ref="G316:H316"/>
    <mergeCell ref="G317:H317"/>
    <mergeCell ref="G318:H318"/>
    <mergeCell ref="G319:H319"/>
    <mergeCell ref="G310:H310"/>
    <mergeCell ref="G311:H311"/>
    <mergeCell ref="G312:H312"/>
    <mergeCell ref="G313:H313"/>
    <mergeCell ref="G314:H314"/>
    <mergeCell ref="G325:H325"/>
    <mergeCell ref="G326:H326"/>
    <mergeCell ref="G327:H327"/>
    <mergeCell ref="G328:H328"/>
    <mergeCell ref="G329:H329"/>
    <mergeCell ref="G320:H320"/>
    <mergeCell ref="G321:H321"/>
    <mergeCell ref="G322:H322"/>
    <mergeCell ref="G323:H323"/>
    <mergeCell ref="G324:H324"/>
    <mergeCell ref="G335:H335"/>
    <mergeCell ref="G336:H336"/>
    <mergeCell ref="G337:H337"/>
    <mergeCell ref="G338:H338"/>
    <mergeCell ref="G339:H339"/>
    <mergeCell ref="G330:H330"/>
    <mergeCell ref="G331:H331"/>
    <mergeCell ref="G332:H332"/>
    <mergeCell ref="G333:H333"/>
    <mergeCell ref="G334:H334"/>
    <mergeCell ref="G345:H345"/>
    <mergeCell ref="G346:H346"/>
    <mergeCell ref="G347:H347"/>
    <mergeCell ref="G348:H348"/>
    <mergeCell ref="G349:H349"/>
    <mergeCell ref="G340:H340"/>
    <mergeCell ref="G341:H341"/>
    <mergeCell ref="G342:H342"/>
    <mergeCell ref="G343:H343"/>
    <mergeCell ref="G344:H344"/>
    <mergeCell ref="G355:H355"/>
    <mergeCell ref="G356:H356"/>
    <mergeCell ref="G357:H357"/>
    <mergeCell ref="G358:H358"/>
    <mergeCell ref="G359:H359"/>
    <mergeCell ref="G350:H350"/>
    <mergeCell ref="G351:H351"/>
    <mergeCell ref="G352:H352"/>
    <mergeCell ref="G353:H353"/>
    <mergeCell ref="G354:H354"/>
    <mergeCell ref="G365:H365"/>
    <mergeCell ref="G366:H366"/>
    <mergeCell ref="G367:H367"/>
    <mergeCell ref="G368:H368"/>
    <mergeCell ref="G369:H369"/>
    <mergeCell ref="G360:H360"/>
    <mergeCell ref="G361:H361"/>
    <mergeCell ref="G362:H362"/>
    <mergeCell ref="G363:H363"/>
    <mergeCell ref="G364:H364"/>
    <mergeCell ref="G375:H375"/>
    <mergeCell ref="G376:H376"/>
    <mergeCell ref="G377:H377"/>
    <mergeCell ref="G378:H378"/>
    <mergeCell ref="G379:H379"/>
    <mergeCell ref="G370:H370"/>
    <mergeCell ref="G371:H371"/>
    <mergeCell ref="G372:H372"/>
    <mergeCell ref="G373:H373"/>
    <mergeCell ref="G374:H374"/>
    <mergeCell ref="G385:H385"/>
    <mergeCell ref="G386:H386"/>
    <mergeCell ref="G387:H387"/>
    <mergeCell ref="G388:H388"/>
    <mergeCell ref="G389:H389"/>
    <mergeCell ref="G380:H380"/>
    <mergeCell ref="G381:H381"/>
    <mergeCell ref="G382:H382"/>
    <mergeCell ref="G383:H383"/>
    <mergeCell ref="G384:H384"/>
    <mergeCell ref="G395:H395"/>
    <mergeCell ref="G396:H396"/>
    <mergeCell ref="G397:H397"/>
    <mergeCell ref="G398:H398"/>
    <mergeCell ref="G399:H399"/>
    <mergeCell ref="G390:H390"/>
    <mergeCell ref="G391:H391"/>
    <mergeCell ref="G392:H392"/>
    <mergeCell ref="G393:H393"/>
    <mergeCell ref="G394:H394"/>
    <mergeCell ref="G405:H405"/>
    <mergeCell ref="G406:H406"/>
    <mergeCell ref="G407:H407"/>
    <mergeCell ref="G408:H408"/>
    <mergeCell ref="G409:H409"/>
    <mergeCell ref="G400:H400"/>
    <mergeCell ref="G401:H401"/>
    <mergeCell ref="G402:H402"/>
    <mergeCell ref="G403:H403"/>
    <mergeCell ref="G404:H404"/>
    <mergeCell ref="G415:H415"/>
    <mergeCell ref="G416:H416"/>
    <mergeCell ref="G417:H417"/>
    <mergeCell ref="G418:H418"/>
    <mergeCell ref="G419:H419"/>
    <mergeCell ref="G410:H410"/>
    <mergeCell ref="G411:H411"/>
    <mergeCell ref="G412:H412"/>
    <mergeCell ref="G413:H413"/>
    <mergeCell ref="G414:H414"/>
    <mergeCell ref="G425:H425"/>
    <mergeCell ref="G426:H426"/>
    <mergeCell ref="G427:H427"/>
    <mergeCell ref="G428:H428"/>
    <mergeCell ref="G429:H429"/>
    <mergeCell ref="G420:H420"/>
    <mergeCell ref="G421:H421"/>
    <mergeCell ref="G422:H422"/>
    <mergeCell ref="G423:H423"/>
    <mergeCell ref="G424:H424"/>
    <mergeCell ref="G435:H435"/>
    <mergeCell ref="G436:H436"/>
    <mergeCell ref="G437:H437"/>
    <mergeCell ref="G438:H438"/>
    <mergeCell ref="G439:H439"/>
    <mergeCell ref="G430:H430"/>
    <mergeCell ref="G431:H431"/>
    <mergeCell ref="G432:H432"/>
    <mergeCell ref="G433:H433"/>
    <mergeCell ref="G434:H434"/>
    <mergeCell ref="G445:H445"/>
    <mergeCell ref="G446:H446"/>
    <mergeCell ref="G447:H447"/>
    <mergeCell ref="G448:H448"/>
    <mergeCell ref="G449:H449"/>
    <mergeCell ref="G440:H440"/>
    <mergeCell ref="G441:H441"/>
    <mergeCell ref="G442:H442"/>
    <mergeCell ref="G443:H443"/>
    <mergeCell ref="G444:H444"/>
    <mergeCell ref="G455:H455"/>
    <mergeCell ref="G456:H456"/>
    <mergeCell ref="G457:H457"/>
    <mergeCell ref="G458:H458"/>
    <mergeCell ref="G459:H459"/>
    <mergeCell ref="G450:H450"/>
    <mergeCell ref="G451:H451"/>
    <mergeCell ref="G452:H452"/>
    <mergeCell ref="G453:H453"/>
    <mergeCell ref="G454:H454"/>
    <mergeCell ref="G465:H465"/>
    <mergeCell ref="G466:H466"/>
    <mergeCell ref="G467:H467"/>
    <mergeCell ref="G468:H468"/>
    <mergeCell ref="G469:H469"/>
    <mergeCell ref="G460:H460"/>
    <mergeCell ref="G461:H461"/>
    <mergeCell ref="G462:H462"/>
    <mergeCell ref="G463:H463"/>
    <mergeCell ref="G464:H464"/>
    <mergeCell ref="G475:H475"/>
    <mergeCell ref="G476:H476"/>
    <mergeCell ref="G477:H477"/>
    <mergeCell ref="G478:H478"/>
    <mergeCell ref="G479:H479"/>
    <mergeCell ref="G470:H470"/>
    <mergeCell ref="G471:H471"/>
    <mergeCell ref="G472:H472"/>
    <mergeCell ref="G473:H473"/>
    <mergeCell ref="G474:H474"/>
    <mergeCell ref="G485:H485"/>
    <mergeCell ref="G486:H486"/>
    <mergeCell ref="G487:H487"/>
    <mergeCell ref="G488:H488"/>
    <mergeCell ref="G489:H489"/>
    <mergeCell ref="G480:H480"/>
    <mergeCell ref="G481:H481"/>
    <mergeCell ref="G482:H482"/>
    <mergeCell ref="G483:H483"/>
    <mergeCell ref="G484:H484"/>
    <mergeCell ref="G495:H495"/>
    <mergeCell ref="G496:H496"/>
    <mergeCell ref="G497:H497"/>
    <mergeCell ref="G498:H498"/>
    <mergeCell ref="G499:H499"/>
    <mergeCell ref="G490:H490"/>
    <mergeCell ref="G491:H491"/>
    <mergeCell ref="G492:H492"/>
    <mergeCell ref="G493:H493"/>
    <mergeCell ref="G494:H494"/>
    <mergeCell ref="G505:H505"/>
    <mergeCell ref="G506:H506"/>
    <mergeCell ref="G507:H507"/>
    <mergeCell ref="G508:H508"/>
    <mergeCell ref="G509:H509"/>
    <mergeCell ref="G500:H500"/>
    <mergeCell ref="G501:H501"/>
    <mergeCell ref="G502:H502"/>
    <mergeCell ref="G503:H503"/>
    <mergeCell ref="G504:H504"/>
    <mergeCell ref="G515:H515"/>
    <mergeCell ref="G516:H516"/>
    <mergeCell ref="G517:H517"/>
    <mergeCell ref="G518:H518"/>
    <mergeCell ref="G519:H519"/>
    <mergeCell ref="G510:H510"/>
    <mergeCell ref="G511:H511"/>
    <mergeCell ref="G512:H512"/>
    <mergeCell ref="G513:H513"/>
    <mergeCell ref="G514:H514"/>
    <mergeCell ref="G525:H525"/>
    <mergeCell ref="G526:H526"/>
    <mergeCell ref="G527:H527"/>
    <mergeCell ref="G528:H528"/>
    <mergeCell ref="G529:H529"/>
    <mergeCell ref="G520:H520"/>
    <mergeCell ref="G521:H521"/>
    <mergeCell ref="G522:H522"/>
    <mergeCell ref="G523:H523"/>
    <mergeCell ref="G524:H524"/>
    <mergeCell ref="G535:H535"/>
    <mergeCell ref="G536:H536"/>
    <mergeCell ref="G537:H537"/>
    <mergeCell ref="G538:H538"/>
    <mergeCell ref="G539:H539"/>
    <mergeCell ref="G530:H530"/>
    <mergeCell ref="G531:H531"/>
    <mergeCell ref="G532:H532"/>
    <mergeCell ref="G533:H533"/>
    <mergeCell ref="G534:H534"/>
    <mergeCell ref="G545:H545"/>
    <mergeCell ref="G546:H546"/>
    <mergeCell ref="G547:H547"/>
    <mergeCell ref="G548:H548"/>
    <mergeCell ref="G549:H549"/>
    <mergeCell ref="G540:H540"/>
    <mergeCell ref="G541:H541"/>
    <mergeCell ref="G542:H542"/>
    <mergeCell ref="G543:H543"/>
    <mergeCell ref="G544:H544"/>
    <mergeCell ref="G555:H555"/>
    <mergeCell ref="G556:H556"/>
    <mergeCell ref="G557:H557"/>
    <mergeCell ref="G558:H558"/>
    <mergeCell ref="G559:H559"/>
    <mergeCell ref="G550:H550"/>
    <mergeCell ref="G551:H551"/>
    <mergeCell ref="G552:H552"/>
    <mergeCell ref="G553:H553"/>
    <mergeCell ref="G554:H554"/>
    <mergeCell ref="G565:H565"/>
    <mergeCell ref="G566:H566"/>
    <mergeCell ref="G567:H567"/>
    <mergeCell ref="G568:H568"/>
    <mergeCell ref="G569:H569"/>
    <mergeCell ref="G560:H560"/>
    <mergeCell ref="G561:H561"/>
    <mergeCell ref="G562:H562"/>
    <mergeCell ref="G563:H563"/>
    <mergeCell ref="G564:H564"/>
    <mergeCell ref="G575:H575"/>
    <mergeCell ref="G576:H576"/>
    <mergeCell ref="G577:H577"/>
    <mergeCell ref="G578:H578"/>
    <mergeCell ref="G579:H579"/>
    <mergeCell ref="G570:H570"/>
    <mergeCell ref="G571:H571"/>
    <mergeCell ref="G572:H572"/>
    <mergeCell ref="G573:H573"/>
    <mergeCell ref="G574:H574"/>
    <mergeCell ref="G585:H585"/>
    <mergeCell ref="G586:H586"/>
    <mergeCell ref="G587:H587"/>
    <mergeCell ref="G588:H588"/>
    <mergeCell ref="G589:H589"/>
    <mergeCell ref="G580:H580"/>
    <mergeCell ref="G581:H581"/>
    <mergeCell ref="G582:H582"/>
    <mergeCell ref="G583:H583"/>
    <mergeCell ref="G584:H584"/>
    <mergeCell ref="G595:H595"/>
    <mergeCell ref="G596:H596"/>
    <mergeCell ref="G597:H597"/>
    <mergeCell ref="G598:H598"/>
    <mergeCell ref="G599:H599"/>
    <mergeCell ref="G590:H590"/>
    <mergeCell ref="G591:H591"/>
    <mergeCell ref="G592:H592"/>
    <mergeCell ref="G593:H593"/>
    <mergeCell ref="G594:H594"/>
    <mergeCell ref="G605:H605"/>
    <mergeCell ref="G606:H606"/>
    <mergeCell ref="G607:H607"/>
    <mergeCell ref="G608:H608"/>
    <mergeCell ref="G609:H609"/>
    <mergeCell ref="G600:H600"/>
    <mergeCell ref="G601:H601"/>
    <mergeCell ref="G602:H602"/>
    <mergeCell ref="G603:H603"/>
    <mergeCell ref="G604:H604"/>
    <mergeCell ref="G615:H615"/>
    <mergeCell ref="G616:H616"/>
    <mergeCell ref="G617:H617"/>
    <mergeCell ref="G618:H618"/>
    <mergeCell ref="G619:H619"/>
    <mergeCell ref="G610:H610"/>
    <mergeCell ref="G611:H611"/>
    <mergeCell ref="G612:H612"/>
    <mergeCell ref="G613:H613"/>
    <mergeCell ref="G614:H614"/>
    <mergeCell ref="G625:H625"/>
    <mergeCell ref="G626:H626"/>
    <mergeCell ref="G627:H627"/>
    <mergeCell ref="G628:H628"/>
    <mergeCell ref="G629:H629"/>
    <mergeCell ref="G620:H620"/>
    <mergeCell ref="G621:H621"/>
    <mergeCell ref="G622:H622"/>
    <mergeCell ref="G623:H623"/>
    <mergeCell ref="G624:H624"/>
    <mergeCell ref="G635:H635"/>
    <mergeCell ref="G636:H636"/>
    <mergeCell ref="G637:H637"/>
    <mergeCell ref="G638:H638"/>
    <mergeCell ref="G639:H639"/>
    <mergeCell ref="G630:H630"/>
    <mergeCell ref="G631:H631"/>
    <mergeCell ref="G632:H632"/>
    <mergeCell ref="G633:H633"/>
    <mergeCell ref="G634:H634"/>
    <mergeCell ref="G645:H645"/>
    <mergeCell ref="G646:H646"/>
    <mergeCell ref="G647:H647"/>
    <mergeCell ref="G648:H648"/>
    <mergeCell ref="G649:H649"/>
    <mergeCell ref="G640:H640"/>
    <mergeCell ref="G641:H641"/>
    <mergeCell ref="G642:H642"/>
    <mergeCell ref="G643:H643"/>
    <mergeCell ref="G644:H644"/>
    <mergeCell ref="G655:H655"/>
    <mergeCell ref="G656:H656"/>
    <mergeCell ref="G657:H657"/>
    <mergeCell ref="G658:H658"/>
    <mergeCell ref="G659:H659"/>
    <mergeCell ref="G650:H650"/>
    <mergeCell ref="G651:H651"/>
    <mergeCell ref="G652:H652"/>
    <mergeCell ref="G653:H653"/>
    <mergeCell ref="G654:H654"/>
    <mergeCell ref="G665:H665"/>
    <mergeCell ref="G666:H666"/>
    <mergeCell ref="G667:H667"/>
    <mergeCell ref="G668:H668"/>
    <mergeCell ref="G669:H669"/>
    <mergeCell ref="G660:H660"/>
    <mergeCell ref="G661:H661"/>
    <mergeCell ref="G662:H662"/>
    <mergeCell ref="G663:H663"/>
    <mergeCell ref="G664:H664"/>
    <mergeCell ref="G675:H675"/>
    <mergeCell ref="G676:H676"/>
    <mergeCell ref="G677:H677"/>
    <mergeCell ref="G678:H678"/>
    <mergeCell ref="G679:H679"/>
    <mergeCell ref="G670:H670"/>
    <mergeCell ref="G671:H671"/>
    <mergeCell ref="G672:H672"/>
    <mergeCell ref="G673:H673"/>
    <mergeCell ref="G674:H674"/>
    <mergeCell ref="G685:H685"/>
    <mergeCell ref="G686:H686"/>
    <mergeCell ref="G687:H687"/>
    <mergeCell ref="G688:H688"/>
    <mergeCell ref="G689:H689"/>
    <mergeCell ref="G680:H680"/>
    <mergeCell ref="G681:H681"/>
    <mergeCell ref="G682:H682"/>
    <mergeCell ref="G683:H683"/>
    <mergeCell ref="G684:H684"/>
    <mergeCell ref="G695:H695"/>
    <mergeCell ref="G696:H696"/>
    <mergeCell ref="G697:H697"/>
    <mergeCell ref="G698:H698"/>
    <mergeCell ref="G699:H699"/>
    <mergeCell ref="G690:H690"/>
    <mergeCell ref="G691:H691"/>
    <mergeCell ref="G692:H692"/>
    <mergeCell ref="G693:H693"/>
    <mergeCell ref="G694:H694"/>
    <mergeCell ref="G705:H705"/>
    <mergeCell ref="G706:H706"/>
    <mergeCell ref="G707:H707"/>
    <mergeCell ref="G708:H708"/>
    <mergeCell ref="G709:H709"/>
    <mergeCell ref="G700:H700"/>
    <mergeCell ref="G701:H701"/>
    <mergeCell ref="G702:H702"/>
    <mergeCell ref="G703:H703"/>
    <mergeCell ref="G704:H704"/>
    <mergeCell ref="G715:H715"/>
    <mergeCell ref="G716:H716"/>
    <mergeCell ref="G717:H717"/>
    <mergeCell ref="G718:H718"/>
    <mergeCell ref="G719:H719"/>
    <mergeCell ref="G710:H710"/>
    <mergeCell ref="G711:H711"/>
    <mergeCell ref="G712:H712"/>
    <mergeCell ref="G713:H713"/>
    <mergeCell ref="G714:H714"/>
    <mergeCell ref="G725:H725"/>
    <mergeCell ref="G726:H726"/>
    <mergeCell ref="G727:H727"/>
    <mergeCell ref="G728:H728"/>
    <mergeCell ref="G729:H729"/>
    <mergeCell ref="G720:H720"/>
    <mergeCell ref="G721:H721"/>
    <mergeCell ref="G722:H722"/>
    <mergeCell ref="G723:H723"/>
    <mergeCell ref="G724:H724"/>
    <mergeCell ref="G735:H735"/>
    <mergeCell ref="G736:H736"/>
    <mergeCell ref="G737:H737"/>
    <mergeCell ref="G738:H738"/>
    <mergeCell ref="G739:H739"/>
    <mergeCell ref="G730:H730"/>
    <mergeCell ref="G731:H731"/>
    <mergeCell ref="G732:H732"/>
    <mergeCell ref="G733:H733"/>
    <mergeCell ref="G734:H734"/>
    <mergeCell ref="G745:H745"/>
    <mergeCell ref="G746:H746"/>
    <mergeCell ref="G747:H747"/>
    <mergeCell ref="G748:H748"/>
    <mergeCell ref="G749:H749"/>
    <mergeCell ref="G740:H740"/>
    <mergeCell ref="G741:H741"/>
    <mergeCell ref="G742:H742"/>
    <mergeCell ref="G743:H743"/>
    <mergeCell ref="G744:H744"/>
    <mergeCell ref="G755:H755"/>
    <mergeCell ref="G756:H756"/>
    <mergeCell ref="G757:H757"/>
    <mergeCell ref="G758:H758"/>
    <mergeCell ref="G759:H759"/>
    <mergeCell ref="G750:H750"/>
    <mergeCell ref="G751:H751"/>
    <mergeCell ref="G752:H752"/>
    <mergeCell ref="G753:H753"/>
    <mergeCell ref="G754:H754"/>
    <mergeCell ref="G765:H765"/>
    <mergeCell ref="G766:H766"/>
    <mergeCell ref="G767:H767"/>
    <mergeCell ref="G768:H768"/>
    <mergeCell ref="G769:H769"/>
    <mergeCell ref="G760:H760"/>
    <mergeCell ref="G761:H761"/>
    <mergeCell ref="G762:H762"/>
    <mergeCell ref="G763:H763"/>
    <mergeCell ref="G764:H764"/>
    <mergeCell ref="G775:H775"/>
    <mergeCell ref="G776:H776"/>
    <mergeCell ref="G777:H777"/>
    <mergeCell ref="G778:H778"/>
    <mergeCell ref="G779:H779"/>
    <mergeCell ref="G770:H770"/>
    <mergeCell ref="G771:H771"/>
    <mergeCell ref="G772:H772"/>
    <mergeCell ref="G773:H773"/>
    <mergeCell ref="G774:H774"/>
    <mergeCell ref="G785:H785"/>
    <mergeCell ref="G786:H786"/>
    <mergeCell ref="G787:H787"/>
    <mergeCell ref="G788:H788"/>
    <mergeCell ref="G789:H789"/>
    <mergeCell ref="G780:H780"/>
    <mergeCell ref="G781:H781"/>
    <mergeCell ref="G782:H782"/>
    <mergeCell ref="G783:H783"/>
    <mergeCell ref="G784:H784"/>
    <mergeCell ref="G795:H795"/>
    <mergeCell ref="G796:H796"/>
    <mergeCell ref="G797:H797"/>
    <mergeCell ref="G798:H798"/>
    <mergeCell ref="G799:H799"/>
    <mergeCell ref="G790:H790"/>
    <mergeCell ref="G791:H791"/>
    <mergeCell ref="G792:H792"/>
    <mergeCell ref="G793:H793"/>
    <mergeCell ref="G794:H794"/>
    <mergeCell ref="G805:H805"/>
    <mergeCell ref="G806:H806"/>
    <mergeCell ref="G807:H807"/>
    <mergeCell ref="G808:H808"/>
    <mergeCell ref="G809:H809"/>
    <mergeCell ref="G800:H800"/>
    <mergeCell ref="G801:H801"/>
    <mergeCell ref="G802:H802"/>
    <mergeCell ref="G803:H803"/>
    <mergeCell ref="G804:H804"/>
    <mergeCell ref="G815:H815"/>
    <mergeCell ref="G816:H816"/>
    <mergeCell ref="G817:H817"/>
    <mergeCell ref="G818:H818"/>
    <mergeCell ref="G819:H819"/>
    <mergeCell ref="G810:H810"/>
    <mergeCell ref="G811:H811"/>
    <mergeCell ref="G812:H812"/>
    <mergeCell ref="G813:H813"/>
    <mergeCell ref="G814:H814"/>
    <mergeCell ref="G825:H825"/>
    <mergeCell ref="G826:H826"/>
    <mergeCell ref="G827:H827"/>
    <mergeCell ref="G828:H828"/>
    <mergeCell ref="G829:H829"/>
    <mergeCell ref="G820:H820"/>
    <mergeCell ref="G821:H821"/>
    <mergeCell ref="G822:H822"/>
    <mergeCell ref="G823:H823"/>
    <mergeCell ref="G824:H824"/>
    <mergeCell ref="G835:H835"/>
    <mergeCell ref="G836:H836"/>
    <mergeCell ref="G837:H837"/>
    <mergeCell ref="G838:H838"/>
    <mergeCell ref="G839:H839"/>
    <mergeCell ref="G830:H830"/>
    <mergeCell ref="G831:H831"/>
    <mergeCell ref="G832:H832"/>
    <mergeCell ref="G833:H833"/>
    <mergeCell ref="G834:H834"/>
    <mergeCell ref="G845:H845"/>
    <mergeCell ref="G846:H846"/>
    <mergeCell ref="C847:J847"/>
    <mergeCell ref="C849:J849"/>
    <mergeCell ref="G840:H840"/>
    <mergeCell ref="G841:H841"/>
    <mergeCell ref="G842:H842"/>
    <mergeCell ref="G843:H843"/>
    <mergeCell ref="G844:H844"/>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BBBD4-19CE-4353-A87A-69B97F6AE60D}">
  <dimension ref="A1:L826"/>
  <sheetViews>
    <sheetView workbookViewId="0">
      <selection activeCell="J39" sqref="J39:K39"/>
      <pivotSelection pane="bottomRight" showHeader="1" extendable="1" start="35" max="43" activeRow="36" activeCol="9" click="1" r:id="rId1">
        <pivotArea dataOnly="0" fieldPosition="0">
          <references count="1">
            <reference field="4" count="1">
              <x v="37"/>
            </reference>
          </references>
        </pivotArea>
      </pivotSelection>
    </sheetView>
  </sheetViews>
  <sheetFormatPr defaultRowHeight="13.8" x14ac:dyDescent="0.3"/>
  <cols>
    <col min="1" max="3" width="8.88671875" style="37"/>
    <col min="4" max="4" width="17.5546875" style="37" customWidth="1"/>
    <col min="5" max="5" width="14.88671875" style="37" customWidth="1"/>
    <col min="6" max="6" width="9.5546875" style="37" bestFit="1" customWidth="1"/>
    <col min="7" max="7" width="72.109375" style="37" customWidth="1"/>
    <col min="8" max="8" width="11.33203125" style="37" customWidth="1"/>
    <col min="9" max="9" width="8.88671875" style="37"/>
    <col min="10" max="10" width="14.33203125" style="37" bestFit="1" customWidth="1"/>
    <col min="11" max="11" width="13.33203125" style="37" bestFit="1" customWidth="1"/>
    <col min="12" max="16384" width="8.88671875" style="37"/>
  </cols>
  <sheetData>
    <row r="1" spans="1:12" ht="16.2" x14ac:dyDescent="0.3">
      <c r="A1" s="34" t="s">
        <v>16</v>
      </c>
      <c r="B1" s="34" t="s">
        <v>31</v>
      </c>
      <c r="C1" s="34" t="s">
        <v>32</v>
      </c>
      <c r="D1" s="35" t="s">
        <v>33</v>
      </c>
      <c r="E1" s="35" t="s">
        <v>2139</v>
      </c>
      <c r="F1" s="36" t="s">
        <v>35</v>
      </c>
      <c r="G1" s="36" t="s">
        <v>36</v>
      </c>
      <c r="H1" s="36" t="s">
        <v>37</v>
      </c>
      <c r="J1" s="42" t="s">
        <v>2221</v>
      </c>
      <c r="K1" t="s">
        <v>2223</v>
      </c>
      <c r="L1"/>
    </row>
    <row r="2" spans="1:12" ht="16.2" x14ac:dyDescent="0.3">
      <c r="A2" s="38" t="s">
        <v>44</v>
      </c>
      <c r="B2" s="38" t="s">
        <v>45</v>
      </c>
      <c r="C2" s="38" t="s">
        <v>46</v>
      </c>
      <c r="D2" s="39" t="s">
        <v>7</v>
      </c>
      <c r="E2" s="39" t="s">
        <v>2146</v>
      </c>
      <c r="F2" s="40">
        <v>37429</v>
      </c>
      <c r="G2" s="41" t="s">
        <v>48</v>
      </c>
      <c r="H2" s="41" t="s">
        <v>49</v>
      </c>
      <c r="J2" s="43" t="s">
        <v>2138</v>
      </c>
      <c r="K2" s="1">
        <v>3282</v>
      </c>
      <c r="L2"/>
    </row>
    <row r="3" spans="1:12" ht="16.2" x14ac:dyDescent="0.3">
      <c r="A3" s="38" t="s">
        <v>44</v>
      </c>
      <c r="B3" s="38" t="s">
        <v>45</v>
      </c>
      <c r="C3" s="38" t="s">
        <v>46</v>
      </c>
      <c r="D3" s="39" t="s">
        <v>7</v>
      </c>
      <c r="E3" s="39" t="s">
        <v>2146</v>
      </c>
      <c r="F3" s="40">
        <v>37625</v>
      </c>
      <c r="G3" s="41" t="s">
        <v>51</v>
      </c>
      <c r="H3" s="41" t="s">
        <v>49</v>
      </c>
      <c r="J3" s="43" t="s">
        <v>133</v>
      </c>
      <c r="K3" s="1">
        <v>165130</v>
      </c>
      <c r="L3"/>
    </row>
    <row r="4" spans="1:12" ht="41.4" x14ac:dyDescent="0.3">
      <c r="A4" s="38" t="s">
        <v>52</v>
      </c>
      <c r="B4" s="38" t="s">
        <v>53</v>
      </c>
      <c r="C4" s="38" t="s">
        <v>54</v>
      </c>
      <c r="D4" s="39" t="s">
        <v>55</v>
      </c>
      <c r="E4" s="39" t="s">
        <v>2176</v>
      </c>
      <c r="F4" s="40">
        <v>3660</v>
      </c>
      <c r="G4" s="41" t="s">
        <v>57</v>
      </c>
      <c r="H4" s="41" t="s">
        <v>58</v>
      </c>
      <c r="J4" s="43" t="s">
        <v>118</v>
      </c>
      <c r="K4" s="1">
        <v>284697</v>
      </c>
      <c r="L4"/>
    </row>
    <row r="5" spans="1:12" ht="41.4" x14ac:dyDescent="0.3">
      <c r="A5" s="38" t="s">
        <v>52</v>
      </c>
      <c r="B5" s="38" t="s">
        <v>53</v>
      </c>
      <c r="C5" s="38" t="s">
        <v>54</v>
      </c>
      <c r="D5" s="39" t="s">
        <v>55</v>
      </c>
      <c r="E5" s="39" t="s">
        <v>2176</v>
      </c>
      <c r="F5" s="40">
        <v>2460</v>
      </c>
      <c r="G5" s="41" t="s">
        <v>60</v>
      </c>
      <c r="H5" s="41" t="s">
        <v>58</v>
      </c>
      <c r="J5" s="43" t="s">
        <v>2166</v>
      </c>
      <c r="K5" s="1">
        <v>177025</v>
      </c>
      <c r="L5"/>
    </row>
    <row r="6" spans="1:12" ht="16.2" x14ac:dyDescent="0.3">
      <c r="A6" s="38" t="s">
        <v>52</v>
      </c>
      <c r="B6" s="38" t="s">
        <v>53</v>
      </c>
      <c r="C6" s="38" t="s">
        <v>61</v>
      </c>
      <c r="D6" s="39" t="s">
        <v>62</v>
      </c>
      <c r="E6" s="39" t="s">
        <v>2152</v>
      </c>
      <c r="F6" s="40">
        <v>44000</v>
      </c>
      <c r="G6" s="41" t="s">
        <v>64</v>
      </c>
      <c r="H6" s="41" t="s">
        <v>65</v>
      </c>
      <c r="J6" s="43" t="s">
        <v>2162</v>
      </c>
      <c r="K6" s="1">
        <v>189273</v>
      </c>
      <c r="L6"/>
    </row>
    <row r="7" spans="1:12" ht="27.6" x14ac:dyDescent="0.3">
      <c r="A7" s="38" t="s">
        <v>52</v>
      </c>
      <c r="B7" s="38" t="s">
        <v>53</v>
      </c>
      <c r="C7" s="38" t="s">
        <v>66</v>
      </c>
      <c r="D7" s="39" t="s">
        <v>67</v>
      </c>
      <c r="E7" s="39" t="s">
        <v>2167</v>
      </c>
      <c r="F7" s="40">
        <v>10236</v>
      </c>
      <c r="G7" s="41" t="s">
        <v>69</v>
      </c>
      <c r="H7" s="41" t="s">
        <v>70</v>
      </c>
      <c r="J7" s="43" t="s">
        <v>2153</v>
      </c>
      <c r="K7" s="1">
        <v>134045</v>
      </c>
      <c r="L7"/>
    </row>
    <row r="8" spans="1:12" ht="27.6" x14ac:dyDescent="0.3">
      <c r="A8" s="38" t="s">
        <v>52</v>
      </c>
      <c r="B8" s="38" t="s">
        <v>53</v>
      </c>
      <c r="C8" s="38" t="s">
        <v>71</v>
      </c>
      <c r="D8" s="39" t="s">
        <v>62</v>
      </c>
      <c r="E8" s="39" t="s">
        <v>2174</v>
      </c>
      <c r="F8" s="40">
        <v>32003</v>
      </c>
      <c r="G8" s="41" t="s">
        <v>73</v>
      </c>
      <c r="H8" s="41" t="s">
        <v>74</v>
      </c>
      <c r="J8" s="43" t="s">
        <v>2208</v>
      </c>
      <c r="K8" s="1">
        <v>191726</v>
      </c>
      <c r="L8"/>
    </row>
    <row r="9" spans="1:12" ht="27.6" x14ac:dyDescent="0.3">
      <c r="A9" s="38" t="s">
        <v>52</v>
      </c>
      <c r="B9" s="38" t="s">
        <v>53</v>
      </c>
      <c r="C9" s="38" t="s">
        <v>75</v>
      </c>
      <c r="D9" s="39" t="s">
        <v>76</v>
      </c>
      <c r="E9" s="39" t="s">
        <v>2203</v>
      </c>
      <c r="F9" s="40">
        <v>10815</v>
      </c>
      <c r="G9" s="41" t="s">
        <v>78</v>
      </c>
      <c r="H9" s="41" t="s">
        <v>79</v>
      </c>
      <c r="J9" s="43" t="s">
        <v>2142</v>
      </c>
      <c r="K9" s="1">
        <v>357342</v>
      </c>
      <c r="L9"/>
    </row>
    <row r="10" spans="1:12" ht="27.6" x14ac:dyDescent="0.3">
      <c r="A10" s="38" t="s">
        <v>52</v>
      </c>
      <c r="B10" s="38" t="s">
        <v>53</v>
      </c>
      <c r="C10" s="38" t="s">
        <v>80</v>
      </c>
      <c r="D10" s="39" t="s">
        <v>81</v>
      </c>
      <c r="E10" s="39" t="s">
        <v>2170</v>
      </c>
      <c r="F10" s="40">
        <v>6597</v>
      </c>
      <c r="G10" s="41" t="s">
        <v>83</v>
      </c>
      <c r="H10" s="41" t="s">
        <v>84</v>
      </c>
      <c r="J10" s="43" t="s">
        <v>347</v>
      </c>
      <c r="K10" s="1">
        <v>64324</v>
      </c>
      <c r="L10"/>
    </row>
    <row r="11" spans="1:12" ht="27.6" x14ac:dyDescent="0.3">
      <c r="A11" s="38" t="s">
        <v>52</v>
      </c>
      <c r="B11" s="38" t="s">
        <v>53</v>
      </c>
      <c r="C11" s="38" t="s">
        <v>85</v>
      </c>
      <c r="D11" s="39" t="s">
        <v>81</v>
      </c>
      <c r="E11" s="39" t="s">
        <v>2170</v>
      </c>
      <c r="F11" s="40">
        <v>3287</v>
      </c>
      <c r="G11" s="41" t="s">
        <v>87</v>
      </c>
      <c r="H11" s="41" t="s">
        <v>84</v>
      </c>
      <c r="J11" s="43" t="s">
        <v>2181</v>
      </c>
      <c r="K11" s="1">
        <v>69955</v>
      </c>
      <c r="L11"/>
    </row>
    <row r="12" spans="1:12" ht="27.6" x14ac:dyDescent="0.3">
      <c r="A12" s="38" t="s">
        <v>52</v>
      </c>
      <c r="B12" s="38" t="s">
        <v>53</v>
      </c>
      <c r="C12" s="38" t="s">
        <v>88</v>
      </c>
      <c r="D12" s="39" t="s">
        <v>81</v>
      </c>
      <c r="E12" s="39" t="s">
        <v>2170</v>
      </c>
      <c r="F12" s="40">
        <v>2481</v>
      </c>
      <c r="G12" s="41" t="s">
        <v>90</v>
      </c>
      <c r="H12" s="41" t="s">
        <v>84</v>
      </c>
      <c r="J12" s="43" t="s">
        <v>2185</v>
      </c>
      <c r="K12" s="1">
        <v>87052</v>
      </c>
      <c r="L12"/>
    </row>
    <row r="13" spans="1:12" ht="27.6" x14ac:dyDescent="0.3">
      <c r="A13" s="38" t="s">
        <v>52</v>
      </c>
      <c r="B13" s="38" t="s">
        <v>53</v>
      </c>
      <c r="C13" s="38" t="s">
        <v>91</v>
      </c>
      <c r="D13" s="39" t="s">
        <v>81</v>
      </c>
      <c r="E13" s="39" t="s">
        <v>2152</v>
      </c>
      <c r="F13" s="40">
        <v>3181</v>
      </c>
      <c r="G13" s="41" t="s">
        <v>93</v>
      </c>
      <c r="H13" s="41" t="s">
        <v>94</v>
      </c>
      <c r="J13" s="43" t="s">
        <v>2145</v>
      </c>
      <c r="K13" s="1">
        <v>374728</v>
      </c>
      <c r="L13"/>
    </row>
    <row r="14" spans="1:12" ht="27.6" x14ac:dyDescent="0.3">
      <c r="A14" s="38" t="s">
        <v>52</v>
      </c>
      <c r="B14" s="38" t="s">
        <v>53</v>
      </c>
      <c r="C14" s="38" t="s">
        <v>95</v>
      </c>
      <c r="D14" s="39" t="s">
        <v>81</v>
      </c>
      <c r="E14" s="39" t="s">
        <v>2197</v>
      </c>
      <c r="F14" s="40">
        <v>3287</v>
      </c>
      <c r="G14" s="41" t="s">
        <v>97</v>
      </c>
      <c r="H14" s="41" t="s">
        <v>98</v>
      </c>
      <c r="J14" s="43" t="s">
        <v>144</v>
      </c>
      <c r="K14" s="1">
        <v>153467</v>
      </c>
      <c r="L14"/>
    </row>
    <row r="15" spans="1:12" ht="27.6" x14ac:dyDescent="0.3">
      <c r="A15" s="38" t="s">
        <v>52</v>
      </c>
      <c r="B15" s="38" t="s">
        <v>53</v>
      </c>
      <c r="C15" s="38" t="s">
        <v>99</v>
      </c>
      <c r="D15" s="39" t="s">
        <v>81</v>
      </c>
      <c r="E15" s="39" t="s">
        <v>2186</v>
      </c>
      <c r="F15" s="40">
        <v>3771</v>
      </c>
      <c r="G15" s="41" t="s">
        <v>101</v>
      </c>
      <c r="H15" s="41" t="s">
        <v>102</v>
      </c>
      <c r="J15" s="43" t="s">
        <v>2179</v>
      </c>
      <c r="K15" s="1">
        <v>47667</v>
      </c>
      <c r="L15"/>
    </row>
    <row r="16" spans="1:12" ht="27.6" x14ac:dyDescent="0.3">
      <c r="A16" s="38" t="s">
        <v>52</v>
      </c>
      <c r="B16" s="38" t="s">
        <v>53</v>
      </c>
      <c r="C16" s="38" t="s">
        <v>103</v>
      </c>
      <c r="D16" s="39" t="s">
        <v>81</v>
      </c>
      <c r="E16" s="39" t="s">
        <v>2170</v>
      </c>
      <c r="F16" s="40">
        <v>11709</v>
      </c>
      <c r="G16" s="41" t="s">
        <v>105</v>
      </c>
      <c r="H16" s="41" t="s">
        <v>84</v>
      </c>
      <c r="J16" s="43" t="s">
        <v>2190</v>
      </c>
      <c r="K16" s="1">
        <v>37503</v>
      </c>
      <c r="L16"/>
    </row>
    <row r="17" spans="1:12" ht="27.6" x14ac:dyDescent="0.3">
      <c r="A17" s="38" t="s">
        <v>52</v>
      </c>
      <c r="B17" s="38" t="s">
        <v>53</v>
      </c>
      <c r="C17" s="38" t="s">
        <v>106</v>
      </c>
      <c r="D17" s="39" t="s">
        <v>81</v>
      </c>
      <c r="E17" s="39" t="s">
        <v>2170</v>
      </c>
      <c r="F17" s="40">
        <v>6597</v>
      </c>
      <c r="G17" s="41" t="s">
        <v>108</v>
      </c>
      <c r="H17" s="41" t="s">
        <v>84</v>
      </c>
      <c r="J17" s="43" t="s">
        <v>2212</v>
      </c>
      <c r="K17" s="1">
        <v>202398</v>
      </c>
      <c r="L17"/>
    </row>
    <row r="18" spans="1:12" ht="41.4" x14ac:dyDescent="0.3">
      <c r="A18" s="38" t="s">
        <v>52</v>
      </c>
      <c r="B18" s="38" t="s">
        <v>53</v>
      </c>
      <c r="C18" s="38" t="s">
        <v>109</v>
      </c>
      <c r="D18" s="39" t="s">
        <v>110</v>
      </c>
      <c r="E18" s="39" t="s">
        <v>2146</v>
      </c>
      <c r="F18" s="40">
        <v>4084</v>
      </c>
      <c r="G18" s="41" t="s">
        <v>112</v>
      </c>
      <c r="H18" s="41" t="s">
        <v>49</v>
      </c>
      <c r="J18" s="43" t="s">
        <v>2187</v>
      </c>
      <c r="K18" s="1">
        <v>25199</v>
      </c>
      <c r="L18"/>
    </row>
    <row r="19" spans="1:12" ht="16.2" x14ac:dyDescent="0.3">
      <c r="A19" s="38" t="s">
        <v>52</v>
      </c>
      <c r="B19" s="38" t="s">
        <v>113</v>
      </c>
      <c r="C19" s="38" t="s">
        <v>114</v>
      </c>
      <c r="D19" s="39" t="s">
        <v>115</v>
      </c>
      <c r="E19" s="39" t="s">
        <v>2155</v>
      </c>
      <c r="F19" s="40">
        <v>79000</v>
      </c>
      <c r="G19" s="41" t="s">
        <v>117</v>
      </c>
      <c r="H19" s="41" t="s">
        <v>118</v>
      </c>
      <c r="J19" s="43" t="s">
        <v>2206</v>
      </c>
      <c r="K19" s="1">
        <v>112503</v>
      </c>
    </row>
    <row r="20" spans="1:12" ht="27.6" x14ac:dyDescent="0.3">
      <c r="A20" s="38" t="s">
        <v>52</v>
      </c>
      <c r="B20" s="38" t="s">
        <v>119</v>
      </c>
      <c r="C20" s="38" t="s">
        <v>120</v>
      </c>
      <c r="D20" s="39" t="s">
        <v>121</v>
      </c>
      <c r="E20" s="39" t="s">
        <v>2170</v>
      </c>
      <c r="F20" s="40">
        <v>5000</v>
      </c>
      <c r="G20" s="41" t="s">
        <v>123</v>
      </c>
      <c r="H20" s="41" t="s">
        <v>84</v>
      </c>
      <c r="J20" s="43" t="s">
        <v>2200</v>
      </c>
      <c r="K20" s="1">
        <v>264126</v>
      </c>
    </row>
    <row r="21" spans="1:12" ht="27.6" x14ac:dyDescent="0.3">
      <c r="A21" s="38" t="s">
        <v>52</v>
      </c>
      <c r="B21" s="38" t="s">
        <v>119</v>
      </c>
      <c r="C21" s="38" t="s">
        <v>120</v>
      </c>
      <c r="D21" s="39" t="s">
        <v>124</v>
      </c>
      <c r="E21" s="39" t="s">
        <v>2172</v>
      </c>
      <c r="F21" s="40">
        <v>340</v>
      </c>
      <c r="G21" s="41" t="s">
        <v>126</v>
      </c>
      <c r="H21" s="41" t="s">
        <v>127</v>
      </c>
      <c r="J21" s="43" t="s">
        <v>2202</v>
      </c>
      <c r="K21" s="1">
        <v>225845</v>
      </c>
    </row>
    <row r="22" spans="1:12" ht="16.2" x14ac:dyDescent="0.3">
      <c r="A22" s="38" t="s">
        <v>52</v>
      </c>
      <c r="B22" s="38" t="s">
        <v>119</v>
      </c>
      <c r="C22" s="38" t="s">
        <v>120</v>
      </c>
      <c r="D22" s="39" t="s">
        <v>115</v>
      </c>
      <c r="E22" s="39" t="s">
        <v>2167</v>
      </c>
      <c r="F22" s="40">
        <v>6625</v>
      </c>
      <c r="G22" s="41" t="s">
        <v>129</v>
      </c>
      <c r="H22" s="41" t="s">
        <v>70</v>
      </c>
      <c r="J22" s="43" t="s">
        <v>2183</v>
      </c>
      <c r="K22" s="1">
        <v>181635</v>
      </c>
    </row>
    <row r="23" spans="1:12" ht="16.2" x14ac:dyDescent="0.3">
      <c r="A23" s="38" t="s">
        <v>52</v>
      </c>
      <c r="B23" s="38" t="s">
        <v>119</v>
      </c>
      <c r="C23" s="38" t="s">
        <v>120</v>
      </c>
      <c r="D23" s="39" t="s">
        <v>130</v>
      </c>
      <c r="E23" s="39" t="s">
        <v>2168</v>
      </c>
      <c r="F23" s="40">
        <v>9600</v>
      </c>
      <c r="G23" s="41" t="s">
        <v>132</v>
      </c>
      <c r="H23" s="41" t="s">
        <v>133</v>
      </c>
      <c r="J23" s="43" t="s">
        <v>2216</v>
      </c>
      <c r="K23" s="1">
        <v>393251</v>
      </c>
    </row>
    <row r="24" spans="1:12" ht="27.6" x14ac:dyDescent="0.3">
      <c r="A24" s="38" t="s">
        <v>52</v>
      </c>
      <c r="B24" s="38" t="s">
        <v>119</v>
      </c>
      <c r="C24" s="38" t="s">
        <v>120</v>
      </c>
      <c r="D24" s="39" t="s">
        <v>130</v>
      </c>
      <c r="E24" s="39" t="s">
        <v>2168</v>
      </c>
      <c r="F24" s="40">
        <v>2400</v>
      </c>
      <c r="G24" s="41" t="s">
        <v>135</v>
      </c>
      <c r="H24" s="41" t="s">
        <v>133</v>
      </c>
      <c r="J24" s="43" t="s">
        <v>2192</v>
      </c>
      <c r="K24" s="1">
        <v>279955</v>
      </c>
    </row>
    <row r="25" spans="1:12" ht="27.6" x14ac:dyDescent="0.3">
      <c r="A25" s="38" t="s">
        <v>52</v>
      </c>
      <c r="B25" s="38" t="s">
        <v>119</v>
      </c>
      <c r="C25" s="38" t="s">
        <v>120</v>
      </c>
      <c r="D25" s="39" t="s">
        <v>121</v>
      </c>
      <c r="E25" s="39" t="s">
        <v>2168</v>
      </c>
      <c r="F25" s="40">
        <v>5875</v>
      </c>
      <c r="G25" s="41" t="s">
        <v>137</v>
      </c>
      <c r="H25" s="41" t="s">
        <v>133</v>
      </c>
      <c r="J25" s="43" t="s">
        <v>2218</v>
      </c>
      <c r="K25" s="1">
        <v>327895</v>
      </c>
    </row>
    <row r="26" spans="1:12" ht="27.6" x14ac:dyDescent="0.3">
      <c r="A26" s="38" t="s">
        <v>52</v>
      </c>
      <c r="B26" s="38" t="s">
        <v>119</v>
      </c>
      <c r="C26" s="38" t="s">
        <v>120</v>
      </c>
      <c r="D26" s="39" t="s">
        <v>121</v>
      </c>
      <c r="E26" s="39" t="s">
        <v>2188</v>
      </c>
      <c r="F26" s="40">
        <v>1360</v>
      </c>
      <c r="G26" s="41" t="s">
        <v>139</v>
      </c>
      <c r="H26" s="41" t="s">
        <v>140</v>
      </c>
      <c r="J26" s="43" t="s">
        <v>1550</v>
      </c>
      <c r="K26" s="1">
        <v>8169</v>
      </c>
    </row>
    <row r="27" spans="1:12" ht="27.6" x14ac:dyDescent="0.3">
      <c r="A27" s="38" t="s">
        <v>52</v>
      </c>
      <c r="B27" s="38" t="s">
        <v>119</v>
      </c>
      <c r="C27" s="38" t="s">
        <v>120</v>
      </c>
      <c r="D27" s="39" t="s">
        <v>141</v>
      </c>
      <c r="E27" s="39" t="s">
        <v>2189</v>
      </c>
      <c r="F27" s="40">
        <v>9975</v>
      </c>
      <c r="G27" s="41" t="s">
        <v>143</v>
      </c>
      <c r="H27" s="41" t="s">
        <v>144</v>
      </c>
      <c r="J27" s="43" t="s">
        <v>2196</v>
      </c>
      <c r="K27" s="1">
        <v>384507</v>
      </c>
    </row>
    <row r="28" spans="1:12" ht="27.6" x14ac:dyDescent="0.3">
      <c r="A28" s="38" t="s">
        <v>52</v>
      </c>
      <c r="B28" s="38" t="s">
        <v>119</v>
      </c>
      <c r="C28" s="38" t="s">
        <v>120</v>
      </c>
      <c r="D28" s="39" t="s">
        <v>55</v>
      </c>
      <c r="E28" s="39" t="s">
        <v>2176</v>
      </c>
      <c r="F28" s="40">
        <v>2380</v>
      </c>
      <c r="G28" s="41" t="s">
        <v>146</v>
      </c>
      <c r="H28" s="41" t="s">
        <v>58</v>
      </c>
      <c r="J28" s="43" t="s">
        <v>2214</v>
      </c>
      <c r="K28" s="1">
        <v>275017</v>
      </c>
    </row>
    <row r="29" spans="1:12" ht="27.6" x14ac:dyDescent="0.3">
      <c r="A29" s="38" t="s">
        <v>52</v>
      </c>
      <c r="B29" s="38" t="s">
        <v>119</v>
      </c>
      <c r="C29" s="38" t="s">
        <v>120</v>
      </c>
      <c r="D29" s="39" t="s">
        <v>147</v>
      </c>
      <c r="E29" s="39" t="s">
        <v>2184</v>
      </c>
      <c r="F29" s="40">
        <v>1295</v>
      </c>
      <c r="G29" s="41" t="s">
        <v>149</v>
      </c>
      <c r="H29" s="41" t="s">
        <v>150</v>
      </c>
      <c r="J29" s="43" t="s">
        <v>2194</v>
      </c>
      <c r="K29" s="1">
        <v>47737</v>
      </c>
    </row>
    <row r="30" spans="1:12" ht="82.8" x14ac:dyDescent="0.3">
      <c r="A30" s="38" t="s">
        <v>52</v>
      </c>
      <c r="B30" s="38" t="s">
        <v>119</v>
      </c>
      <c r="C30" s="38" t="s">
        <v>120</v>
      </c>
      <c r="D30" s="39" t="s">
        <v>141</v>
      </c>
      <c r="E30" s="39" t="s">
        <v>2197</v>
      </c>
      <c r="F30" s="40">
        <v>3007</v>
      </c>
      <c r="G30" s="41" t="s">
        <v>152</v>
      </c>
      <c r="H30" s="41" t="s">
        <v>98</v>
      </c>
      <c r="J30" s="43" t="s">
        <v>2151</v>
      </c>
      <c r="K30" s="1">
        <v>221794</v>
      </c>
    </row>
    <row r="31" spans="1:12" ht="82.8" x14ac:dyDescent="0.3">
      <c r="A31" s="38" t="s">
        <v>52</v>
      </c>
      <c r="B31" s="38" t="s">
        <v>119</v>
      </c>
      <c r="C31" s="38" t="s">
        <v>120</v>
      </c>
      <c r="D31" s="39" t="s">
        <v>121</v>
      </c>
      <c r="E31" s="39" t="s">
        <v>2197</v>
      </c>
      <c r="F31" s="40">
        <v>414</v>
      </c>
      <c r="G31" s="41" t="s">
        <v>152</v>
      </c>
      <c r="H31" s="41" t="s">
        <v>98</v>
      </c>
      <c r="J31" s="43" t="s">
        <v>2175</v>
      </c>
      <c r="K31" s="1">
        <v>174960</v>
      </c>
    </row>
    <row r="32" spans="1:12" ht="27.6" x14ac:dyDescent="0.3">
      <c r="A32" s="38" t="s">
        <v>52</v>
      </c>
      <c r="B32" s="38" t="s">
        <v>119</v>
      </c>
      <c r="C32" s="38" t="s">
        <v>153</v>
      </c>
      <c r="D32" s="39" t="s">
        <v>121</v>
      </c>
      <c r="E32" s="39" t="s">
        <v>2170</v>
      </c>
      <c r="F32" s="40">
        <v>5000</v>
      </c>
      <c r="G32" s="41" t="s">
        <v>155</v>
      </c>
      <c r="H32" s="41" t="s">
        <v>84</v>
      </c>
      <c r="J32" s="43" t="s">
        <v>2177</v>
      </c>
      <c r="K32" s="1">
        <v>156717</v>
      </c>
    </row>
    <row r="33" spans="1:11" ht="27.6" x14ac:dyDescent="0.3">
      <c r="A33" s="38" t="s">
        <v>52</v>
      </c>
      <c r="B33" s="38" t="s">
        <v>119</v>
      </c>
      <c r="C33" s="38" t="s">
        <v>156</v>
      </c>
      <c r="D33" s="39" t="s">
        <v>141</v>
      </c>
      <c r="E33" s="39" t="s">
        <v>2170</v>
      </c>
      <c r="F33" s="40">
        <v>2400</v>
      </c>
      <c r="G33" s="41" t="s">
        <v>158</v>
      </c>
      <c r="H33" s="41" t="s">
        <v>84</v>
      </c>
      <c r="J33" s="43" t="s">
        <v>2158</v>
      </c>
      <c r="K33" s="1">
        <v>213335</v>
      </c>
    </row>
    <row r="34" spans="1:11" ht="27.6" x14ac:dyDescent="0.3">
      <c r="A34" s="38" t="s">
        <v>52</v>
      </c>
      <c r="B34" s="38" t="s">
        <v>119</v>
      </c>
      <c r="C34" s="38" t="s">
        <v>156</v>
      </c>
      <c r="D34" s="39" t="s">
        <v>141</v>
      </c>
      <c r="E34" s="39" t="s">
        <v>2170</v>
      </c>
      <c r="F34" s="40">
        <v>5532</v>
      </c>
      <c r="G34" s="41" t="s">
        <v>160</v>
      </c>
      <c r="H34" s="41" t="s">
        <v>84</v>
      </c>
      <c r="J34" s="43" t="s">
        <v>2147</v>
      </c>
      <c r="K34" s="1">
        <v>105596</v>
      </c>
    </row>
    <row r="35" spans="1:11" ht="27.6" x14ac:dyDescent="0.3">
      <c r="A35" s="38" t="s">
        <v>52</v>
      </c>
      <c r="B35" s="38" t="s">
        <v>119</v>
      </c>
      <c r="C35" s="38" t="s">
        <v>156</v>
      </c>
      <c r="D35" s="39" t="s">
        <v>141</v>
      </c>
      <c r="E35" s="39" t="s">
        <v>2172</v>
      </c>
      <c r="F35" s="40">
        <v>2876</v>
      </c>
      <c r="G35" s="41" t="s">
        <v>162</v>
      </c>
      <c r="H35" s="41" t="s">
        <v>163</v>
      </c>
      <c r="J35" s="43" t="s">
        <v>2198</v>
      </c>
      <c r="K35" s="1">
        <v>69352</v>
      </c>
    </row>
    <row r="36" spans="1:11" ht="41.4" x14ac:dyDescent="0.3">
      <c r="A36" s="38" t="s">
        <v>52</v>
      </c>
      <c r="B36" s="38" t="s">
        <v>119</v>
      </c>
      <c r="C36" s="38" t="s">
        <v>156</v>
      </c>
      <c r="D36" s="39" t="s">
        <v>130</v>
      </c>
      <c r="E36" s="39" t="s">
        <v>2168</v>
      </c>
      <c r="F36" s="40">
        <v>7450</v>
      </c>
      <c r="G36" s="41" t="s">
        <v>165</v>
      </c>
      <c r="H36" s="41" t="s">
        <v>133</v>
      </c>
      <c r="J36" s="43" t="s">
        <v>2149</v>
      </c>
      <c r="K36" s="1">
        <v>197812</v>
      </c>
    </row>
    <row r="37" spans="1:11" ht="27.6" x14ac:dyDescent="0.3">
      <c r="A37" s="38" t="s">
        <v>52</v>
      </c>
      <c r="B37" s="38" t="s">
        <v>119</v>
      </c>
      <c r="C37" s="38" t="s">
        <v>156</v>
      </c>
      <c r="D37" s="39" t="s">
        <v>141</v>
      </c>
      <c r="E37" s="39" t="s">
        <v>2207</v>
      </c>
      <c r="F37" s="40">
        <v>1989</v>
      </c>
      <c r="G37" s="41" t="s">
        <v>167</v>
      </c>
      <c r="H37" s="41" t="s">
        <v>168</v>
      </c>
      <c r="J37" s="43" t="s">
        <v>2140</v>
      </c>
      <c r="K37" s="1">
        <v>103237</v>
      </c>
    </row>
    <row r="38" spans="1:11" ht="41.4" x14ac:dyDescent="0.3">
      <c r="A38" s="38" t="s">
        <v>52</v>
      </c>
      <c r="B38" s="38" t="s">
        <v>119</v>
      </c>
      <c r="C38" s="38" t="s">
        <v>169</v>
      </c>
      <c r="D38" s="39" t="s">
        <v>110</v>
      </c>
      <c r="E38" s="39" t="s">
        <v>2168</v>
      </c>
      <c r="F38" s="40">
        <v>5106</v>
      </c>
      <c r="G38" s="41" t="s">
        <v>171</v>
      </c>
      <c r="H38" s="41" t="s">
        <v>133</v>
      </c>
      <c r="J38" s="43" t="s">
        <v>2160</v>
      </c>
      <c r="K38" s="1">
        <v>82351</v>
      </c>
    </row>
    <row r="39" spans="1:11" ht="27.6" x14ac:dyDescent="0.3">
      <c r="A39" s="38" t="s">
        <v>52</v>
      </c>
      <c r="B39" s="38" t="s">
        <v>172</v>
      </c>
      <c r="C39" s="38" t="s">
        <v>173</v>
      </c>
      <c r="D39" s="39" t="s">
        <v>81</v>
      </c>
      <c r="E39" s="39" t="s">
        <v>2170</v>
      </c>
      <c r="F39" s="40">
        <v>18616</v>
      </c>
      <c r="G39" s="41" t="s">
        <v>175</v>
      </c>
      <c r="H39" s="41" t="s">
        <v>84</v>
      </c>
      <c r="J39" s="43" t="s">
        <v>2204</v>
      </c>
      <c r="K39" s="1">
        <v>70612</v>
      </c>
    </row>
    <row r="40" spans="1:11" ht="27.6" x14ac:dyDescent="0.3">
      <c r="A40" s="38" t="s">
        <v>52</v>
      </c>
      <c r="B40" s="38" t="s">
        <v>172</v>
      </c>
      <c r="C40" s="38" t="s">
        <v>176</v>
      </c>
      <c r="D40" s="39" t="s">
        <v>81</v>
      </c>
      <c r="E40" s="39" t="s">
        <v>2170</v>
      </c>
      <c r="F40" s="40">
        <v>10033</v>
      </c>
      <c r="G40" s="41" t="s">
        <v>178</v>
      </c>
      <c r="H40" s="41" t="s">
        <v>84</v>
      </c>
      <c r="J40" s="43" t="s">
        <v>2210</v>
      </c>
      <c r="K40" s="1">
        <v>7565</v>
      </c>
    </row>
    <row r="41" spans="1:11" ht="27.6" x14ac:dyDescent="0.3">
      <c r="A41" s="38" t="s">
        <v>52</v>
      </c>
      <c r="B41" s="38" t="s">
        <v>179</v>
      </c>
      <c r="C41" s="38" t="s">
        <v>180</v>
      </c>
      <c r="D41" s="39" t="s">
        <v>141</v>
      </c>
      <c r="E41" s="39" t="s">
        <v>2215</v>
      </c>
      <c r="F41" s="40">
        <v>23267</v>
      </c>
      <c r="G41" s="41" t="s">
        <v>182</v>
      </c>
      <c r="H41" s="41" t="s">
        <v>183</v>
      </c>
      <c r="J41" s="43" t="s">
        <v>2156</v>
      </c>
      <c r="K41" s="1">
        <v>46483</v>
      </c>
    </row>
    <row r="42" spans="1:11" ht="27.6" x14ac:dyDescent="0.3">
      <c r="A42" s="38" t="s">
        <v>52</v>
      </c>
      <c r="B42" s="38" t="s">
        <v>179</v>
      </c>
      <c r="C42" s="38" t="s">
        <v>184</v>
      </c>
      <c r="D42" s="39" t="s">
        <v>81</v>
      </c>
      <c r="E42" s="39" t="s">
        <v>2170</v>
      </c>
      <c r="F42" s="40">
        <v>21104</v>
      </c>
      <c r="G42" s="41" t="s">
        <v>186</v>
      </c>
      <c r="H42" s="41" t="s">
        <v>84</v>
      </c>
      <c r="J42" s="43" t="s">
        <v>2169</v>
      </c>
      <c r="K42" s="1">
        <v>279038</v>
      </c>
    </row>
    <row r="43" spans="1:11" ht="27.6" x14ac:dyDescent="0.3">
      <c r="A43" s="38" t="s">
        <v>52</v>
      </c>
      <c r="B43" s="38" t="s">
        <v>179</v>
      </c>
      <c r="C43" s="38" t="s">
        <v>187</v>
      </c>
      <c r="D43" s="39" t="s">
        <v>81</v>
      </c>
      <c r="E43" s="39" t="s">
        <v>2167</v>
      </c>
      <c r="F43" s="40">
        <v>2920</v>
      </c>
      <c r="G43" s="41" t="s">
        <v>189</v>
      </c>
      <c r="H43" s="41" t="s">
        <v>70</v>
      </c>
      <c r="J43" s="43" t="s">
        <v>2171</v>
      </c>
      <c r="K43" s="1">
        <v>306595</v>
      </c>
    </row>
    <row r="44" spans="1:11" ht="27.6" x14ac:dyDescent="0.3">
      <c r="A44" s="38" t="s">
        <v>52</v>
      </c>
      <c r="B44" s="38" t="s">
        <v>179</v>
      </c>
      <c r="C44" s="38" t="s">
        <v>190</v>
      </c>
      <c r="D44" s="39" t="s">
        <v>141</v>
      </c>
      <c r="E44" s="39" t="s">
        <v>2186</v>
      </c>
      <c r="F44" s="40">
        <v>7864</v>
      </c>
      <c r="G44" s="41" t="s">
        <v>192</v>
      </c>
      <c r="H44" s="41" t="s">
        <v>102</v>
      </c>
      <c r="J44" s="43" t="s">
        <v>2164</v>
      </c>
      <c r="K44" s="1">
        <v>47502</v>
      </c>
    </row>
    <row r="45" spans="1:11" ht="27.6" x14ac:dyDescent="0.3">
      <c r="A45" s="38" t="s">
        <v>52</v>
      </c>
      <c r="B45" s="38" t="s">
        <v>193</v>
      </c>
      <c r="C45" s="38" t="s">
        <v>194</v>
      </c>
      <c r="D45" s="39" t="s">
        <v>195</v>
      </c>
      <c r="E45" s="39" t="s">
        <v>2186</v>
      </c>
      <c r="F45" s="40">
        <v>3500</v>
      </c>
      <c r="G45" s="41" t="s">
        <v>197</v>
      </c>
      <c r="H45" s="41" t="s">
        <v>102</v>
      </c>
      <c r="J45" s="43" t="s">
        <v>74</v>
      </c>
      <c r="K45" s="1">
        <v>146471</v>
      </c>
    </row>
    <row r="46" spans="1:11" ht="27.6" x14ac:dyDescent="0.3">
      <c r="A46" s="38" t="s">
        <v>52</v>
      </c>
      <c r="B46" s="38" t="s">
        <v>193</v>
      </c>
      <c r="C46" s="38" t="s">
        <v>194</v>
      </c>
      <c r="D46" s="39" t="s">
        <v>141</v>
      </c>
      <c r="E46" s="39" t="s">
        <v>2207</v>
      </c>
      <c r="F46" s="40">
        <v>5946</v>
      </c>
      <c r="G46" s="41" t="s">
        <v>199</v>
      </c>
      <c r="H46" s="41" t="s">
        <v>168</v>
      </c>
      <c r="J46" s="43" t="s">
        <v>2222</v>
      </c>
      <c r="K46" s="1">
        <v>7294873</v>
      </c>
    </row>
    <row r="47" spans="1:11" ht="27.6" x14ac:dyDescent="0.3">
      <c r="A47" s="38" t="s">
        <v>52</v>
      </c>
      <c r="B47" s="38" t="s">
        <v>193</v>
      </c>
      <c r="C47" s="38" t="s">
        <v>194</v>
      </c>
      <c r="D47" s="39" t="s">
        <v>141</v>
      </c>
      <c r="E47" s="39" t="s">
        <v>2195</v>
      </c>
      <c r="F47" s="40">
        <v>5942</v>
      </c>
      <c r="G47" s="41" t="s">
        <v>201</v>
      </c>
      <c r="H47" s="41" t="s">
        <v>202</v>
      </c>
    </row>
    <row r="48" spans="1:11" ht="27.6" x14ac:dyDescent="0.3">
      <c r="A48" s="38" t="s">
        <v>52</v>
      </c>
      <c r="B48" s="38" t="s">
        <v>193</v>
      </c>
      <c r="C48" s="38" t="s">
        <v>194</v>
      </c>
      <c r="D48" s="39" t="s">
        <v>141</v>
      </c>
      <c r="E48" s="39" t="s">
        <v>2168</v>
      </c>
      <c r="F48" s="40">
        <v>1496</v>
      </c>
      <c r="G48" s="41" t="s">
        <v>204</v>
      </c>
      <c r="H48" s="41" t="s">
        <v>133</v>
      </c>
    </row>
    <row r="49" spans="1:8" ht="41.4" x14ac:dyDescent="0.3">
      <c r="A49" s="38" t="s">
        <v>52</v>
      </c>
      <c r="B49" s="38" t="s">
        <v>193</v>
      </c>
      <c r="C49" s="38" t="s">
        <v>194</v>
      </c>
      <c r="D49" s="39" t="s">
        <v>124</v>
      </c>
      <c r="E49" s="39" t="s">
        <v>2172</v>
      </c>
      <c r="F49" s="40">
        <v>724</v>
      </c>
      <c r="G49" s="41" t="s">
        <v>206</v>
      </c>
      <c r="H49" s="41" t="s">
        <v>127</v>
      </c>
    </row>
    <row r="50" spans="1:8" ht="27.6" x14ac:dyDescent="0.3">
      <c r="A50" s="38" t="s">
        <v>52</v>
      </c>
      <c r="B50" s="38" t="s">
        <v>193</v>
      </c>
      <c r="C50" s="38" t="s">
        <v>207</v>
      </c>
      <c r="D50" s="39" t="s">
        <v>208</v>
      </c>
      <c r="E50" s="39" t="s">
        <v>2193</v>
      </c>
      <c r="F50" s="40">
        <v>790</v>
      </c>
      <c r="G50" s="41" t="s">
        <v>210</v>
      </c>
      <c r="H50" s="41" t="s">
        <v>211</v>
      </c>
    </row>
    <row r="51" spans="1:8" ht="41.4" x14ac:dyDescent="0.3">
      <c r="A51" s="38" t="s">
        <v>52</v>
      </c>
      <c r="B51" s="38" t="s">
        <v>193</v>
      </c>
      <c r="C51" s="38" t="s">
        <v>212</v>
      </c>
      <c r="D51" s="39" t="s">
        <v>213</v>
      </c>
      <c r="E51" s="39" t="s">
        <v>2170</v>
      </c>
      <c r="F51" s="40">
        <v>34</v>
      </c>
      <c r="G51" s="41" t="s">
        <v>215</v>
      </c>
      <c r="H51" s="41" t="s">
        <v>84</v>
      </c>
    </row>
    <row r="52" spans="1:8" ht="27.6" x14ac:dyDescent="0.3">
      <c r="A52" s="38" t="s">
        <v>52</v>
      </c>
      <c r="B52" s="38" t="s">
        <v>193</v>
      </c>
      <c r="C52" s="38" t="s">
        <v>212</v>
      </c>
      <c r="D52" s="39" t="s">
        <v>216</v>
      </c>
      <c r="E52" s="39" t="s">
        <v>2170</v>
      </c>
      <c r="F52" s="40">
        <v>2243</v>
      </c>
      <c r="G52" s="41" t="s">
        <v>215</v>
      </c>
      <c r="H52" s="41" t="s">
        <v>84</v>
      </c>
    </row>
    <row r="53" spans="1:8" ht="27.6" x14ac:dyDescent="0.3">
      <c r="A53" s="38" t="s">
        <v>52</v>
      </c>
      <c r="B53" s="38" t="s">
        <v>193</v>
      </c>
      <c r="C53" s="38" t="s">
        <v>212</v>
      </c>
      <c r="D53" s="39" t="s">
        <v>130</v>
      </c>
      <c r="E53" s="39" t="s">
        <v>2167</v>
      </c>
      <c r="F53" s="40">
        <v>1320</v>
      </c>
      <c r="G53" s="41" t="s">
        <v>218</v>
      </c>
      <c r="H53" s="41" t="s">
        <v>70</v>
      </c>
    </row>
    <row r="54" spans="1:8" ht="27.6" x14ac:dyDescent="0.3">
      <c r="A54" s="38" t="s">
        <v>52</v>
      </c>
      <c r="B54" s="38" t="s">
        <v>193</v>
      </c>
      <c r="C54" s="38" t="s">
        <v>212</v>
      </c>
      <c r="D54" s="39" t="s">
        <v>141</v>
      </c>
      <c r="E54" s="39" t="s">
        <v>2155</v>
      </c>
      <c r="F54" s="40">
        <v>6000</v>
      </c>
      <c r="G54" s="41" t="s">
        <v>220</v>
      </c>
      <c r="H54" s="41" t="s">
        <v>118</v>
      </c>
    </row>
    <row r="55" spans="1:8" ht="27.6" x14ac:dyDescent="0.3">
      <c r="A55" s="38" t="s">
        <v>52</v>
      </c>
      <c r="B55" s="38" t="s">
        <v>193</v>
      </c>
      <c r="C55" s="38" t="s">
        <v>212</v>
      </c>
      <c r="D55" s="39" t="s">
        <v>62</v>
      </c>
      <c r="E55" s="39" t="s">
        <v>2219</v>
      </c>
      <c r="F55" s="40">
        <v>750</v>
      </c>
      <c r="G55" s="41" t="s">
        <v>222</v>
      </c>
      <c r="H55" s="41" t="s">
        <v>223</v>
      </c>
    </row>
    <row r="56" spans="1:8" ht="55.2" x14ac:dyDescent="0.3">
      <c r="A56" s="38" t="s">
        <v>52</v>
      </c>
      <c r="B56" s="38" t="s">
        <v>193</v>
      </c>
      <c r="C56" s="38" t="s">
        <v>224</v>
      </c>
      <c r="D56" s="39" t="s">
        <v>141</v>
      </c>
      <c r="E56" s="39" t="s">
        <v>2152</v>
      </c>
      <c r="F56" s="40">
        <v>10129</v>
      </c>
      <c r="G56" s="41" t="s">
        <v>226</v>
      </c>
      <c r="H56" s="41" t="s">
        <v>94</v>
      </c>
    </row>
    <row r="57" spans="1:8" ht="41.4" x14ac:dyDescent="0.3">
      <c r="A57" s="38" t="s">
        <v>52</v>
      </c>
      <c r="B57" s="38" t="s">
        <v>193</v>
      </c>
      <c r="C57" s="38" t="s">
        <v>227</v>
      </c>
      <c r="D57" s="39" t="s">
        <v>110</v>
      </c>
      <c r="E57" s="39" t="s">
        <v>2193</v>
      </c>
      <c r="F57" s="40">
        <v>4084</v>
      </c>
      <c r="G57" s="41" t="s">
        <v>229</v>
      </c>
      <c r="H57" s="41" t="s">
        <v>211</v>
      </c>
    </row>
    <row r="58" spans="1:8" ht="41.4" x14ac:dyDescent="0.3">
      <c r="A58" s="38" t="s">
        <v>52</v>
      </c>
      <c r="B58" s="38" t="s">
        <v>193</v>
      </c>
      <c r="C58" s="38" t="s">
        <v>227</v>
      </c>
      <c r="D58" s="39" t="s">
        <v>110</v>
      </c>
      <c r="E58" s="39" t="s">
        <v>2219</v>
      </c>
      <c r="F58" s="40">
        <v>4084</v>
      </c>
      <c r="G58" s="41" t="s">
        <v>231</v>
      </c>
      <c r="H58" s="41" t="s">
        <v>223</v>
      </c>
    </row>
    <row r="59" spans="1:8" ht="27.6" x14ac:dyDescent="0.3">
      <c r="A59" s="38" t="s">
        <v>52</v>
      </c>
      <c r="B59" s="38" t="s">
        <v>193</v>
      </c>
      <c r="C59" s="38" t="s">
        <v>227</v>
      </c>
      <c r="D59" s="39" t="s">
        <v>232</v>
      </c>
      <c r="E59" s="39" t="s">
        <v>2141</v>
      </c>
      <c r="F59" s="40">
        <v>4200</v>
      </c>
      <c r="G59" s="41" t="s">
        <v>234</v>
      </c>
      <c r="H59" s="41" t="s">
        <v>235</v>
      </c>
    </row>
    <row r="60" spans="1:8" ht="27.6" x14ac:dyDescent="0.3">
      <c r="A60" s="38" t="s">
        <v>52</v>
      </c>
      <c r="B60" s="38" t="s">
        <v>193</v>
      </c>
      <c r="C60" s="38" t="s">
        <v>236</v>
      </c>
      <c r="D60" s="39" t="s">
        <v>81</v>
      </c>
      <c r="E60" s="39" t="s">
        <v>2182</v>
      </c>
      <c r="F60" s="40">
        <v>6785</v>
      </c>
      <c r="G60" s="41" t="s">
        <v>238</v>
      </c>
      <c r="H60" s="41" t="s">
        <v>239</v>
      </c>
    </row>
    <row r="61" spans="1:8" ht="27.6" x14ac:dyDescent="0.3">
      <c r="A61" s="38" t="s">
        <v>52</v>
      </c>
      <c r="B61" s="38" t="s">
        <v>193</v>
      </c>
      <c r="C61" s="38" t="s">
        <v>240</v>
      </c>
      <c r="D61" s="39" t="s">
        <v>81</v>
      </c>
      <c r="E61" s="39" t="s">
        <v>2146</v>
      </c>
      <c r="F61" s="40">
        <v>29981</v>
      </c>
      <c r="G61" s="41" t="s">
        <v>242</v>
      </c>
      <c r="H61" s="41" t="s">
        <v>49</v>
      </c>
    </row>
    <row r="62" spans="1:8" ht="27.6" x14ac:dyDescent="0.3">
      <c r="A62" s="38" t="s">
        <v>52</v>
      </c>
      <c r="B62" s="38" t="s">
        <v>243</v>
      </c>
      <c r="C62" s="38" t="s">
        <v>244</v>
      </c>
      <c r="D62" s="39" t="s">
        <v>245</v>
      </c>
      <c r="E62" s="39" t="s">
        <v>2143</v>
      </c>
      <c r="F62" s="40">
        <v>10574</v>
      </c>
      <c r="G62" s="41" t="s">
        <v>247</v>
      </c>
      <c r="H62" s="41" t="s">
        <v>248</v>
      </c>
    </row>
    <row r="63" spans="1:8" ht="27.6" x14ac:dyDescent="0.3">
      <c r="A63" s="38" t="s">
        <v>52</v>
      </c>
      <c r="B63" s="38" t="s">
        <v>243</v>
      </c>
      <c r="C63" s="38" t="s">
        <v>249</v>
      </c>
      <c r="D63" s="39" t="s">
        <v>141</v>
      </c>
      <c r="E63" s="39" t="s">
        <v>2152</v>
      </c>
      <c r="F63" s="40">
        <v>9540</v>
      </c>
      <c r="G63" s="41" t="s">
        <v>251</v>
      </c>
      <c r="H63" s="41" t="s">
        <v>94</v>
      </c>
    </row>
    <row r="64" spans="1:8" ht="27.6" x14ac:dyDescent="0.3">
      <c r="A64" s="38" t="s">
        <v>52</v>
      </c>
      <c r="B64" s="38" t="s">
        <v>243</v>
      </c>
      <c r="C64" s="38" t="s">
        <v>252</v>
      </c>
      <c r="D64" s="39" t="s">
        <v>81</v>
      </c>
      <c r="E64" s="39" t="s">
        <v>2193</v>
      </c>
      <c r="F64" s="40">
        <v>15510</v>
      </c>
      <c r="G64" s="41" t="s">
        <v>254</v>
      </c>
      <c r="H64" s="41" t="s">
        <v>211</v>
      </c>
    </row>
    <row r="65" spans="1:8" ht="27.6" x14ac:dyDescent="0.3">
      <c r="A65" s="38" t="s">
        <v>52</v>
      </c>
      <c r="B65" s="38" t="s">
        <v>255</v>
      </c>
      <c r="C65" s="38" t="s">
        <v>256</v>
      </c>
      <c r="D65" s="39" t="s">
        <v>141</v>
      </c>
      <c r="E65" s="39" t="s">
        <v>2143</v>
      </c>
      <c r="F65" s="40">
        <v>178840</v>
      </c>
      <c r="G65" s="41" t="s">
        <v>258</v>
      </c>
      <c r="H65" s="41" t="s">
        <v>248</v>
      </c>
    </row>
    <row r="66" spans="1:8" ht="27.6" x14ac:dyDescent="0.3">
      <c r="A66" s="38" t="s">
        <v>52</v>
      </c>
      <c r="B66" s="38" t="s">
        <v>255</v>
      </c>
      <c r="C66" s="38" t="s">
        <v>259</v>
      </c>
      <c r="D66" s="39" t="s">
        <v>81</v>
      </c>
      <c r="E66" s="39" t="s">
        <v>2172</v>
      </c>
      <c r="F66" s="40">
        <v>8615</v>
      </c>
      <c r="G66" s="41" t="s">
        <v>261</v>
      </c>
      <c r="H66" s="41" t="s">
        <v>163</v>
      </c>
    </row>
    <row r="67" spans="1:8" ht="41.4" x14ac:dyDescent="0.3">
      <c r="A67" s="38" t="s">
        <v>52</v>
      </c>
      <c r="B67" s="38" t="s">
        <v>262</v>
      </c>
      <c r="C67" s="38" t="s">
        <v>263</v>
      </c>
      <c r="D67" s="39" t="s">
        <v>195</v>
      </c>
      <c r="E67" s="39" t="s">
        <v>2203</v>
      </c>
      <c r="F67" s="40">
        <v>127500</v>
      </c>
      <c r="G67" s="41" t="s">
        <v>265</v>
      </c>
      <c r="H67" s="41" t="s">
        <v>79</v>
      </c>
    </row>
    <row r="68" spans="1:8" ht="27.6" x14ac:dyDescent="0.3">
      <c r="A68" s="38" t="s">
        <v>52</v>
      </c>
      <c r="B68" s="38" t="s">
        <v>262</v>
      </c>
      <c r="C68" s="38" t="s">
        <v>266</v>
      </c>
      <c r="D68" s="39" t="s">
        <v>62</v>
      </c>
      <c r="E68" s="39" t="s">
        <v>2184</v>
      </c>
      <c r="F68" s="40">
        <v>20000</v>
      </c>
      <c r="G68" s="41" t="s">
        <v>268</v>
      </c>
      <c r="H68" s="41" t="s">
        <v>150</v>
      </c>
    </row>
    <row r="69" spans="1:8" ht="27.6" x14ac:dyDescent="0.3">
      <c r="A69" s="38" t="s">
        <v>52</v>
      </c>
      <c r="B69" s="38" t="s">
        <v>262</v>
      </c>
      <c r="C69" s="38" t="s">
        <v>269</v>
      </c>
      <c r="D69" s="39" t="s">
        <v>216</v>
      </c>
      <c r="E69" s="39" t="s">
        <v>2152</v>
      </c>
      <c r="F69" s="40">
        <v>12831</v>
      </c>
      <c r="G69" s="41" t="s">
        <v>271</v>
      </c>
      <c r="H69" s="41" t="s">
        <v>272</v>
      </c>
    </row>
    <row r="70" spans="1:8" ht="27.6" x14ac:dyDescent="0.3">
      <c r="A70" s="38" t="s">
        <v>52</v>
      </c>
      <c r="B70" s="38" t="s">
        <v>262</v>
      </c>
      <c r="C70" s="38" t="s">
        <v>273</v>
      </c>
      <c r="D70" s="39" t="s">
        <v>141</v>
      </c>
      <c r="E70" s="39" t="s">
        <v>2170</v>
      </c>
      <c r="F70" s="40">
        <v>2309</v>
      </c>
      <c r="G70" s="41" t="s">
        <v>275</v>
      </c>
      <c r="H70" s="41" t="s">
        <v>84</v>
      </c>
    </row>
    <row r="71" spans="1:8" ht="27.6" x14ac:dyDescent="0.3">
      <c r="A71" s="38" t="s">
        <v>52</v>
      </c>
      <c r="B71" s="38" t="s">
        <v>262</v>
      </c>
      <c r="C71" s="38" t="s">
        <v>276</v>
      </c>
      <c r="D71" s="39" t="s">
        <v>141</v>
      </c>
      <c r="E71" s="39" t="s">
        <v>2170</v>
      </c>
      <c r="F71" s="40">
        <v>2060</v>
      </c>
      <c r="G71" s="41" t="s">
        <v>278</v>
      </c>
      <c r="H71" s="41" t="s">
        <v>84</v>
      </c>
    </row>
    <row r="72" spans="1:8" ht="27.6" x14ac:dyDescent="0.3">
      <c r="A72" s="38" t="s">
        <v>52</v>
      </c>
      <c r="B72" s="38" t="s">
        <v>262</v>
      </c>
      <c r="C72" s="38" t="s">
        <v>279</v>
      </c>
      <c r="D72" s="39" t="s">
        <v>141</v>
      </c>
      <c r="E72" s="39" t="s">
        <v>2186</v>
      </c>
      <c r="F72" s="40">
        <v>9023</v>
      </c>
      <c r="G72" s="41" t="s">
        <v>281</v>
      </c>
      <c r="H72" s="41" t="s">
        <v>102</v>
      </c>
    </row>
    <row r="73" spans="1:8" ht="41.4" x14ac:dyDescent="0.3">
      <c r="A73" s="38" t="s">
        <v>52</v>
      </c>
      <c r="B73" s="38" t="s">
        <v>282</v>
      </c>
      <c r="C73" s="38" t="s">
        <v>283</v>
      </c>
      <c r="D73" s="39" t="s">
        <v>81</v>
      </c>
      <c r="E73" s="39" t="s">
        <v>2215</v>
      </c>
      <c r="F73" s="40">
        <v>14856</v>
      </c>
      <c r="G73" s="41" t="s">
        <v>285</v>
      </c>
      <c r="H73" s="41" t="s">
        <v>183</v>
      </c>
    </row>
    <row r="74" spans="1:8" ht="27.6" x14ac:dyDescent="0.3">
      <c r="A74" s="38" t="s">
        <v>52</v>
      </c>
      <c r="B74" s="38" t="s">
        <v>282</v>
      </c>
      <c r="C74" s="38" t="s">
        <v>286</v>
      </c>
      <c r="D74" s="39" t="s">
        <v>81</v>
      </c>
      <c r="E74" s="39" t="s">
        <v>2168</v>
      </c>
      <c r="F74" s="40">
        <v>26249</v>
      </c>
      <c r="G74" s="41" t="s">
        <v>288</v>
      </c>
      <c r="H74" s="41" t="s">
        <v>133</v>
      </c>
    </row>
    <row r="75" spans="1:8" ht="27.6" x14ac:dyDescent="0.3">
      <c r="A75" s="38" t="s">
        <v>52</v>
      </c>
      <c r="B75" s="38" t="s">
        <v>282</v>
      </c>
      <c r="C75" s="38" t="s">
        <v>289</v>
      </c>
      <c r="D75" s="39" t="s">
        <v>81</v>
      </c>
      <c r="E75" s="39" t="s">
        <v>2215</v>
      </c>
      <c r="F75" s="40">
        <v>30599</v>
      </c>
      <c r="G75" s="41" t="s">
        <v>291</v>
      </c>
      <c r="H75" s="41" t="s">
        <v>183</v>
      </c>
    </row>
    <row r="76" spans="1:8" ht="27.6" x14ac:dyDescent="0.3">
      <c r="A76" s="38" t="s">
        <v>52</v>
      </c>
      <c r="B76" s="38" t="s">
        <v>282</v>
      </c>
      <c r="C76" s="38" t="s">
        <v>292</v>
      </c>
      <c r="D76" s="39" t="s">
        <v>81</v>
      </c>
      <c r="E76" s="39" t="s">
        <v>2193</v>
      </c>
      <c r="F76" s="40">
        <v>19503</v>
      </c>
      <c r="G76" s="41" t="s">
        <v>294</v>
      </c>
      <c r="H76" s="41" t="s">
        <v>211</v>
      </c>
    </row>
    <row r="77" spans="1:8" ht="27.6" x14ac:dyDescent="0.3">
      <c r="A77" s="38" t="s">
        <v>52</v>
      </c>
      <c r="B77" s="38" t="s">
        <v>282</v>
      </c>
      <c r="C77" s="38" t="s">
        <v>295</v>
      </c>
      <c r="D77" s="39" t="s">
        <v>81</v>
      </c>
      <c r="E77" s="39" t="s">
        <v>2193</v>
      </c>
      <c r="F77" s="40">
        <v>17512</v>
      </c>
      <c r="G77" s="41" t="s">
        <v>297</v>
      </c>
      <c r="H77" s="41" t="s">
        <v>211</v>
      </c>
    </row>
    <row r="78" spans="1:8" ht="27.6" x14ac:dyDescent="0.3">
      <c r="A78" s="38" t="s">
        <v>52</v>
      </c>
      <c r="B78" s="38" t="s">
        <v>282</v>
      </c>
      <c r="C78" s="38" t="s">
        <v>298</v>
      </c>
      <c r="D78" s="39" t="s">
        <v>81</v>
      </c>
      <c r="E78" s="39" t="s">
        <v>2193</v>
      </c>
      <c r="F78" s="40">
        <v>24949</v>
      </c>
      <c r="G78" s="41" t="s">
        <v>300</v>
      </c>
      <c r="H78" s="41" t="s">
        <v>211</v>
      </c>
    </row>
    <row r="79" spans="1:8" ht="41.4" x14ac:dyDescent="0.3">
      <c r="A79" s="38" t="s">
        <v>52</v>
      </c>
      <c r="B79" s="38" t="s">
        <v>301</v>
      </c>
      <c r="C79" s="38" t="s">
        <v>302</v>
      </c>
      <c r="D79" s="39" t="s">
        <v>55</v>
      </c>
      <c r="E79" s="39" t="s">
        <v>2176</v>
      </c>
      <c r="F79" s="40">
        <v>1500</v>
      </c>
      <c r="G79" s="41" t="s">
        <v>304</v>
      </c>
      <c r="H79" s="41" t="s">
        <v>58</v>
      </c>
    </row>
    <row r="80" spans="1:8" ht="27.6" x14ac:dyDescent="0.3">
      <c r="A80" s="38" t="s">
        <v>52</v>
      </c>
      <c r="B80" s="38" t="s">
        <v>301</v>
      </c>
      <c r="C80" s="38" t="s">
        <v>305</v>
      </c>
      <c r="D80" s="39" t="s">
        <v>141</v>
      </c>
      <c r="E80" s="39" t="s">
        <v>2186</v>
      </c>
      <c r="F80" s="40">
        <v>3000</v>
      </c>
      <c r="G80" s="41" t="s">
        <v>307</v>
      </c>
      <c r="H80" s="41" t="s">
        <v>102</v>
      </c>
    </row>
    <row r="81" spans="1:8" ht="27.6" x14ac:dyDescent="0.3">
      <c r="A81" s="38" t="s">
        <v>52</v>
      </c>
      <c r="B81" s="38" t="s">
        <v>301</v>
      </c>
      <c r="C81" s="38" t="s">
        <v>305</v>
      </c>
      <c r="D81" s="39" t="s">
        <v>141</v>
      </c>
      <c r="E81" s="39" t="s">
        <v>2207</v>
      </c>
      <c r="F81" s="40">
        <v>4373</v>
      </c>
      <c r="G81" s="41" t="s">
        <v>309</v>
      </c>
      <c r="H81" s="41" t="s">
        <v>168</v>
      </c>
    </row>
    <row r="82" spans="1:8" ht="41.4" x14ac:dyDescent="0.3">
      <c r="A82" s="38" t="s">
        <v>52</v>
      </c>
      <c r="B82" s="38" t="s">
        <v>301</v>
      </c>
      <c r="C82" s="38" t="s">
        <v>305</v>
      </c>
      <c r="D82" s="39" t="s">
        <v>115</v>
      </c>
      <c r="E82" s="39" t="s">
        <v>2207</v>
      </c>
      <c r="F82" s="40">
        <v>1053</v>
      </c>
      <c r="G82" s="41" t="s">
        <v>311</v>
      </c>
      <c r="H82" s="41" t="s">
        <v>168</v>
      </c>
    </row>
    <row r="83" spans="1:8" ht="27.6" x14ac:dyDescent="0.3">
      <c r="A83" s="38" t="s">
        <v>52</v>
      </c>
      <c r="B83" s="38" t="s">
        <v>301</v>
      </c>
      <c r="C83" s="38" t="s">
        <v>305</v>
      </c>
      <c r="D83" s="39" t="s">
        <v>121</v>
      </c>
      <c r="E83" s="39" t="s">
        <v>2170</v>
      </c>
      <c r="F83" s="40">
        <v>4500</v>
      </c>
      <c r="G83" s="41" t="s">
        <v>313</v>
      </c>
      <c r="H83" s="41" t="s">
        <v>84</v>
      </c>
    </row>
    <row r="84" spans="1:8" ht="27.6" x14ac:dyDescent="0.3">
      <c r="A84" s="38" t="s">
        <v>52</v>
      </c>
      <c r="B84" s="38" t="s">
        <v>301</v>
      </c>
      <c r="C84" s="38" t="s">
        <v>305</v>
      </c>
      <c r="D84" s="39" t="s">
        <v>216</v>
      </c>
      <c r="E84" s="39" t="s">
        <v>2146</v>
      </c>
      <c r="F84" s="40">
        <v>633</v>
      </c>
      <c r="G84" s="41" t="s">
        <v>315</v>
      </c>
      <c r="H84" s="41" t="s">
        <v>49</v>
      </c>
    </row>
    <row r="85" spans="1:8" ht="27.6" x14ac:dyDescent="0.3">
      <c r="A85" s="38" t="s">
        <v>52</v>
      </c>
      <c r="B85" s="38" t="s">
        <v>316</v>
      </c>
      <c r="C85" s="38" t="s">
        <v>317</v>
      </c>
      <c r="D85" s="39" t="s">
        <v>115</v>
      </c>
      <c r="E85" s="39" t="s">
        <v>2207</v>
      </c>
      <c r="F85" s="40">
        <v>360</v>
      </c>
      <c r="G85" s="41" t="s">
        <v>319</v>
      </c>
      <c r="H85" s="41" t="s">
        <v>168</v>
      </c>
    </row>
    <row r="86" spans="1:8" ht="27.6" x14ac:dyDescent="0.3">
      <c r="A86" s="38" t="s">
        <v>52</v>
      </c>
      <c r="B86" s="38" t="s">
        <v>316</v>
      </c>
      <c r="C86" s="38" t="s">
        <v>317</v>
      </c>
      <c r="D86" s="39" t="s">
        <v>141</v>
      </c>
      <c r="E86" s="39" t="s">
        <v>2186</v>
      </c>
      <c r="F86" s="40">
        <v>2000</v>
      </c>
      <c r="G86" s="41" t="s">
        <v>321</v>
      </c>
      <c r="H86" s="41" t="s">
        <v>102</v>
      </c>
    </row>
    <row r="87" spans="1:8" ht="27.6" x14ac:dyDescent="0.3">
      <c r="A87" s="38" t="s">
        <v>52</v>
      </c>
      <c r="B87" s="38" t="s">
        <v>316</v>
      </c>
      <c r="C87" s="38" t="s">
        <v>317</v>
      </c>
      <c r="D87" s="39" t="s">
        <v>322</v>
      </c>
      <c r="E87" s="39" t="s">
        <v>2180</v>
      </c>
      <c r="F87" s="40">
        <v>6667</v>
      </c>
      <c r="G87" s="41" t="s">
        <v>324</v>
      </c>
      <c r="H87" s="41" t="s">
        <v>325</v>
      </c>
    </row>
    <row r="88" spans="1:8" ht="27.6" x14ac:dyDescent="0.3">
      <c r="A88" s="38" t="s">
        <v>52</v>
      </c>
      <c r="B88" s="38" t="s">
        <v>316</v>
      </c>
      <c r="C88" s="38" t="s">
        <v>317</v>
      </c>
      <c r="D88" s="39" t="s">
        <v>141</v>
      </c>
      <c r="E88" s="39" t="s">
        <v>2217</v>
      </c>
      <c r="F88" s="40">
        <v>8500</v>
      </c>
      <c r="G88" s="41" t="s">
        <v>327</v>
      </c>
      <c r="H88" s="41" t="s">
        <v>328</v>
      </c>
    </row>
    <row r="89" spans="1:8" ht="96.6" x14ac:dyDescent="0.3">
      <c r="A89" s="38" t="s">
        <v>22</v>
      </c>
      <c r="B89" s="38" t="s">
        <v>329</v>
      </c>
      <c r="C89" s="38" t="s">
        <v>330</v>
      </c>
      <c r="D89" s="39" t="s">
        <v>7</v>
      </c>
      <c r="E89" s="39" t="s">
        <v>2219</v>
      </c>
      <c r="F89" s="40">
        <v>193300</v>
      </c>
      <c r="G89" s="41" t="s">
        <v>332</v>
      </c>
      <c r="H89" s="41" t="s">
        <v>223</v>
      </c>
    </row>
    <row r="90" spans="1:8" ht="27.6" x14ac:dyDescent="0.3">
      <c r="A90" s="38" t="s">
        <v>52</v>
      </c>
      <c r="B90" s="38" t="s">
        <v>333</v>
      </c>
      <c r="C90" s="38" t="s">
        <v>334</v>
      </c>
      <c r="D90" s="39" t="s">
        <v>141</v>
      </c>
      <c r="E90" s="39" t="s">
        <v>2178</v>
      </c>
      <c r="F90" s="40">
        <v>21466</v>
      </c>
      <c r="G90" s="41" t="s">
        <v>336</v>
      </c>
      <c r="H90" s="41" t="s">
        <v>337</v>
      </c>
    </row>
    <row r="91" spans="1:8" ht="27.6" x14ac:dyDescent="0.3">
      <c r="A91" s="38" t="s">
        <v>52</v>
      </c>
      <c r="B91" s="38" t="s">
        <v>333</v>
      </c>
      <c r="C91" s="38" t="s">
        <v>338</v>
      </c>
      <c r="D91" s="39" t="s">
        <v>339</v>
      </c>
      <c r="E91" s="39" t="s">
        <v>2205</v>
      </c>
      <c r="F91" s="40">
        <v>5700</v>
      </c>
      <c r="G91" s="41" t="s">
        <v>341</v>
      </c>
      <c r="H91" s="41" t="s">
        <v>342</v>
      </c>
    </row>
    <row r="92" spans="1:8" ht="27.6" x14ac:dyDescent="0.3">
      <c r="A92" s="38" t="s">
        <v>52</v>
      </c>
      <c r="B92" s="38" t="s">
        <v>343</v>
      </c>
      <c r="C92" s="38" t="s">
        <v>344</v>
      </c>
      <c r="D92" s="39" t="s">
        <v>141</v>
      </c>
      <c r="E92" s="39" t="s">
        <v>2173</v>
      </c>
      <c r="F92" s="40">
        <v>22334</v>
      </c>
      <c r="G92" s="41" t="s">
        <v>346</v>
      </c>
      <c r="H92" s="41" t="s">
        <v>347</v>
      </c>
    </row>
    <row r="93" spans="1:8" ht="27.6" x14ac:dyDescent="0.3">
      <c r="A93" s="38" t="s">
        <v>52</v>
      </c>
      <c r="B93" s="38" t="s">
        <v>343</v>
      </c>
      <c r="C93" s="38" t="s">
        <v>348</v>
      </c>
      <c r="D93" s="39" t="s">
        <v>124</v>
      </c>
      <c r="E93" s="39" t="s">
        <v>2172</v>
      </c>
      <c r="F93" s="40">
        <v>590</v>
      </c>
      <c r="G93" s="41" t="s">
        <v>350</v>
      </c>
      <c r="H93" s="41" t="s">
        <v>127</v>
      </c>
    </row>
    <row r="94" spans="1:8" ht="27.6" x14ac:dyDescent="0.3">
      <c r="A94" s="38" t="s">
        <v>52</v>
      </c>
      <c r="B94" s="38" t="s">
        <v>343</v>
      </c>
      <c r="C94" s="38" t="s">
        <v>348</v>
      </c>
      <c r="D94" s="39" t="s">
        <v>121</v>
      </c>
      <c r="E94" s="39" t="s">
        <v>2199</v>
      </c>
      <c r="F94" s="40">
        <v>600</v>
      </c>
      <c r="G94" s="41" t="s">
        <v>352</v>
      </c>
      <c r="H94" s="41" t="s">
        <v>353</v>
      </c>
    </row>
    <row r="95" spans="1:8" ht="27.6" x14ac:dyDescent="0.3">
      <c r="A95" s="38" t="s">
        <v>52</v>
      </c>
      <c r="B95" s="38" t="s">
        <v>343</v>
      </c>
      <c r="C95" s="38" t="s">
        <v>354</v>
      </c>
      <c r="D95" s="39" t="s">
        <v>141</v>
      </c>
      <c r="E95" s="39" t="s">
        <v>2168</v>
      </c>
      <c r="F95" s="40">
        <v>1000</v>
      </c>
      <c r="G95" s="41" t="s">
        <v>356</v>
      </c>
      <c r="H95" s="41" t="s">
        <v>133</v>
      </c>
    </row>
    <row r="96" spans="1:8" ht="27.6" x14ac:dyDescent="0.3">
      <c r="A96" s="38" t="s">
        <v>52</v>
      </c>
      <c r="B96" s="38" t="s">
        <v>343</v>
      </c>
      <c r="C96" s="38" t="s">
        <v>354</v>
      </c>
      <c r="D96" s="39" t="s">
        <v>216</v>
      </c>
      <c r="E96" s="39" t="s">
        <v>2146</v>
      </c>
      <c r="F96" s="40">
        <v>633</v>
      </c>
      <c r="G96" s="41" t="s">
        <v>358</v>
      </c>
      <c r="H96" s="41" t="s">
        <v>49</v>
      </c>
    </row>
    <row r="97" spans="1:8" ht="41.4" x14ac:dyDescent="0.3">
      <c r="A97" s="38" t="s">
        <v>22</v>
      </c>
      <c r="B97" s="38" t="s">
        <v>359</v>
      </c>
      <c r="C97" s="38" t="s">
        <v>330</v>
      </c>
      <c r="D97" s="39" t="s">
        <v>7</v>
      </c>
      <c r="E97" s="39" t="s">
        <v>2141</v>
      </c>
      <c r="F97" s="40">
        <v>50826</v>
      </c>
      <c r="G97" s="41" t="s">
        <v>361</v>
      </c>
      <c r="H97" s="41" t="s">
        <v>235</v>
      </c>
    </row>
    <row r="98" spans="1:8" ht="27.6" x14ac:dyDescent="0.3">
      <c r="A98" s="38" t="s">
        <v>52</v>
      </c>
      <c r="B98" s="38" t="s">
        <v>362</v>
      </c>
      <c r="C98" s="38" t="s">
        <v>363</v>
      </c>
      <c r="D98" s="39" t="s">
        <v>81</v>
      </c>
      <c r="E98" s="39" t="s">
        <v>2146</v>
      </c>
      <c r="F98" s="40">
        <v>24101</v>
      </c>
      <c r="G98" s="41" t="s">
        <v>365</v>
      </c>
      <c r="H98" s="41" t="s">
        <v>49</v>
      </c>
    </row>
    <row r="99" spans="1:8" ht="27.6" x14ac:dyDescent="0.3">
      <c r="A99" s="38" t="s">
        <v>52</v>
      </c>
      <c r="B99" s="38" t="s">
        <v>362</v>
      </c>
      <c r="C99" s="38" t="s">
        <v>366</v>
      </c>
      <c r="D99" s="39" t="s">
        <v>367</v>
      </c>
      <c r="E99" s="39" t="s">
        <v>2215</v>
      </c>
      <c r="F99" s="40">
        <v>21734</v>
      </c>
      <c r="G99" s="41" t="s">
        <v>369</v>
      </c>
      <c r="H99" s="41" t="s">
        <v>370</v>
      </c>
    </row>
    <row r="100" spans="1:8" ht="27.6" x14ac:dyDescent="0.3">
      <c r="A100" s="38" t="s">
        <v>52</v>
      </c>
      <c r="B100" s="38" t="s">
        <v>362</v>
      </c>
      <c r="C100" s="38" t="s">
        <v>371</v>
      </c>
      <c r="D100" s="39" t="s">
        <v>81</v>
      </c>
      <c r="E100" s="39" t="s">
        <v>2193</v>
      </c>
      <c r="F100" s="40">
        <v>14369</v>
      </c>
      <c r="G100" s="41" t="s">
        <v>373</v>
      </c>
      <c r="H100" s="41" t="s">
        <v>211</v>
      </c>
    </row>
    <row r="101" spans="1:8" ht="27.6" x14ac:dyDescent="0.3">
      <c r="A101" s="38" t="s">
        <v>52</v>
      </c>
      <c r="B101" s="38" t="s">
        <v>362</v>
      </c>
      <c r="C101" s="38" t="s">
        <v>374</v>
      </c>
      <c r="D101" s="39" t="s">
        <v>81</v>
      </c>
      <c r="E101" s="39" t="s">
        <v>2193</v>
      </c>
      <c r="F101" s="40">
        <v>13274</v>
      </c>
      <c r="G101" s="41" t="s">
        <v>376</v>
      </c>
      <c r="H101" s="41" t="s">
        <v>211</v>
      </c>
    </row>
    <row r="102" spans="1:8" ht="27.6" x14ac:dyDescent="0.3">
      <c r="A102" s="38" t="s">
        <v>52</v>
      </c>
      <c r="B102" s="38" t="s">
        <v>362</v>
      </c>
      <c r="C102" s="38" t="s">
        <v>377</v>
      </c>
      <c r="D102" s="39" t="s">
        <v>81</v>
      </c>
      <c r="E102" s="39" t="s">
        <v>2170</v>
      </c>
      <c r="F102" s="40">
        <v>11815</v>
      </c>
      <c r="G102" s="41" t="s">
        <v>379</v>
      </c>
      <c r="H102" s="41" t="s">
        <v>84</v>
      </c>
    </row>
    <row r="103" spans="1:8" ht="27.6" x14ac:dyDescent="0.3">
      <c r="A103" s="38" t="s">
        <v>52</v>
      </c>
      <c r="B103" s="38" t="s">
        <v>380</v>
      </c>
      <c r="C103" s="38" t="s">
        <v>381</v>
      </c>
      <c r="D103" s="39" t="s">
        <v>141</v>
      </c>
      <c r="E103" s="39" t="s">
        <v>2178</v>
      </c>
      <c r="F103" s="40">
        <v>11960</v>
      </c>
      <c r="G103" s="41" t="s">
        <v>383</v>
      </c>
      <c r="H103" s="41" t="s">
        <v>337</v>
      </c>
    </row>
    <row r="104" spans="1:8" ht="27.6" x14ac:dyDescent="0.3">
      <c r="A104" s="38" t="s">
        <v>52</v>
      </c>
      <c r="B104" s="38" t="s">
        <v>384</v>
      </c>
      <c r="C104" s="38" t="s">
        <v>385</v>
      </c>
      <c r="D104" s="39" t="s">
        <v>141</v>
      </c>
      <c r="E104" s="39" t="s">
        <v>2197</v>
      </c>
      <c r="F104" s="40">
        <v>1420</v>
      </c>
      <c r="G104" s="41" t="s">
        <v>387</v>
      </c>
      <c r="H104" s="41" t="s">
        <v>98</v>
      </c>
    </row>
    <row r="105" spans="1:8" ht="27.6" x14ac:dyDescent="0.3">
      <c r="A105" s="38" t="s">
        <v>52</v>
      </c>
      <c r="B105" s="38" t="s">
        <v>384</v>
      </c>
      <c r="C105" s="38" t="s">
        <v>385</v>
      </c>
      <c r="D105" s="39" t="s">
        <v>121</v>
      </c>
      <c r="E105" s="39" t="s">
        <v>2197</v>
      </c>
      <c r="F105" s="40">
        <v>252</v>
      </c>
      <c r="G105" s="41" t="s">
        <v>387</v>
      </c>
      <c r="H105" s="41" t="s">
        <v>98</v>
      </c>
    </row>
    <row r="106" spans="1:8" ht="27.6" x14ac:dyDescent="0.3">
      <c r="A106" s="38" t="s">
        <v>52</v>
      </c>
      <c r="B106" s="38" t="s">
        <v>384</v>
      </c>
      <c r="C106" s="38" t="s">
        <v>385</v>
      </c>
      <c r="D106" s="39" t="s">
        <v>141</v>
      </c>
      <c r="E106" s="39" t="s">
        <v>2146</v>
      </c>
      <c r="F106" s="40">
        <v>807</v>
      </c>
      <c r="G106" s="41" t="s">
        <v>389</v>
      </c>
      <c r="H106" s="41" t="s">
        <v>49</v>
      </c>
    </row>
    <row r="107" spans="1:8" ht="27.6" x14ac:dyDescent="0.3">
      <c r="A107" s="38" t="s">
        <v>52</v>
      </c>
      <c r="B107" s="38" t="s">
        <v>384</v>
      </c>
      <c r="C107" s="38" t="s">
        <v>390</v>
      </c>
      <c r="D107" s="39" t="s">
        <v>55</v>
      </c>
      <c r="E107" s="39" t="s">
        <v>2213</v>
      </c>
      <c r="F107" s="40">
        <v>10355</v>
      </c>
      <c r="G107" s="41" t="s">
        <v>392</v>
      </c>
      <c r="H107" s="41" t="s">
        <v>393</v>
      </c>
    </row>
    <row r="108" spans="1:8" ht="27.6" x14ac:dyDescent="0.3">
      <c r="A108" s="38" t="s">
        <v>52</v>
      </c>
      <c r="B108" s="38" t="s">
        <v>394</v>
      </c>
      <c r="C108" s="38" t="s">
        <v>395</v>
      </c>
      <c r="D108" s="39" t="s">
        <v>216</v>
      </c>
      <c r="E108" s="39" t="s">
        <v>2146</v>
      </c>
      <c r="F108" s="40">
        <v>663</v>
      </c>
      <c r="G108" s="41" t="s">
        <v>397</v>
      </c>
      <c r="H108" s="41" t="s">
        <v>49</v>
      </c>
    </row>
    <row r="109" spans="1:8" ht="27.6" x14ac:dyDescent="0.3">
      <c r="A109" s="38" t="s">
        <v>52</v>
      </c>
      <c r="B109" s="38" t="s">
        <v>394</v>
      </c>
      <c r="C109" s="38" t="s">
        <v>395</v>
      </c>
      <c r="D109" s="39" t="s">
        <v>141</v>
      </c>
      <c r="E109" s="39" t="s">
        <v>2146</v>
      </c>
      <c r="F109" s="40">
        <v>2990</v>
      </c>
      <c r="G109" s="41" t="s">
        <v>399</v>
      </c>
      <c r="H109" s="41" t="s">
        <v>49</v>
      </c>
    </row>
    <row r="110" spans="1:8" x14ac:dyDescent="0.3">
      <c r="A110" s="38" t="s">
        <v>52</v>
      </c>
      <c r="B110" s="38" t="s">
        <v>394</v>
      </c>
      <c r="C110" s="38" t="s">
        <v>395</v>
      </c>
      <c r="D110" s="39" t="s">
        <v>115</v>
      </c>
      <c r="E110" s="39" t="s">
        <v>2155</v>
      </c>
      <c r="F110" s="40">
        <v>3762</v>
      </c>
      <c r="G110" s="41" t="s">
        <v>401</v>
      </c>
      <c r="H110" s="41" t="s">
        <v>118</v>
      </c>
    </row>
    <row r="111" spans="1:8" ht="27.6" x14ac:dyDescent="0.3">
      <c r="A111" s="38" t="s">
        <v>52</v>
      </c>
      <c r="B111" s="38" t="s">
        <v>394</v>
      </c>
      <c r="C111" s="38" t="s">
        <v>395</v>
      </c>
      <c r="D111" s="39" t="s">
        <v>245</v>
      </c>
      <c r="E111" s="39" t="s">
        <v>2159</v>
      </c>
      <c r="F111" s="40">
        <v>10000</v>
      </c>
      <c r="G111" s="41" t="s">
        <v>403</v>
      </c>
      <c r="H111" s="41" t="s">
        <v>404</v>
      </c>
    </row>
    <row r="112" spans="1:8" ht="27.6" x14ac:dyDescent="0.3">
      <c r="A112" s="38" t="s">
        <v>52</v>
      </c>
      <c r="B112" s="38" t="s">
        <v>405</v>
      </c>
      <c r="C112" s="38" t="s">
        <v>406</v>
      </c>
      <c r="D112" s="39" t="s">
        <v>216</v>
      </c>
      <c r="E112" s="39" t="s">
        <v>2146</v>
      </c>
      <c r="F112" s="40">
        <v>629</v>
      </c>
      <c r="G112" s="41" t="s">
        <v>408</v>
      </c>
      <c r="H112" s="41" t="s">
        <v>49</v>
      </c>
    </row>
    <row r="113" spans="1:8" ht="27.6" x14ac:dyDescent="0.3">
      <c r="A113" s="38" t="s">
        <v>52</v>
      </c>
      <c r="B113" s="38" t="s">
        <v>405</v>
      </c>
      <c r="C113" s="38" t="s">
        <v>406</v>
      </c>
      <c r="D113" s="39" t="s">
        <v>141</v>
      </c>
      <c r="E113" s="39" t="s">
        <v>2173</v>
      </c>
      <c r="F113" s="40">
        <v>2780</v>
      </c>
      <c r="G113" s="41" t="s">
        <v>410</v>
      </c>
      <c r="H113" s="41" t="s">
        <v>347</v>
      </c>
    </row>
    <row r="114" spans="1:8" ht="27.6" x14ac:dyDescent="0.3">
      <c r="A114" s="38" t="s">
        <v>52</v>
      </c>
      <c r="B114" s="38" t="s">
        <v>405</v>
      </c>
      <c r="C114" s="38" t="s">
        <v>406</v>
      </c>
      <c r="D114" s="39" t="s">
        <v>322</v>
      </c>
      <c r="E114" s="39" t="s">
        <v>2180</v>
      </c>
      <c r="F114" s="40">
        <v>6667</v>
      </c>
      <c r="G114" s="41" t="s">
        <v>412</v>
      </c>
      <c r="H114" s="41" t="s">
        <v>325</v>
      </c>
    </row>
    <row r="115" spans="1:8" ht="27.6" x14ac:dyDescent="0.3">
      <c r="A115" s="38" t="s">
        <v>52</v>
      </c>
      <c r="B115" s="38" t="s">
        <v>405</v>
      </c>
      <c r="C115" s="38" t="s">
        <v>406</v>
      </c>
      <c r="D115" s="39" t="s">
        <v>121</v>
      </c>
      <c r="E115" s="39" t="s">
        <v>2217</v>
      </c>
      <c r="F115" s="40">
        <v>430</v>
      </c>
      <c r="G115" s="41" t="s">
        <v>414</v>
      </c>
      <c r="H115" s="41" t="s">
        <v>328</v>
      </c>
    </row>
    <row r="116" spans="1:8" ht="27.6" x14ac:dyDescent="0.3">
      <c r="A116" s="38" t="s">
        <v>52</v>
      </c>
      <c r="B116" s="38" t="s">
        <v>405</v>
      </c>
      <c r="C116" s="38" t="s">
        <v>415</v>
      </c>
      <c r="D116" s="39" t="s">
        <v>141</v>
      </c>
      <c r="E116" s="39" t="s">
        <v>2193</v>
      </c>
      <c r="F116" s="40">
        <v>6850</v>
      </c>
      <c r="G116" s="41" t="s">
        <v>417</v>
      </c>
      <c r="H116" s="41" t="s">
        <v>211</v>
      </c>
    </row>
    <row r="117" spans="1:8" ht="27.6" x14ac:dyDescent="0.3">
      <c r="A117" s="38" t="s">
        <v>52</v>
      </c>
      <c r="B117" s="38" t="s">
        <v>405</v>
      </c>
      <c r="C117" s="38" t="s">
        <v>415</v>
      </c>
      <c r="D117" s="39" t="s">
        <v>130</v>
      </c>
      <c r="E117" s="39" t="s">
        <v>2168</v>
      </c>
      <c r="F117" s="40">
        <v>1800</v>
      </c>
      <c r="G117" s="41" t="s">
        <v>419</v>
      </c>
      <c r="H117" s="41" t="s">
        <v>133</v>
      </c>
    </row>
    <row r="118" spans="1:8" ht="27.6" x14ac:dyDescent="0.3">
      <c r="A118" s="38" t="s">
        <v>52</v>
      </c>
      <c r="B118" s="38" t="s">
        <v>405</v>
      </c>
      <c r="C118" s="38" t="s">
        <v>415</v>
      </c>
      <c r="D118" s="39" t="s">
        <v>130</v>
      </c>
      <c r="E118" s="39" t="s">
        <v>2167</v>
      </c>
      <c r="F118" s="40">
        <v>1440</v>
      </c>
      <c r="G118" s="41" t="s">
        <v>421</v>
      </c>
      <c r="H118" s="41" t="s">
        <v>70</v>
      </c>
    </row>
    <row r="119" spans="1:8" ht="27.6" x14ac:dyDescent="0.3">
      <c r="A119" s="38" t="s">
        <v>52</v>
      </c>
      <c r="B119" s="38" t="s">
        <v>405</v>
      </c>
      <c r="C119" s="38" t="s">
        <v>415</v>
      </c>
      <c r="D119" s="39" t="s">
        <v>422</v>
      </c>
      <c r="E119" s="39" t="s">
        <v>2146</v>
      </c>
      <c r="F119" s="40">
        <v>4604</v>
      </c>
      <c r="G119" s="41" t="s">
        <v>424</v>
      </c>
      <c r="H119" s="41" t="s">
        <v>49</v>
      </c>
    </row>
    <row r="120" spans="1:8" ht="27.6" x14ac:dyDescent="0.3">
      <c r="A120" s="38" t="s">
        <v>44</v>
      </c>
      <c r="B120" s="38" t="s">
        <v>405</v>
      </c>
      <c r="C120" s="38" t="s">
        <v>46</v>
      </c>
      <c r="D120" s="39" t="s">
        <v>7</v>
      </c>
      <c r="E120" s="39" t="s">
        <v>2197</v>
      </c>
      <c r="F120" s="40">
        <v>5277</v>
      </c>
      <c r="G120" s="41" t="s">
        <v>426</v>
      </c>
      <c r="H120" s="41" t="s">
        <v>98</v>
      </c>
    </row>
    <row r="121" spans="1:8" ht="27.6" x14ac:dyDescent="0.3">
      <c r="A121" s="38" t="s">
        <v>44</v>
      </c>
      <c r="B121" s="38" t="s">
        <v>405</v>
      </c>
      <c r="C121" s="38" t="s">
        <v>46</v>
      </c>
      <c r="D121" s="39" t="s">
        <v>7</v>
      </c>
      <c r="E121" s="39" t="s">
        <v>2197</v>
      </c>
      <c r="F121" s="40">
        <v>4555</v>
      </c>
      <c r="G121" s="41" t="s">
        <v>428</v>
      </c>
      <c r="H121" s="41" t="s">
        <v>98</v>
      </c>
    </row>
    <row r="122" spans="1:8" ht="27.6" x14ac:dyDescent="0.3">
      <c r="A122" s="38" t="s">
        <v>52</v>
      </c>
      <c r="B122" s="38" t="s">
        <v>429</v>
      </c>
      <c r="C122" s="38" t="s">
        <v>430</v>
      </c>
      <c r="D122" s="39" t="s">
        <v>121</v>
      </c>
      <c r="E122" s="39" t="s">
        <v>2172</v>
      </c>
      <c r="F122" s="40">
        <v>500</v>
      </c>
      <c r="G122" s="41" t="s">
        <v>432</v>
      </c>
      <c r="H122" s="41" t="s">
        <v>433</v>
      </c>
    </row>
    <row r="123" spans="1:8" ht="27.6" x14ac:dyDescent="0.3">
      <c r="A123" s="38" t="s">
        <v>52</v>
      </c>
      <c r="B123" s="38" t="s">
        <v>429</v>
      </c>
      <c r="C123" s="38" t="s">
        <v>430</v>
      </c>
      <c r="D123" s="39" t="s">
        <v>141</v>
      </c>
      <c r="E123" s="39" t="s">
        <v>2172</v>
      </c>
      <c r="F123" s="40">
        <v>630</v>
      </c>
      <c r="G123" s="41" t="s">
        <v>435</v>
      </c>
      <c r="H123" s="41" t="s">
        <v>433</v>
      </c>
    </row>
    <row r="124" spans="1:8" ht="27.6" x14ac:dyDescent="0.3">
      <c r="A124" s="38" t="s">
        <v>52</v>
      </c>
      <c r="B124" s="38" t="s">
        <v>429</v>
      </c>
      <c r="C124" s="38" t="s">
        <v>430</v>
      </c>
      <c r="D124" s="39" t="s">
        <v>141</v>
      </c>
      <c r="E124" s="39" t="s">
        <v>2172</v>
      </c>
      <c r="F124" s="40">
        <v>1695</v>
      </c>
      <c r="G124" s="41" t="s">
        <v>435</v>
      </c>
      <c r="H124" s="41" t="s">
        <v>433</v>
      </c>
    </row>
    <row r="125" spans="1:8" ht="27.6" x14ac:dyDescent="0.3">
      <c r="A125" s="38" t="s">
        <v>52</v>
      </c>
      <c r="B125" s="38" t="s">
        <v>429</v>
      </c>
      <c r="C125" s="38" t="s">
        <v>430</v>
      </c>
      <c r="D125" s="39" t="s">
        <v>141</v>
      </c>
      <c r="E125" s="39" t="s">
        <v>2207</v>
      </c>
      <c r="F125" s="40">
        <v>3831</v>
      </c>
      <c r="G125" s="41" t="s">
        <v>438</v>
      </c>
      <c r="H125" s="41" t="s">
        <v>168</v>
      </c>
    </row>
    <row r="126" spans="1:8" ht="27.6" x14ac:dyDescent="0.3">
      <c r="A126" s="38" t="s">
        <v>52</v>
      </c>
      <c r="B126" s="38" t="s">
        <v>429</v>
      </c>
      <c r="C126" s="38" t="s">
        <v>439</v>
      </c>
      <c r="D126" s="39" t="s">
        <v>195</v>
      </c>
      <c r="E126" s="39" t="s">
        <v>2203</v>
      </c>
      <c r="F126" s="40">
        <v>70000</v>
      </c>
      <c r="G126" s="41" t="s">
        <v>441</v>
      </c>
      <c r="H126" s="41" t="s">
        <v>79</v>
      </c>
    </row>
    <row r="127" spans="1:8" ht="27.6" x14ac:dyDescent="0.3">
      <c r="A127" s="38" t="s">
        <v>52</v>
      </c>
      <c r="B127" s="38" t="s">
        <v>429</v>
      </c>
      <c r="C127" s="38" t="s">
        <v>442</v>
      </c>
      <c r="D127" s="39" t="s">
        <v>141</v>
      </c>
      <c r="E127" s="39" t="s">
        <v>2213</v>
      </c>
      <c r="F127" s="40">
        <v>30145</v>
      </c>
      <c r="G127" s="41" t="s">
        <v>444</v>
      </c>
      <c r="H127" s="41" t="s">
        <v>393</v>
      </c>
    </row>
    <row r="128" spans="1:8" ht="27.6" x14ac:dyDescent="0.3">
      <c r="A128" s="38" t="s">
        <v>52</v>
      </c>
      <c r="B128" s="38" t="s">
        <v>429</v>
      </c>
      <c r="C128" s="38" t="s">
        <v>445</v>
      </c>
      <c r="D128" s="39" t="s">
        <v>81</v>
      </c>
      <c r="E128" s="39" t="s">
        <v>2215</v>
      </c>
      <c r="F128" s="40">
        <v>17419</v>
      </c>
      <c r="G128" s="41" t="s">
        <v>447</v>
      </c>
      <c r="H128" s="41" t="s">
        <v>183</v>
      </c>
    </row>
    <row r="129" spans="1:8" ht="27.6" x14ac:dyDescent="0.3">
      <c r="A129" s="38" t="s">
        <v>52</v>
      </c>
      <c r="B129" s="38" t="s">
        <v>429</v>
      </c>
      <c r="C129" s="38" t="s">
        <v>448</v>
      </c>
      <c r="D129" s="39" t="s">
        <v>81</v>
      </c>
      <c r="E129" s="39" t="s">
        <v>2182</v>
      </c>
      <c r="F129" s="40">
        <v>6968</v>
      </c>
      <c r="G129" s="41" t="s">
        <v>450</v>
      </c>
      <c r="H129" s="41" t="s">
        <v>239</v>
      </c>
    </row>
    <row r="130" spans="1:8" ht="27.6" x14ac:dyDescent="0.3">
      <c r="A130" s="38" t="s">
        <v>52</v>
      </c>
      <c r="B130" s="38" t="s">
        <v>429</v>
      </c>
      <c r="C130" s="38" t="s">
        <v>451</v>
      </c>
      <c r="D130" s="39" t="s">
        <v>81</v>
      </c>
      <c r="E130" s="39" t="s">
        <v>2182</v>
      </c>
      <c r="F130" s="40">
        <v>6968</v>
      </c>
      <c r="G130" s="41" t="s">
        <v>453</v>
      </c>
      <c r="H130" s="41" t="s">
        <v>239</v>
      </c>
    </row>
    <row r="131" spans="1:8" ht="27.6" x14ac:dyDescent="0.3">
      <c r="A131" s="38" t="s">
        <v>52</v>
      </c>
      <c r="B131" s="38" t="s">
        <v>429</v>
      </c>
      <c r="C131" s="38" t="s">
        <v>454</v>
      </c>
      <c r="D131" s="39" t="s">
        <v>81</v>
      </c>
      <c r="E131" s="39" t="s">
        <v>2172</v>
      </c>
      <c r="F131" s="40">
        <v>20894</v>
      </c>
      <c r="G131" s="41" t="s">
        <v>456</v>
      </c>
      <c r="H131" s="41" t="s">
        <v>163</v>
      </c>
    </row>
    <row r="132" spans="1:8" ht="27.6" x14ac:dyDescent="0.3">
      <c r="A132" s="38" t="s">
        <v>52</v>
      </c>
      <c r="B132" s="38" t="s">
        <v>457</v>
      </c>
      <c r="C132" s="38" t="s">
        <v>458</v>
      </c>
      <c r="D132" s="39" t="s">
        <v>141</v>
      </c>
      <c r="E132" s="39" t="s">
        <v>2176</v>
      </c>
      <c r="F132" s="40">
        <v>53100</v>
      </c>
      <c r="G132" s="41" t="s">
        <v>460</v>
      </c>
      <c r="H132" s="41" t="s">
        <v>58</v>
      </c>
    </row>
    <row r="133" spans="1:8" ht="69" x14ac:dyDescent="0.3">
      <c r="A133" s="38" t="s">
        <v>52</v>
      </c>
      <c r="B133" s="38" t="s">
        <v>457</v>
      </c>
      <c r="C133" s="38" t="s">
        <v>461</v>
      </c>
      <c r="D133" s="39" t="s">
        <v>141</v>
      </c>
      <c r="E133" s="39" t="s">
        <v>2152</v>
      </c>
      <c r="F133" s="40">
        <v>10220</v>
      </c>
      <c r="G133" s="41" t="s">
        <v>463</v>
      </c>
      <c r="H133" s="41" t="s">
        <v>94</v>
      </c>
    </row>
    <row r="134" spans="1:8" ht="27.6" x14ac:dyDescent="0.3">
      <c r="A134" s="38" t="s">
        <v>52</v>
      </c>
      <c r="B134" s="38" t="s">
        <v>457</v>
      </c>
      <c r="C134" s="38" t="s">
        <v>464</v>
      </c>
      <c r="D134" s="39" t="s">
        <v>141</v>
      </c>
      <c r="E134" s="39" t="s">
        <v>2178</v>
      </c>
      <c r="F134" s="40">
        <v>13660</v>
      </c>
      <c r="G134" s="41" t="s">
        <v>466</v>
      </c>
      <c r="H134" s="41" t="s">
        <v>337</v>
      </c>
    </row>
    <row r="135" spans="1:8" ht="27.6" x14ac:dyDescent="0.3">
      <c r="A135" s="38" t="s">
        <v>52</v>
      </c>
      <c r="B135" s="38" t="s">
        <v>457</v>
      </c>
      <c r="C135" s="38" t="s">
        <v>467</v>
      </c>
      <c r="D135" s="39" t="s">
        <v>141</v>
      </c>
      <c r="E135" s="39" t="s">
        <v>2178</v>
      </c>
      <c r="F135" s="40">
        <v>11910</v>
      </c>
      <c r="G135" s="41" t="s">
        <v>469</v>
      </c>
      <c r="H135" s="41" t="s">
        <v>337</v>
      </c>
    </row>
    <row r="136" spans="1:8" ht="27.6" x14ac:dyDescent="0.3">
      <c r="A136" s="38" t="s">
        <v>52</v>
      </c>
      <c r="B136" s="38" t="s">
        <v>457</v>
      </c>
      <c r="C136" s="38" t="s">
        <v>470</v>
      </c>
      <c r="D136" s="39" t="s">
        <v>471</v>
      </c>
      <c r="E136" s="39" t="s">
        <v>2193</v>
      </c>
      <c r="F136" s="40">
        <v>4084</v>
      </c>
      <c r="G136" s="41" t="s">
        <v>473</v>
      </c>
      <c r="H136" s="41" t="s">
        <v>211</v>
      </c>
    </row>
    <row r="137" spans="1:8" ht="27.6" x14ac:dyDescent="0.3">
      <c r="A137" s="38" t="s">
        <v>52</v>
      </c>
      <c r="B137" s="38" t="s">
        <v>457</v>
      </c>
      <c r="C137" s="38" t="s">
        <v>470</v>
      </c>
      <c r="D137" s="39" t="s">
        <v>471</v>
      </c>
      <c r="E137" s="39" t="s">
        <v>2193</v>
      </c>
      <c r="F137" s="40">
        <v>2042</v>
      </c>
      <c r="G137" s="41" t="s">
        <v>475</v>
      </c>
      <c r="H137" s="41" t="s">
        <v>211</v>
      </c>
    </row>
    <row r="138" spans="1:8" ht="41.4" x14ac:dyDescent="0.3">
      <c r="A138" s="38" t="s">
        <v>52</v>
      </c>
      <c r="B138" s="38" t="s">
        <v>457</v>
      </c>
      <c r="C138" s="38" t="s">
        <v>470</v>
      </c>
      <c r="D138" s="39" t="s">
        <v>110</v>
      </c>
      <c r="E138" s="39" t="s">
        <v>2150</v>
      </c>
      <c r="F138" s="40">
        <v>4000</v>
      </c>
      <c r="G138" s="41" t="s">
        <v>477</v>
      </c>
      <c r="H138" s="41" t="s">
        <v>478</v>
      </c>
    </row>
    <row r="139" spans="1:8" x14ac:dyDescent="0.3">
      <c r="A139" s="38" t="s">
        <v>52</v>
      </c>
      <c r="B139" s="38" t="s">
        <v>479</v>
      </c>
      <c r="C139" s="38" t="s">
        <v>480</v>
      </c>
      <c r="D139" s="39" t="s">
        <v>115</v>
      </c>
      <c r="E139" s="39" t="s">
        <v>2167</v>
      </c>
      <c r="F139" s="40">
        <v>1100</v>
      </c>
      <c r="G139" s="41" t="s">
        <v>482</v>
      </c>
      <c r="H139" s="41" t="s">
        <v>70</v>
      </c>
    </row>
    <row r="140" spans="1:8" ht="27.6" x14ac:dyDescent="0.3">
      <c r="A140" s="38" t="s">
        <v>52</v>
      </c>
      <c r="B140" s="38" t="s">
        <v>479</v>
      </c>
      <c r="C140" s="38" t="s">
        <v>483</v>
      </c>
      <c r="D140" s="39" t="s">
        <v>216</v>
      </c>
      <c r="E140" s="39" t="s">
        <v>2159</v>
      </c>
      <c r="F140" s="40">
        <v>638</v>
      </c>
      <c r="G140" s="41" t="s">
        <v>485</v>
      </c>
      <c r="H140" s="41" t="s">
        <v>486</v>
      </c>
    </row>
    <row r="141" spans="1:8" x14ac:dyDescent="0.3">
      <c r="A141" s="38" t="s">
        <v>52</v>
      </c>
      <c r="B141" s="38" t="s">
        <v>479</v>
      </c>
      <c r="C141" s="38" t="s">
        <v>483</v>
      </c>
      <c r="D141" s="39" t="s">
        <v>62</v>
      </c>
      <c r="E141" s="39" t="s">
        <v>2159</v>
      </c>
      <c r="F141" s="40">
        <v>1458</v>
      </c>
      <c r="G141" s="41" t="s">
        <v>488</v>
      </c>
      <c r="H141" s="41" t="s">
        <v>489</v>
      </c>
    </row>
    <row r="142" spans="1:8" ht="27.6" x14ac:dyDescent="0.3">
      <c r="A142" s="38" t="s">
        <v>52</v>
      </c>
      <c r="B142" s="38" t="s">
        <v>479</v>
      </c>
      <c r="C142" s="38" t="s">
        <v>483</v>
      </c>
      <c r="D142" s="39" t="s">
        <v>141</v>
      </c>
      <c r="E142" s="39" t="s">
        <v>2215</v>
      </c>
      <c r="F142" s="40">
        <v>203</v>
      </c>
      <c r="G142" s="41" t="s">
        <v>491</v>
      </c>
      <c r="H142" s="41" t="s">
        <v>183</v>
      </c>
    </row>
    <row r="143" spans="1:8" ht="27.6" x14ac:dyDescent="0.3">
      <c r="A143" s="38" t="s">
        <v>52</v>
      </c>
      <c r="B143" s="38" t="s">
        <v>479</v>
      </c>
      <c r="C143" s="38" t="s">
        <v>492</v>
      </c>
      <c r="D143" s="39" t="s">
        <v>62</v>
      </c>
      <c r="E143" s="39" t="s">
        <v>2213</v>
      </c>
      <c r="F143" s="40">
        <v>10000</v>
      </c>
      <c r="G143" s="41" t="s">
        <v>494</v>
      </c>
      <c r="H143" s="41" t="s">
        <v>393</v>
      </c>
    </row>
    <row r="144" spans="1:8" ht="27.6" x14ac:dyDescent="0.3">
      <c r="A144" s="38" t="s">
        <v>52</v>
      </c>
      <c r="B144" s="38" t="s">
        <v>479</v>
      </c>
      <c r="C144" s="38" t="s">
        <v>492</v>
      </c>
      <c r="D144" s="39" t="s">
        <v>141</v>
      </c>
      <c r="E144" s="39" t="s">
        <v>2193</v>
      </c>
      <c r="F144" s="40">
        <v>7740</v>
      </c>
      <c r="G144" s="41" t="s">
        <v>496</v>
      </c>
      <c r="H144" s="41" t="s">
        <v>211</v>
      </c>
    </row>
    <row r="145" spans="1:8" x14ac:dyDescent="0.3">
      <c r="A145" s="38" t="s">
        <v>52</v>
      </c>
      <c r="B145" s="38" t="s">
        <v>479</v>
      </c>
      <c r="C145" s="38" t="s">
        <v>492</v>
      </c>
      <c r="D145" s="39" t="s">
        <v>130</v>
      </c>
      <c r="E145" s="39" t="s">
        <v>2189</v>
      </c>
      <c r="F145" s="40">
        <v>2200</v>
      </c>
      <c r="G145" s="41" t="s">
        <v>498</v>
      </c>
      <c r="H145" s="41" t="s">
        <v>499</v>
      </c>
    </row>
    <row r="146" spans="1:8" ht="27.6" x14ac:dyDescent="0.3">
      <c r="A146" s="38" t="s">
        <v>52</v>
      </c>
      <c r="B146" s="38" t="s">
        <v>479</v>
      </c>
      <c r="C146" s="38" t="s">
        <v>500</v>
      </c>
      <c r="D146" s="39" t="s">
        <v>322</v>
      </c>
      <c r="E146" s="39" t="s">
        <v>2176</v>
      </c>
      <c r="F146" s="40">
        <v>9193</v>
      </c>
      <c r="G146" s="41" t="s">
        <v>502</v>
      </c>
      <c r="H146" s="41" t="s">
        <v>58</v>
      </c>
    </row>
    <row r="147" spans="1:8" ht="27.6" x14ac:dyDescent="0.3">
      <c r="A147" s="38" t="s">
        <v>52</v>
      </c>
      <c r="B147" s="38" t="s">
        <v>479</v>
      </c>
      <c r="C147" s="38" t="s">
        <v>500</v>
      </c>
      <c r="D147" s="39" t="s">
        <v>322</v>
      </c>
      <c r="E147" s="39" t="s">
        <v>2176</v>
      </c>
      <c r="F147" s="40">
        <v>5000</v>
      </c>
      <c r="G147" s="41" t="s">
        <v>504</v>
      </c>
      <c r="H147" s="41" t="s">
        <v>58</v>
      </c>
    </row>
    <row r="148" spans="1:8" ht="27.6" x14ac:dyDescent="0.3">
      <c r="A148" s="38" t="s">
        <v>52</v>
      </c>
      <c r="B148" s="38" t="s">
        <v>479</v>
      </c>
      <c r="C148" s="38" t="s">
        <v>500</v>
      </c>
      <c r="D148" s="39" t="s">
        <v>130</v>
      </c>
      <c r="E148" s="39" t="s">
        <v>2207</v>
      </c>
      <c r="F148" s="40">
        <v>1200</v>
      </c>
      <c r="G148" s="41" t="s">
        <v>506</v>
      </c>
      <c r="H148" s="41" t="s">
        <v>168</v>
      </c>
    </row>
    <row r="149" spans="1:8" ht="27.6" x14ac:dyDescent="0.3">
      <c r="A149" s="38" t="s">
        <v>52</v>
      </c>
      <c r="B149" s="38" t="s">
        <v>479</v>
      </c>
      <c r="C149" s="38" t="s">
        <v>500</v>
      </c>
      <c r="D149" s="39" t="s">
        <v>130</v>
      </c>
      <c r="E149" s="39" t="s">
        <v>2207</v>
      </c>
      <c r="F149" s="40">
        <v>1395</v>
      </c>
      <c r="G149" s="41" t="s">
        <v>508</v>
      </c>
      <c r="H149" s="41" t="s">
        <v>168</v>
      </c>
    </row>
    <row r="150" spans="1:8" ht="27.6" x14ac:dyDescent="0.3">
      <c r="A150" s="38" t="s">
        <v>52</v>
      </c>
      <c r="B150" s="38" t="s">
        <v>479</v>
      </c>
      <c r="C150" s="38" t="s">
        <v>500</v>
      </c>
      <c r="D150" s="39" t="s">
        <v>232</v>
      </c>
      <c r="E150" s="39" t="s">
        <v>2170</v>
      </c>
      <c r="F150" s="40">
        <v>6000</v>
      </c>
      <c r="G150" s="41" t="s">
        <v>510</v>
      </c>
      <c r="H150" s="41" t="s">
        <v>84</v>
      </c>
    </row>
    <row r="151" spans="1:8" ht="27.6" x14ac:dyDescent="0.3">
      <c r="A151" s="38" t="s">
        <v>52</v>
      </c>
      <c r="B151" s="38" t="s">
        <v>479</v>
      </c>
      <c r="C151" s="38" t="s">
        <v>500</v>
      </c>
      <c r="D151" s="39" t="s">
        <v>141</v>
      </c>
      <c r="E151" s="39" t="s">
        <v>2213</v>
      </c>
      <c r="F151" s="40">
        <v>2378</v>
      </c>
      <c r="G151" s="41" t="s">
        <v>512</v>
      </c>
      <c r="H151" s="41" t="s">
        <v>393</v>
      </c>
    </row>
    <row r="152" spans="1:8" ht="27.6" x14ac:dyDescent="0.3">
      <c r="A152" s="38" t="s">
        <v>52</v>
      </c>
      <c r="B152" s="38" t="s">
        <v>479</v>
      </c>
      <c r="C152" s="38" t="s">
        <v>513</v>
      </c>
      <c r="D152" s="39" t="s">
        <v>124</v>
      </c>
      <c r="E152" s="39" t="s">
        <v>2207</v>
      </c>
      <c r="F152" s="40">
        <v>1320</v>
      </c>
      <c r="G152" s="41" t="s">
        <v>515</v>
      </c>
      <c r="H152" s="41" t="s">
        <v>168</v>
      </c>
    </row>
    <row r="153" spans="1:8" ht="27.6" x14ac:dyDescent="0.3">
      <c r="A153" s="38" t="s">
        <v>52</v>
      </c>
      <c r="B153" s="38" t="s">
        <v>516</v>
      </c>
      <c r="C153" s="38" t="s">
        <v>517</v>
      </c>
      <c r="D153" s="39" t="s">
        <v>141</v>
      </c>
      <c r="E153" s="39" t="s">
        <v>2178</v>
      </c>
      <c r="F153" s="40">
        <v>16430</v>
      </c>
      <c r="G153" s="41" t="s">
        <v>519</v>
      </c>
      <c r="H153" s="41" t="s">
        <v>337</v>
      </c>
    </row>
    <row r="154" spans="1:8" ht="41.4" x14ac:dyDescent="0.3">
      <c r="A154" s="38" t="s">
        <v>52</v>
      </c>
      <c r="B154" s="38" t="s">
        <v>516</v>
      </c>
      <c r="C154" s="38" t="s">
        <v>520</v>
      </c>
      <c r="D154" s="39" t="s">
        <v>110</v>
      </c>
      <c r="E154" s="39" t="s">
        <v>2152</v>
      </c>
      <c r="F154" s="40">
        <v>13000</v>
      </c>
      <c r="G154" s="41" t="s">
        <v>522</v>
      </c>
      <c r="H154" s="41" t="s">
        <v>65</v>
      </c>
    </row>
    <row r="155" spans="1:8" ht="27.6" x14ac:dyDescent="0.3">
      <c r="A155" s="38" t="s">
        <v>52</v>
      </c>
      <c r="B155" s="38" t="s">
        <v>516</v>
      </c>
      <c r="C155" s="38" t="s">
        <v>523</v>
      </c>
      <c r="D155" s="39" t="s">
        <v>245</v>
      </c>
      <c r="E155" s="39" t="s">
        <v>2159</v>
      </c>
      <c r="F155" s="40">
        <v>10000</v>
      </c>
      <c r="G155" s="41" t="s">
        <v>525</v>
      </c>
      <c r="H155" s="41" t="s">
        <v>526</v>
      </c>
    </row>
    <row r="156" spans="1:8" ht="41.4" x14ac:dyDescent="0.3">
      <c r="A156" s="38" t="s">
        <v>52</v>
      </c>
      <c r="B156" s="38" t="s">
        <v>516</v>
      </c>
      <c r="C156" s="38" t="s">
        <v>527</v>
      </c>
      <c r="D156" s="39" t="s">
        <v>110</v>
      </c>
      <c r="E156" s="39" t="s">
        <v>2174</v>
      </c>
      <c r="F156" s="40">
        <v>11157</v>
      </c>
      <c r="G156" s="41" t="s">
        <v>529</v>
      </c>
      <c r="H156" s="41" t="s">
        <v>74</v>
      </c>
    </row>
    <row r="157" spans="1:8" ht="27.6" x14ac:dyDescent="0.3">
      <c r="A157" s="38" t="s">
        <v>52</v>
      </c>
      <c r="B157" s="38" t="s">
        <v>516</v>
      </c>
      <c r="C157" s="38" t="s">
        <v>530</v>
      </c>
      <c r="D157" s="39" t="s">
        <v>115</v>
      </c>
      <c r="E157" s="39" t="s">
        <v>2150</v>
      </c>
      <c r="F157" s="40">
        <v>10175</v>
      </c>
      <c r="G157" s="41" t="s">
        <v>532</v>
      </c>
      <c r="H157" s="41" t="s">
        <v>478</v>
      </c>
    </row>
    <row r="158" spans="1:8" ht="27.6" x14ac:dyDescent="0.3">
      <c r="A158" s="38" t="s">
        <v>52</v>
      </c>
      <c r="B158" s="38" t="s">
        <v>516</v>
      </c>
      <c r="C158" s="38" t="s">
        <v>533</v>
      </c>
      <c r="D158" s="39" t="s">
        <v>115</v>
      </c>
      <c r="E158" s="39" t="s">
        <v>2150</v>
      </c>
      <c r="F158" s="40">
        <v>192</v>
      </c>
      <c r="G158" s="41" t="s">
        <v>535</v>
      </c>
      <c r="H158" s="41" t="s">
        <v>478</v>
      </c>
    </row>
    <row r="159" spans="1:8" ht="27.6" x14ac:dyDescent="0.3">
      <c r="A159" s="38" t="s">
        <v>52</v>
      </c>
      <c r="B159" s="38" t="s">
        <v>516</v>
      </c>
      <c r="C159" s="38" t="s">
        <v>533</v>
      </c>
      <c r="D159" s="39" t="s">
        <v>216</v>
      </c>
      <c r="E159" s="39" t="s">
        <v>2146</v>
      </c>
      <c r="F159" s="40">
        <v>629</v>
      </c>
      <c r="G159" s="41" t="s">
        <v>537</v>
      </c>
      <c r="H159" s="41" t="s">
        <v>49</v>
      </c>
    </row>
    <row r="160" spans="1:8" x14ac:dyDescent="0.3">
      <c r="A160" s="38" t="s">
        <v>52</v>
      </c>
      <c r="B160" s="38" t="s">
        <v>516</v>
      </c>
      <c r="C160" s="38" t="s">
        <v>533</v>
      </c>
      <c r="D160" s="39" t="s">
        <v>124</v>
      </c>
      <c r="E160" s="39" t="s">
        <v>2217</v>
      </c>
      <c r="F160" s="40">
        <v>80</v>
      </c>
      <c r="G160" s="41" t="s">
        <v>327</v>
      </c>
      <c r="H160" s="41" t="s">
        <v>328</v>
      </c>
    </row>
    <row r="161" spans="1:8" ht="27.6" x14ac:dyDescent="0.3">
      <c r="A161" s="38" t="s">
        <v>52</v>
      </c>
      <c r="B161" s="38" t="s">
        <v>516</v>
      </c>
      <c r="C161" s="38" t="s">
        <v>533</v>
      </c>
      <c r="D161" s="39" t="s">
        <v>141</v>
      </c>
      <c r="E161" s="39" t="s">
        <v>2217</v>
      </c>
      <c r="F161" s="40">
        <v>72</v>
      </c>
      <c r="G161" s="41" t="s">
        <v>327</v>
      </c>
      <c r="H161" s="41" t="s">
        <v>328</v>
      </c>
    </row>
    <row r="162" spans="1:8" ht="41.4" x14ac:dyDescent="0.3">
      <c r="A162" s="38" t="s">
        <v>52</v>
      </c>
      <c r="B162" s="38" t="s">
        <v>516</v>
      </c>
      <c r="C162" s="38" t="s">
        <v>539</v>
      </c>
      <c r="D162" s="39" t="s">
        <v>110</v>
      </c>
      <c r="E162" s="39" t="s">
        <v>2174</v>
      </c>
      <c r="F162" s="40">
        <v>13739</v>
      </c>
      <c r="G162" s="41" t="s">
        <v>541</v>
      </c>
      <c r="H162" s="41" t="s">
        <v>74</v>
      </c>
    </row>
    <row r="163" spans="1:8" ht="41.4" x14ac:dyDescent="0.3">
      <c r="A163" s="38" t="s">
        <v>52</v>
      </c>
      <c r="B163" s="38" t="s">
        <v>516</v>
      </c>
      <c r="C163" s="38" t="s">
        <v>542</v>
      </c>
      <c r="D163" s="39" t="s">
        <v>110</v>
      </c>
      <c r="E163" s="39" t="s">
        <v>2174</v>
      </c>
      <c r="F163" s="40">
        <v>10042</v>
      </c>
      <c r="G163" s="41" t="s">
        <v>529</v>
      </c>
      <c r="H163" s="41" t="s">
        <v>74</v>
      </c>
    </row>
    <row r="164" spans="1:8" ht="41.4" x14ac:dyDescent="0.3">
      <c r="A164" s="38" t="s">
        <v>52</v>
      </c>
      <c r="B164" s="38" t="s">
        <v>516</v>
      </c>
      <c r="C164" s="38" t="s">
        <v>544</v>
      </c>
      <c r="D164" s="39" t="s">
        <v>110</v>
      </c>
      <c r="E164" s="39" t="s">
        <v>2174</v>
      </c>
      <c r="F164" s="40">
        <v>10588</v>
      </c>
      <c r="G164" s="41" t="s">
        <v>529</v>
      </c>
      <c r="H164" s="41" t="s">
        <v>74</v>
      </c>
    </row>
    <row r="165" spans="1:8" x14ac:dyDescent="0.3">
      <c r="A165" s="38" t="s">
        <v>52</v>
      </c>
      <c r="B165" s="38" t="s">
        <v>516</v>
      </c>
      <c r="C165" s="38" t="s">
        <v>546</v>
      </c>
      <c r="D165" s="39" t="s">
        <v>115</v>
      </c>
      <c r="E165" s="39" t="s">
        <v>2167</v>
      </c>
      <c r="F165" s="40">
        <v>22400</v>
      </c>
      <c r="G165" s="41" t="s">
        <v>548</v>
      </c>
      <c r="H165" s="41" t="s">
        <v>70</v>
      </c>
    </row>
    <row r="166" spans="1:8" x14ac:dyDescent="0.3">
      <c r="A166" s="38" t="s">
        <v>52</v>
      </c>
      <c r="B166" s="38" t="s">
        <v>516</v>
      </c>
      <c r="C166" s="38" t="s">
        <v>549</v>
      </c>
      <c r="D166" s="39" t="s">
        <v>115</v>
      </c>
      <c r="E166" s="39" t="s">
        <v>2155</v>
      </c>
      <c r="F166" s="40">
        <v>17125</v>
      </c>
      <c r="G166" s="41" t="s">
        <v>551</v>
      </c>
      <c r="H166" s="41" t="s">
        <v>118</v>
      </c>
    </row>
    <row r="167" spans="1:8" ht="27.6" x14ac:dyDescent="0.3">
      <c r="A167" s="38" t="s">
        <v>52</v>
      </c>
      <c r="B167" s="38" t="s">
        <v>516</v>
      </c>
      <c r="C167" s="38" t="s">
        <v>552</v>
      </c>
      <c r="D167" s="39" t="s">
        <v>216</v>
      </c>
      <c r="E167" s="39" t="s">
        <v>2146</v>
      </c>
      <c r="F167" s="40">
        <v>660</v>
      </c>
      <c r="G167" s="41" t="s">
        <v>554</v>
      </c>
      <c r="H167" s="41" t="s">
        <v>49</v>
      </c>
    </row>
    <row r="168" spans="1:8" ht="27.6" x14ac:dyDescent="0.3">
      <c r="A168" s="38" t="s">
        <v>52</v>
      </c>
      <c r="B168" s="38" t="s">
        <v>516</v>
      </c>
      <c r="C168" s="38" t="s">
        <v>552</v>
      </c>
      <c r="D168" s="39" t="s">
        <v>216</v>
      </c>
      <c r="E168" s="39" t="s">
        <v>2168</v>
      </c>
      <c r="F168" s="40">
        <v>1263</v>
      </c>
      <c r="G168" s="41" t="s">
        <v>556</v>
      </c>
      <c r="H168" s="41" t="s">
        <v>133</v>
      </c>
    </row>
    <row r="169" spans="1:8" ht="27.6" x14ac:dyDescent="0.3">
      <c r="A169" s="38" t="s">
        <v>52</v>
      </c>
      <c r="B169" s="38" t="s">
        <v>516</v>
      </c>
      <c r="C169" s="38" t="s">
        <v>552</v>
      </c>
      <c r="D169" s="39" t="s">
        <v>245</v>
      </c>
      <c r="E169" s="39" t="s">
        <v>2209</v>
      </c>
      <c r="F169" s="40">
        <v>10000</v>
      </c>
      <c r="G169" s="41" t="s">
        <v>558</v>
      </c>
      <c r="H169" s="41" t="s">
        <v>559</v>
      </c>
    </row>
    <row r="170" spans="1:8" ht="27.6" x14ac:dyDescent="0.3">
      <c r="A170" s="38" t="s">
        <v>52</v>
      </c>
      <c r="B170" s="38" t="s">
        <v>516</v>
      </c>
      <c r="C170" s="38" t="s">
        <v>560</v>
      </c>
      <c r="D170" s="39" t="s">
        <v>55</v>
      </c>
      <c r="E170" s="39" t="s">
        <v>2167</v>
      </c>
      <c r="F170" s="40">
        <v>5000</v>
      </c>
      <c r="G170" s="41" t="s">
        <v>562</v>
      </c>
      <c r="H170" s="41" t="s">
        <v>70</v>
      </c>
    </row>
    <row r="171" spans="1:8" ht="27.6" x14ac:dyDescent="0.3">
      <c r="A171" s="38" t="s">
        <v>52</v>
      </c>
      <c r="B171" s="38" t="s">
        <v>516</v>
      </c>
      <c r="C171" s="38" t="s">
        <v>560</v>
      </c>
      <c r="D171" s="39" t="s">
        <v>55</v>
      </c>
      <c r="E171" s="39" t="s">
        <v>2167</v>
      </c>
      <c r="F171" s="40">
        <v>5000</v>
      </c>
      <c r="G171" s="41" t="s">
        <v>564</v>
      </c>
      <c r="H171" s="41" t="s">
        <v>70</v>
      </c>
    </row>
    <row r="172" spans="1:8" ht="27.6" x14ac:dyDescent="0.3">
      <c r="A172" s="38" t="s">
        <v>52</v>
      </c>
      <c r="B172" s="38" t="s">
        <v>516</v>
      </c>
      <c r="C172" s="38" t="s">
        <v>560</v>
      </c>
      <c r="D172" s="39" t="s">
        <v>55</v>
      </c>
      <c r="E172" s="39" t="s">
        <v>2167</v>
      </c>
      <c r="F172" s="40">
        <v>5000</v>
      </c>
      <c r="G172" s="41" t="s">
        <v>566</v>
      </c>
      <c r="H172" s="41" t="s">
        <v>70</v>
      </c>
    </row>
    <row r="173" spans="1:8" ht="27.6" x14ac:dyDescent="0.3">
      <c r="A173" s="38" t="s">
        <v>52</v>
      </c>
      <c r="B173" s="38" t="s">
        <v>516</v>
      </c>
      <c r="C173" s="38" t="s">
        <v>560</v>
      </c>
      <c r="D173" s="39" t="s">
        <v>55</v>
      </c>
      <c r="E173" s="39" t="s">
        <v>2167</v>
      </c>
      <c r="F173" s="40">
        <v>5000</v>
      </c>
      <c r="G173" s="41" t="s">
        <v>568</v>
      </c>
      <c r="H173" s="41" t="s">
        <v>70</v>
      </c>
    </row>
    <row r="174" spans="1:8" ht="27.6" x14ac:dyDescent="0.3">
      <c r="A174" s="38" t="s">
        <v>52</v>
      </c>
      <c r="B174" s="38" t="s">
        <v>516</v>
      </c>
      <c r="C174" s="38" t="s">
        <v>560</v>
      </c>
      <c r="D174" s="39" t="s">
        <v>55</v>
      </c>
      <c r="E174" s="39" t="s">
        <v>2167</v>
      </c>
      <c r="F174" s="40">
        <v>5000</v>
      </c>
      <c r="G174" s="41" t="s">
        <v>570</v>
      </c>
      <c r="H174" s="41" t="s">
        <v>70</v>
      </c>
    </row>
    <row r="175" spans="1:8" ht="27.6" x14ac:dyDescent="0.3">
      <c r="A175" s="38" t="s">
        <v>52</v>
      </c>
      <c r="B175" s="38" t="s">
        <v>516</v>
      </c>
      <c r="C175" s="38" t="s">
        <v>560</v>
      </c>
      <c r="D175" s="39" t="s">
        <v>55</v>
      </c>
      <c r="E175" s="39" t="s">
        <v>2167</v>
      </c>
      <c r="F175" s="40">
        <v>5000</v>
      </c>
      <c r="G175" s="41" t="s">
        <v>572</v>
      </c>
      <c r="H175" s="41" t="s">
        <v>70</v>
      </c>
    </row>
    <row r="176" spans="1:8" ht="27.6" x14ac:dyDescent="0.3">
      <c r="A176" s="38" t="s">
        <v>52</v>
      </c>
      <c r="B176" s="38" t="s">
        <v>516</v>
      </c>
      <c r="C176" s="38" t="s">
        <v>560</v>
      </c>
      <c r="D176" s="39" t="s">
        <v>55</v>
      </c>
      <c r="E176" s="39" t="s">
        <v>2167</v>
      </c>
      <c r="F176" s="40">
        <v>5000</v>
      </c>
      <c r="G176" s="41" t="s">
        <v>574</v>
      </c>
      <c r="H176" s="41" t="s">
        <v>70</v>
      </c>
    </row>
    <row r="177" spans="1:8" ht="41.4" x14ac:dyDescent="0.3">
      <c r="A177" s="38" t="s">
        <v>52</v>
      </c>
      <c r="B177" s="38" t="s">
        <v>516</v>
      </c>
      <c r="C177" s="38" t="s">
        <v>560</v>
      </c>
      <c r="D177" s="39" t="s">
        <v>110</v>
      </c>
      <c r="E177" s="39" t="s">
        <v>2174</v>
      </c>
      <c r="F177" s="40">
        <v>7778</v>
      </c>
      <c r="G177" s="41" t="s">
        <v>541</v>
      </c>
      <c r="H177" s="41" t="s">
        <v>74</v>
      </c>
    </row>
    <row r="178" spans="1:8" ht="27.6" x14ac:dyDescent="0.3">
      <c r="A178" s="38" t="s">
        <v>52</v>
      </c>
      <c r="B178" s="38" t="s">
        <v>516</v>
      </c>
      <c r="C178" s="38" t="s">
        <v>560</v>
      </c>
      <c r="D178" s="39" t="s">
        <v>141</v>
      </c>
      <c r="E178" s="39" t="s">
        <v>2195</v>
      </c>
      <c r="F178" s="40">
        <v>1600</v>
      </c>
      <c r="G178" s="41" t="s">
        <v>577</v>
      </c>
      <c r="H178" s="41" t="s">
        <v>202</v>
      </c>
    </row>
    <row r="179" spans="1:8" ht="27.6" x14ac:dyDescent="0.3">
      <c r="A179" s="38" t="s">
        <v>52</v>
      </c>
      <c r="B179" s="38" t="s">
        <v>516</v>
      </c>
      <c r="C179" s="38" t="s">
        <v>578</v>
      </c>
      <c r="D179" s="39" t="s">
        <v>81</v>
      </c>
      <c r="E179" s="39" t="s">
        <v>2189</v>
      </c>
      <c r="F179" s="40">
        <v>12949</v>
      </c>
      <c r="G179" s="41" t="s">
        <v>580</v>
      </c>
      <c r="H179" s="41" t="s">
        <v>499</v>
      </c>
    </row>
    <row r="180" spans="1:8" ht="27.6" x14ac:dyDescent="0.3">
      <c r="A180" s="38" t="s">
        <v>52</v>
      </c>
      <c r="B180" s="38" t="s">
        <v>516</v>
      </c>
      <c r="C180" s="38" t="s">
        <v>581</v>
      </c>
      <c r="D180" s="39" t="s">
        <v>367</v>
      </c>
      <c r="E180" s="39" t="s">
        <v>2215</v>
      </c>
      <c r="F180" s="40">
        <v>13285</v>
      </c>
      <c r="G180" s="41" t="s">
        <v>583</v>
      </c>
      <c r="H180" s="41" t="s">
        <v>370</v>
      </c>
    </row>
    <row r="181" spans="1:8" x14ac:dyDescent="0.3">
      <c r="A181" s="38" t="s">
        <v>44</v>
      </c>
      <c r="B181" s="38" t="s">
        <v>584</v>
      </c>
      <c r="C181" s="38" t="s">
        <v>46</v>
      </c>
      <c r="D181" s="39" t="s">
        <v>7</v>
      </c>
      <c r="E181" s="39" t="s">
        <v>2163</v>
      </c>
      <c r="F181" s="40">
        <v>42220</v>
      </c>
      <c r="G181" s="41" t="s">
        <v>586</v>
      </c>
      <c r="H181" s="41" t="s">
        <v>587</v>
      </c>
    </row>
    <row r="182" spans="1:8" ht="27.6" x14ac:dyDescent="0.3">
      <c r="A182" s="38" t="s">
        <v>44</v>
      </c>
      <c r="B182" s="38" t="s">
        <v>588</v>
      </c>
      <c r="C182" s="38" t="s">
        <v>46</v>
      </c>
      <c r="D182" s="39" t="s">
        <v>7</v>
      </c>
      <c r="E182" s="39" t="s">
        <v>2152</v>
      </c>
      <c r="F182" s="40">
        <v>3679</v>
      </c>
      <c r="G182" s="41" t="s">
        <v>590</v>
      </c>
      <c r="H182" s="41" t="s">
        <v>591</v>
      </c>
    </row>
    <row r="183" spans="1:8" ht="27.6" x14ac:dyDescent="0.3">
      <c r="A183" s="38" t="s">
        <v>52</v>
      </c>
      <c r="B183" s="38" t="s">
        <v>592</v>
      </c>
      <c r="C183" s="38" t="s">
        <v>593</v>
      </c>
      <c r="D183" s="39" t="s">
        <v>141</v>
      </c>
      <c r="E183" s="39" t="s">
        <v>2197</v>
      </c>
      <c r="F183" s="40">
        <v>23500</v>
      </c>
      <c r="G183" s="41" t="s">
        <v>595</v>
      </c>
      <c r="H183" s="41" t="s">
        <v>98</v>
      </c>
    </row>
    <row r="184" spans="1:8" ht="41.4" x14ac:dyDescent="0.3">
      <c r="A184" s="38" t="s">
        <v>52</v>
      </c>
      <c r="B184" s="38" t="s">
        <v>592</v>
      </c>
      <c r="C184" s="38" t="s">
        <v>596</v>
      </c>
      <c r="D184" s="39" t="s">
        <v>115</v>
      </c>
      <c r="E184" s="39" t="s">
        <v>2197</v>
      </c>
      <c r="F184" s="40">
        <v>69370</v>
      </c>
      <c r="G184" s="41" t="s">
        <v>598</v>
      </c>
      <c r="H184" s="41" t="s">
        <v>98</v>
      </c>
    </row>
    <row r="185" spans="1:8" ht="27.6" x14ac:dyDescent="0.3">
      <c r="A185" s="38" t="s">
        <v>52</v>
      </c>
      <c r="B185" s="38" t="s">
        <v>592</v>
      </c>
      <c r="C185" s="38" t="s">
        <v>599</v>
      </c>
      <c r="D185" s="39" t="s">
        <v>141</v>
      </c>
      <c r="E185" s="39" t="s">
        <v>2199</v>
      </c>
      <c r="F185" s="40">
        <v>2900</v>
      </c>
      <c r="G185" s="41" t="s">
        <v>601</v>
      </c>
      <c r="H185" s="41" t="s">
        <v>353</v>
      </c>
    </row>
    <row r="186" spans="1:8" ht="55.2" x14ac:dyDescent="0.3">
      <c r="A186" s="38" t="s">
        <v>52</v>
      </c>
      <c r="B186" s="38" t="s">
        <v>592</v>
      </c>
      <c r="C186" s="38" t="s">
        <v>599</v>
      </c>
      <c r="D186" s="39" t="s">
        <v>141</v>
      </c>
      <c r="E186" s="39" t="s">
        <v>2197</v>
      </c>
      <c r="F186" s="40">
        <v>2622</v>
      </c>
      <c r="G186" s="41" t="s">
        <v>603</v>
      </c>
      <c r="H186" s="41" t="s">
        <v>98</v>
      </c>
    </row>
    <row r="187" spans="1:8" ht="55.2" x14ac:dyDescent="0.3">
      <c r="A187" s="38" t="s">
        <v>52</v>
      </c>
      <c r="B187" s="38" t="s">
        <v>592</v>
      </c>
      <c r="C187" s="38" t="s">
        <v>599</v>
      </c>
      <c r="D187" s="39" t="s">
        <v>121</v>
      </c>
      <c r="E187" s="39" t="s">
        <v>2197</v>
      </c>
      <c r="F187" s="40">
        <v>787</v>
      </c>
      <c r="G187" s="41" t="s">
        <v>603</v>
      </c>
      <c r="H187" s="41" t="s">
        <v>98</v>
      </c>
    </row>
    <row r="188" spans="1:8" ht="27.6" x14ac:dyDescent="0.3">
      <c r="A188" s="38" t="s">
        <v>52</v>
      </c>
      <c r="B188" s="38" t="s">
        <v>592</v>
      </c>
      <c r="C188" s="38" t="s">
        <v>599</v>
      </c>
      <c r="D188" s="39" t="s">
        <v>208</v>
      </c>
      <c r="E188" s="39" t="s">
        <v>2189</v>
      </c>
      <c r="F188" s="40">
        <v>2980</v>
      </c>
      <c r="G188" s="41" t="s">
        <v>605</v>
      </c>
      <c r="H188" s="41" t="s">
        <v>499</v>
      </c>
    </row>
    <row r="189" spans="1:8" ht="27.6" x14ac:dyDescent="0.3">
      <c r="A189" s="38" t="s">
        <v>52</v>
      </c>
      <c r="B189" s="38" t="s">
        <v>592</v>
      </c>
      <c r="C189" s="38" t="s">
        <v>599</v>
      </c>
      <c r="D189" s="39" t="s">
        <v>141</v>
      </c>
      <c r="E189" s="39" t="s">
        <v>2168</v>
      </c>
      <c r="F189" s="40">
        <v>1289</v>
      </c>
      <c r="G189" s="41" t="s">
        <v>607</v>
      </c>
      <c r="H189" s="41" t="s">
        <v>133</v>
      </c>
    </row>
    <row r="190" spans="1:8" ht="27.6" x14ac:dyDescent="0.3">
      <c r="A190" s="38" t="s">
        <v>52</v>
      </c>
      <c r="B190" s="38" t="s">
        <v>592</v>
      </c>
      <c r="C190" s="38" t="s">
        <v>599</v>
      </c>
      <c r="D190" s="39" t="s">
        <v>141</v>
      </c>
      <c r="E190" s="39" t="s">
        <v>2170</v>
      </c>
      <c r="F190" s="40">
        <v>8793</v>
      </c>
      <c r="G190" s="41" t="s">
        <v>609</v>
      </c>
      <c r="H190" s="41" t="s">
        <v>84</v>
      </c>
    </row>
    <row r="191" spans="1:8" ht="27.6" x14ac:dyDescent="0.3">
      <c r="A191" s="38" t="s">
        <v>52</v>
      </c>
      <c r="B191" s="38" t="s">
        <v>592</v>
      </c>
      <c r="C191" s="38" t="s">
        <v>599</v>
      </c>
      <c r="D191" s="39" t="s">
        <v>245</v>
      </c>
      <c r="E191" s="39" t="s">
        <v>2152</v>
      </c>
      <c r="F191" s="40">
        <v>6823</v>
      </c>
      <c r="G191" s="41" t="s">
        <v>611</v>
      </c>
      <c r="H191" s="41" t="s">
        <v>272</v>
      </c>
    </row>
    <row r="192" spans="1:8" ht="27.6" x14ac:dyDescent="0.3">
      <c r="A192" s="38" t="s">
        <v>52</v>
      </c>
      <c r="B192" s="38" t="s">
        <v>592</v>
      </c>
      <c r="C192" s="38" t="s">
        <v>612</v>
      </c>
      <c r="D192" s="39" t="s">
        <v>141</v>
      </c>
      <c r="E192" s="39" t="s">
        <v>2170</v>
      </c>
      <c r="F192" s="40">
        <v>3813</v>
      </c>
      <c r="G192" s="41" t="s">
        <v>160</v>
      </c>
      <c r="H192" s="41" t="s">
        <v>84</v>
      </c>
    </row>
    <row r="193" spans="1:8" x14ac:dyDescent="0.3">
      <c r="A193" s="38" t="s">
        <v>52</v>
      </c>
      <c r="B193" s="38" t="s">
        <v>592</v>
      </c>
      <c r="C193" s="38" t="s">
        <v>612</v>
      </c>
      <c r="D193" s="39" t="s">
        <v>124</v>
      </c>
      <c r="E193" s="39" t="s">
        <v>2172</v>
      </c>
      <c r="F193" s="40">
        <v>340</v>
      </c>
      <c r="G193" s="41" t="s">
        <v>615</v>
      </c>
      <c r="H193" s="41" t="s">
        <v>127</v>
      </c>
    </row>
    <row r="194" spans="1:8" ht="27.6" x14ac:dyDescent="0.3">
      <c r="A194" s="38" t="s">
        <v>52</v>
      </c>
      <c r="B194" s="38" t="s">
        <v>592</v>
      </c>
      <c r="C194" s="38" t="s">
        <v>612</v>
      </c>
      <c r="D194" s="39" t="s">
        <v>62</v>
      </c>
      <c r="E194" s="39" t="s">
        <v>2141</v>
      </c>
      <c r="F194" s="40">
        <v>8000</v>
      </c>
      <c r="G194" s="41" t="s">
        <v>617</v>
      </c>
      <c r="H194" s="41" t="s">
        <v>235</v>
      </c>
    </row>
    <row r="195" spans="1:8" ht="27.6" x14ac:dyDescent="0.3">
      <c r="A195" s="38" t="s">
        <v>52</v>
      </c>
      <c r="B195" s="38" t="s">
        <v>592</v>
      </c>
      <c r="C195" s="38" t="s">
        <v>612</v>
      </c>
      <c r="D195" s="39" t="s">
        <v>141</v>
      </c>
      <c r="E195" s="39" t="s">
        <v>2141</v>
      </c>
      <c r="F195" s="40">
        <v>2500</v>
      </c>
      <c r="G195" s="41" t="s">
        <v>619</v>
      </c>
      <c r="H195" s="41" t="s">
        <v>235</v>
      </c>
    </row>
    <row r="196" spans="1:8" ht="27.6" x14ac:dyDescent="0.3">
      <c r="A196" s="38" t="s">
        <v>52</v>
      </c>
      <c r="B196" s="38" t="s">
        <v>592</v>
      </c>
      <c r="C196" s="38" t="s">
        <v>612</v>
      </c>
      <c r="D196" s="39" t="s">
        <v>121</v>
      </c>
      <c r="E196" s="39" t="s">
        <v>2219</v>
      </c>
      <c r="F196" s="40">
        <v>270</v>
      </c>
      <c r="G196" s="41" t="s">
        <v>621</v>
      </c>
      <c r="H196" s="41" t="s">
        <v>223</v>
      </c>
    </row>
    <row r="197" spans="1:8" ht="27.6" x14ac:dyDescent="0.3">
      <c r="A197" s="38" t="s">
        <v>52</v>
      </c>
      <c r="B197" s="38" t="s">
        <v>592</v>
      </c>
      <c r="C197" s="38" t="s">
        <v>622</v>
      </c>
      <c r="D197" s="39" t="s">
        <v>141</v>
      </c>
      <c r="E197" s="39" t="s">
        <v>2217</v>
      </c>
      <c r="F197" s="40">
        <v>55354</v>
      </c>
      <c r="G197" s="41" t="s">
        <v>624</v>
      </c>
      <c r="H197" s="41" t="s">
        <v>7</v>
      </c>
    </row>
    <row r="198" spans="1:8" ht="27.6" x14ac:dyDescent="0.3">
      <c r="A198" s="38" t="s">
        <v>52</v>
      </c>
      <c r="B198" s="38" t="s">
        <v>592</v>
      </c>
      <c r="C198" s="38" t="s">
        <v>625</v>
      </c>
      <c r="D198" s="39" t="s">
        <v>141</v>
      </c>
      <c r="E198" s="39" t="s">
        <v>2159</v>
      </c>
      <c r="F198" s="40">
        <v>8542</v>
      </c>
      <c r="G198" s="41" t="s">
        <v>627</v>
      </c>
      <c r="H198" s="41" t="s">
        <v>489</v>
      </c>
    </row>
    <row r="199" spans="1:8" ht="27.6" x14ac:dyDescent="0.3">
      <c r="A199" s="38" t="s">
        <v>52</v>
      </c>
      <c r="B199" s="38" t="s">
        <v>592</v>
      </c>
      <c r="C199" s="38" t="s">
        <v>628</v>
      </c>
      <c r="D199" s="39" t="s">
        <v>141</v>
      </c>
      <c r="E199" s="39" t="s">
        <v>2180</v>
      </c>
      <c r="F199" s="40">
        <v>17666</v>
      </c>
      <c r="G199" s="41" t="s">
        <v>630</v>
      </c>
      <c r="H199" s="41" t="s">
        <v>325</v>
      </c>
    </row>
    <row r="200" spans="1:8" ht="27.6" x14ac:dyDescent="0.3">
      <c r="A200" s="38" t="s">
        <v>52</v>
      </c>
      <c r="B200" s="38" t="s">
        <v>592</v>
      </c>
      <c r="C200" s="38" t="s">
        <v>631</v>
      </c>
      <c r="D200" s="39" t="s">
        <v>245</v>
      </c>
      <c r="E200" s="39" t="s">
        <v>2143</v>
      </c>
      <c r="F200" s="40">
        <v>13000</v>
      </c>
      <c r="G200" s="41" t="s">
        <v>633</v>
      </c>
      <c r="H200" s="41" t="s">
        <v>248</v>
      </c>
    </row>
    <row r="201" spans="1:8" ht="27.6" x14ac:dyDescent="0.3">
      <c r="A201" s="38" t="s">
        <v>52</v>
      </c>
      <c r="B201" s="38" t="s">
        <v>592</v>
      </c>
      <c r="C201" s="38" t="s">
        <v>634</v>
      </c>
      <c r="D201" s="39" t="s">
        <v>635</v>
      </c>
      <c r="E201" s="39" t="s">
        <v>2184</v>
      </c>
      <c r="F201" s="40">
        <v>13100</v>
      </c>
      <c r="G201" s="41" t="s">
        <v>637</v>
      </c>
      <c r="H201" s="41" t="s">
        <v>150</v>
      </c>
    </row>
    <row r="202" spans="1:8" ht="27.6" x14ac:dyDescent="0.3">
      <c r="A202" s="38" t="s">
        <v>52</v>
      </c>
      <c r="B202" s="38" t="s">
        <v>592</v>
      </c>
      <c r="C202" s="38" t="s">
        <v>638</v>
      </c>
      <c r="D202" s="39" t="s">
        <v>141</v>
      </c>
      <c r="E202" s="39" t="s">
        <v>2178</v>
      </c>
      <c r="F202" s="40">
        <v>11460</v>
      </c>
      <c r="G202" s="41" t="s">
        <v>640</v>
      </c>
      <c r="H202" s="41" t="s">
        <v>337</v>
      </c>
    </row>
    <row r="203" spans="1:8" ht="27.6" x14ac:dyDescent="0.3">
      <c r="A203" s="38" t="s">
        <v>52</v>
      </c>
      <c r="B203" s="38" t="s">
        <v>592</v>
      </c>
      <c r="C203" s="38" t="s">
        <v>641</v>
      </c>
      <c r="D203" s="39" t="s">
        <v>141</v>
      </c>
      <c r="E203" s="39" t="s">
        <v>2178</v>
      </c>
      <c r="F203" s="40">
        <v>13012</v>
      </c>
      <c r="G203" s="41" t="s">
        <v>643</v>
      </c>
      <c r="H203" s="41" t="s">
        <v>337</v>
      </c>
    </row>
    <row r="204" spans="1:8" ht="41.4" x14ac:dyDescent="0.3">
      <c r="A204" s="38" t="s">
        <v>52</v>
      </c>
      <c r="B204" s="38" t="s">
        <v>592</v>
      </c>
      <c r="C204" s="38" t="s">
        <v>644</v>
      </c>
      <c r="D204" s="39" t="s">
        <v>245</v>
      </c>
      <c r="E204" s="39" t="s">
        <v>2209</v>
      </c>
      <c r="F204" s="40">
        <v>17500</v>
      </c>
      <c r="G204" s="41" t="s">
        <v>646</v>
      </c>
      <c r="H204" s="41" t="s">
        <v>647</v>
      </c>
    </row>
    <row r="205" spans="1:8" ht="27.6" x14ac:dyDescent="0.3">
      <c r="A205" s="38" t="s">
        <v>52</v>
      </c>
      <c r="B205" s="38" t="s">
        <v>592</v>
      </c>
      <c r="C205" s="38" t="s">
        <v>648</v>
      </c>
      <c r="D205" s="39" t="s">
        <v>121</v>
      </c>
      <c r="E205" s="39" t="s">
        <v>2197</v>
      </c>
      <c r="F205" s="40">
        <v>13465</v>
      </c>
      <c r="G205" s="41" t="s">
        <v>650</v>
      </c>
      <c r="H205" s="41" t="s">
        <v>98</v>
      </c>
    </row>
    <row r="206" spans="1:8" ht="27.6" x14ac:dyDescent="0.3">
      <c r="A206" s="38" t="s">
        <v>52</v>
      </c>
      <c r="B206" s="38" t="s">
        <v>592</v>
      </c>
      <c r="C206" s="38" t="s">
        <v>651</v>
      </c>
      <c r="D206" s="39" t="s">
        <v>245</v>
      </c>
      <c r="E206" s="39" t="s">
        <v>2209</v>
      </c>
      <c r="F206" s="40">
        <v>26000</v>
      </c>
      <c r="G206" s="41" t="s">
        <v>653</v>
      </c>
      <c r="H206" s="41" t="s">
        <v>654</v>
      </c>
    </row>
    <row r="207" spans="1:8" ht="41.4" x14ac:dyDescent="0.3">
      <c r="A207" s="38" t="s">
        <v>52</v>
      </c>
      <c r="B207" s="38" t="s">
        <v>592</v>
      </c>
      <c r="C207" s="38" t="s">
        <v>655</v>
      </c>
      <c r="D207" s="39" t="s">
        <v>62</v>
      </c>
      <c r="E207" s="39" t="s">
        <v>2205</v>
      </c>
      <c r="F207" s="40">
        <v>1737</v>
      </c>
      <c r="G207" s="41" t="s">
        <v>657</v>
      </c>
      <c r="H207" s="41" t="s">
        <v>342</v>
      </c>
    </row>
    <row r="208" spans="1:8" ht="27.6" x14ac:dyDescent="0.3">
      <c r="A208" s="38" t="s">
        <v>52</v>
      </c>
      <c r="B208" s="38" t="s">
        <v>592</v>
      </c>
      <c r="C208" s="38" t="s">
        <v>658</v>
      </c>
      <c r="D208" s="39" t="s">
        <v>81</v>
      </c>
      <c r="E208" s="39" t="s">
        <v>2141</v>
      </c>
      <c r="F208" s="40">
        <v>3187</v>
      </c>
      <c r="G208" s="41" t="s">
        <v>660</v>
      </c>
      <c r="H208" s="41" t="s">
        <v>235</v>
      </c>
    </row>
    <row r="209" spans="1:8" ht="27.6" x14ac:dyDescent="0.3">
      <c r="A209" s="38" t="s">
        <v>52</v>
      </c>
      <c r="B209" s="38" t="s">
        <v>592</v>
      </c>
      <c r="C209" s="38" t="s">
        <v>661</v>
      </c>
      <c r="D209" s="39" t="s">
        <v>81</v>
      </c>
      <c r="E209" s="39" t="s">
        <v>2170</v>
      </c>
      <c r="F209" s="40">
        <v>7447</v>
      </c>
      <c r="G209" s="41" t="s">
        <v>663</v>
      </c>
      <c r="H209" s="41" t="s">
        <v>84</v>
      </c>
    </row>
    <row r="210" spans="1:8" ht="27.6" x14ac:dyDescent="0.3">
      <c r="A210" s="38" t="s">
        <v>52</v>
      </c>
      <c r="B210" s="38" t="s">
        <v>592</v>
      </c>
      <c r="C210" s="38" t="s">
        <v>664</v>
      </c>
      <c r="D210" s="39" t="s">
        <v>81</v>
      </c>
      <c r="E210" s="39" t="s">
        <v>2170</v>
      </c>
      <c r="F210" s="40">
        <v>5385</v>
      </c>
      <c r="G210" s="41" t="s">
        <v>666</v>
      </c>
      <c r="H210" s="41" t="s">
        <v>84</v>
      </c>
    </row>
    <row r="211" spans="1:8" ht="41.4" x14ac:dyDescent="0.3">
      <c r="A211" s="38" t="s">
        <v>52</v>
      </c>
      <c r="B211" s="38" t="s">
        <v>592</v>
      </c>
      <c r="C211" s="38" t="s">
        <v>667</v>
      </c>
      <c r="D211" s="39" t="s">
        <v>110</v>
      </c>
      <c r="E211" s="39" t="s">
        <v>2170</v>
      </c>
      <c r="F211" s="40">
        <v>6127</v>
      </c>
      <c r="G211" s="41" t="s">
        <v>669</v>
      </c>
      <c r="H211" s="41" t="s">
        <v>84</v>
      </c>
    </row>
    <row r="212" spans="1:8" ht="41.4" x14ac:dyDescent="0.3">
      <c r="A212" s="38" t="s">
        <v>52</v>
      </c>
      <c r="B212" s="38" t="s">
        <v>592</v>
      </c>
      <c r="C212" s="38" t="s">
        <v>670</v>
      </c>
      <c r="D212" s="39" t="s">
        <v>110</v>
      </c>
      <c r="E212" s="39" t="s">
        <v>2170</v>
      </c>
      <c r="F212" s="40">
        <v>10211</v>
      </c>
      <c r="G212" s="41" t="s">
        <v>672</v>
      </c>
      <c r="H212" s="41" t="s">
        <v>84</v>
      </c>
    </row>
    <row r="213" spans="1:8" ht="41.4" x14ac:dyDescent="0.3">
      <c r="A213" s="38" t="s">
        <v>52</v>
      </c>
      <c r="B213" s="38" t="s">
        <v>592</v>
      </c>
      <c r="C213" s="38" t="s">
        <v>673</v>
      </c>
      <c r="D213" s="39" t="s">
        <v>110</v>
      </c>
      <c r="E213" s="39" t="s">
        <v>2170</v>
      </c>
      <c r="F213" s="40">
        <v>10211</v>
      </c>
      <c r="G213" s="41" t="s">
        <v>672</v>
      </c>
      <c r="H213" s="41" t="s">
        <v>84</v>
      </c>
    </row>
    <row r="214" spans="1:8" ht="41.4" x14ac:dyDescent="0.3">
      <c r="A214" s="38" t="s">
        <v>52</v>
      </c>
      <c r="B214" s="38" t="s">
        <v>592</v>
      </c>
      <c r="C214" s="38" t="s">
        <v>675</v>
      </c>
      <c r="D214" s="39" t="s">
        <v>110</v>
      </c>
      <c r="E214" s="39" t="s">
        <v>2167</v>
      </c>
      <c r="F214" s="40">
        <v>3063</v>
      </c>
      <c r="G214" s="41" t="s">
        <v>677</v>
      </c>
      <c r="H214" s="41" t="s">
        <v>70</v>
      </c>
    </row>
    <row r="215" spans="1:8" ht="41.4" x14ac:dyDescent="0.3">
      <c r="A215" s="38" t="s">
        <v>52</v>
      </c>
      <c r="B215" s="38" t="s">
        <v>592</v>
      </c>
      <c r="C215" s="38" t="s">
        <v>675</v>
      </c>
      <c r="D215" s="39" t="s">
        <v>110</v>
      </c>
      <c r="E215" s="39" t="s">
        <v>2207</v>
      </c>
      <c r="F215" s="40">
        <v>6126</v>
      </c>
      <c r="G215" s="41" t="s">
        <v>679</v>
      </c>
      <c r="H215" s="41" t="s">
        <v>168</v>
      </c>
    </row>
    <row r="216" spans="1:8" ht="41.4" x14ac:dyDescent="0.3">
      <c r="A216" s="38" t="s">
        <v>52</v>
      </c>
      <c r="B216" s="38" t="s">
        <v>592</v>
      </c>
      <c r="C216" s="38" t="s">
        <v>675</v>
      </c>
      <c r="D216" s="39" t="s">
        <v>110</v>
      </c>
      <c r="E216" s="39" t="s">
        <v>2207</v>
      </c>
      <c r="F216" s="40">
        <v>2042</v>
      </c>
      <c r="G216" s="41" t="s">
        <v>681</v>
      </c>
      <c r="H216" s="41" t="s">
        <v>168</v>
      </c>
    </row>
    <row r="217" spans="1:8" ht="41.4" x14ac:dyDescent="0.3">
      <c r="A217" s="38" t="s">
        <v>52</v>
      </c>
      <c r="B217" s="38" t="s">
        <v>592</v>
      </c>
      <c r="C217" s="38" t="s">
        <v>675</v>
      </c>
      <c r="D217" s="39" t="s">
        <v>110</v>
      </c>
      <c r="E217" s="39" t="s">
        <v>2189</v>
      </c>
      <c r="F217" s="40">
        <v>6127</v>
      </c>
      <c r="G217" s="41" t="s">
        <v>683</v>
      </c>
      <c r="H217" s="41" t="s">
        <v>499</v>
      </c>
    </row>
    <row r="218" spans="1:8" ht="27.6" x14ac:dyDescent="0.3">
      <c r="A218" s="38" t="s">
        <v>52</v>
      </c>
      <c r="B218" s="38" t="s">
        <v>592</v>
      </c>
      <c r="C218" s="38" t="s">
        <v>684</v>
      </c>
      <c r="D218" s="39" t="s">
        <v>81</v>
      </c>
      <c r="E218" s="39" t="s">
        <v>2215</v>
      </c>
      <c r="F218" s="40">
        <v>6733</v>
      </c>
      <c r="G218" s="41" t="s">
        <v>686</v>
      </c>
      <c r="H218" s="41" t="s">
        <v>183</v>
      </c>
    </row>
    <row r="219" spans="1:8" ht="27.6" x14ac:dyDescent="0.3">
      <c r="A219" s="38" t="s">
        <v>52</v>
      </c>
      <c r="B219" s="38" t="s">
        <v>592</v>
      </c>
      <c r="C219" s="38" t="s">
        <v>687</v>
      </c>
      <c r="D219" s="39" t="s">
        <v>81</v>
      </c>
      <c r="E219" s="39" t="s">
        <v>2186</v>
      </c>
      <c r="F219" s="40">
        <v>6868</v>
      </c>
      <c r="G219" s="41" t="s">
        <v>689</v>
      </c>
      <c r="H219" s="41" t="s">
        <v>102</v>
      </c>
    </row>
    <row r="220" spans="1:8" ht="27.6" x14ac:dyDescent="0.3">
      <c r="A220" s="38" t="s">
        <v>52</v>
      </c>
      <c r="B220" s="38" t="s">
        <v>592</v>
      </c>
      <c r="C220" s="38" t="s">
        <v>690</v>
      </c>
      <c r="D220" s="39" t="s">
        <v>81</v>
      </c>
      <c r="E220" s="39" t="s">
        <v>2146</v>
      </c>
      <c r="F220" s="40">
        <v>29785</v>
      </c>
      <c r="G220" s="41" t="s">
        <v>692</v>
      </c>
      <c r="H220" s="41" t="s">
        <v>49</v>
      </c>
    </row>
    <row r="221" spans="1:8" ht="41.4" x14ac:dyDescent="0.3">
      <c r="A221" s="38" t="s">
        <v>52</v>
      </c>
      <c r="B221" s="38" t="s">
        <v>592</v>
      </c>
      <c r="C221" s="38" t="s">
        <v>693</v>
      </c>
      <c r="D221" s="39" t="s">
        <v>110</v>
      </c>
      <c r="E221" s="39" t="s">
        <v>2150</v>
      </c>
      <c r="F221" s="40">
        <v>4000</v>
      </c>
      <c r="G221" s="41" t="s">
        <v>695</v>
      </c>
      <c r="H221" s="41" t="s">
        <v>478</v>
      </c>
    </row>
    <row r="222" spans="1:8" ht="41.4" x14ac:dyDescent="0.3">
      <c r="A222" s="38" t="s">
        <v>52</v>
      </c>
      <c r="B222" s="38" t="s">
        <v>592</v>
      </c>
      <c r="C222" s="38" t="s">
        <v>696</v>
      </c>
      <c r="D222" s="39" t="s">
        <v>110</v>
      </c>
      <c r="E222" s="39" t="s">
        <v>2168</v>
      </c>
      <c r="F222" s="40">
        <v>16338</v>
      </c>
      <c r="G222" s="41" t="s">
        <v>697</v>
      </c>
      <c r="H222" s="41" t="s">
        <v>7</v>
      </c>
    </row>
    <row r="223" spans="1:8" ht="27.6" x14ac:dyDescent="0.3">
      <c r="A223" s="38" t="s">
        <v>44</v>
      </c>
      <c r="B223" s="38" t="s">
        <v>592</v>
      </c>
      <c r="C223" s="38" t="s">
        <v>46</v>
      </c>
      <c r="D223" s="39" t="s">
        <v>7</v>
      </c>
      <c r="E223" s="39" t="s">
        <v>2154</v>
      </c>
      <c r="F223" s="40">
        <v>3032</v>
      </c>
      <c r="G223" s="41" t="s">
        <v>699</v>
      </c>
      <c r="H223" s="41" t="s">
        <v>700</v>
      </c>
    </row>
    <row r="224" spans="1:8" ht="27.6" x14ac:dyDescent="0.3">
      <c r="A224" s="38" t="s">
        <v>52</v>
      </c>
      <c r="B224" s="38" t="s">
        <v>701</v>
      </c>
      <c r="C224" s="38" t="s">
        <v>702</v>
      </c>
      <c r="D224" s="39" t="s">
        <v>703</v>
      </c>
      <c r="E224" s="39" t="s">
        <v>2205</v>
      </c>
      <c r="F224" s="40">
        <v>3715</v>
      </c>
      <c r="G224" s="41" t="s">
        <v>705</v>
      </c>
      <c r="H224" s="41" t="s">
        <v>342</v>
      </c>
    </row>
    <row r="225" spans="1:8" ht="27.6" x14ac:dyDescent="0.3">
      <c r="A225" s="38" t="s">
        <v>52</v>
      </c>
      <c r="B225" s="38" t="s">
        <v>701</v>
      </c>
      <c r="C225" s="38" t="s">
        <v>702</v>
      </c>
      <c r="D225" s="39" t="s">
        <v>703</v>
      </c>
      <c r="E225" s="39" t="s">
        <v>2205</v>
      </c>
      <c r="F225" s="40">
        <v>3715</v>
      </c>
      <c r="G225" s="41" t="s">
        <v>707</v>
      </c>
      <c r="H225" s="41" t="s">
        <v>342</v>
      </c>
    </row>
    <row r="226" spans="1:8" ht="27.6" x14ac:dyDescent="0.3">
      <c r="A226" s="38" t="s">
        <v>52</v>
      </c>
      <c r="B226" s="38" t="s">
        <v>701</v>
      </c>
      <c r="C226" s="38" t="s">
        <v>702</v>
      </c>
      <c r="D226" s="39" t="s">
        <v>55</v>
      </c>
      <c r="E226" s="39" t="s">
        <v>2205</v>
      </c>
      <c r="F226" s="40">
        <v>3115</v>
      </c>
      <c r="G226" s="41" t="s">
        <v>709</v>
      </c>
      <c r="H226" s="41" t="s">
        <v>342</v>
      </c>
    </row>
    <row r="227" spans="1:8" ht="27.6" x14ac:dyDescent="0.3">
      <c r="A227" s="38" t="s">
        <v>52</v>
      </c>
      <c r="B227" s="38" t="s">
        <v>701</v>
      </c>
      <c r="C227" s="38" t="s">
        <v>702</v>
      </c>
      <c r="D227" s="39" t="s">
        <v>55</v>
      </c>
      <c r="E227" s="39" t="s">
        <v>2205</v>
      </c>
      <c r="F227" s="40">
        <v>3115</v>
      </c>
      <c r="G227" s="41" t="s">
        <v>711</v>
      </c>
      <c r="H227" s="41" t="s">
        <v>342</v>
      </c>
    </row>
    <row r="228" spans="1:8" ht="27.6" x14ac:dyDescent="0.3">
      <c r="A228" s="38" t="s">
        <v>52</v>
      </c>
      <c r="B228" s="38" t="s">
        <v>701</v>
      </c>
      <c r="C228" s="38" t="s">
        <v>712</v>
      </c>
      <c r="D228" s="39" t="s">
        <v>232</v>
      </c>
      <c r="E228" s="39" t="s">
        <v>2205</v>
      </c>
      <c r="F228" s="40">
        <v>600</v>
      </c>
      <c r="G228" s="41" t="s">
        <v>714</v>
      </c>
      <c r="H228" s="41" t="s">
        <v>342</v>
      </c>
    </row>
    <row r="229" spans="1:8" ht="27.6" x14ac:dyDescent="0.3">
      <c r="A229" s="38" t="s">
        <v>52</v>
      </c>
      <c r="B229" s="38" t="s">
        <v>701</v>
      </c>
      <c r="C229" s="38" t="s">
        <v>712</v>
      </c>
      <c r="D229" s="39" t="s">
        <v>147</v>
      </c>
      <c r="E229" s="39" t="s">
        <v>2207</v>
      </c>
      <c r="F229" s="40">
        <v>114</v>
      </c>
      <c r="G229" s="41" t="s">
        <v>716</v>
      </c>
      <c r="H229" s="41" t="s">
        <v>168</v>
      </c>
    </row>
    <row r="230" spans="1:8" ht="27.6" x14ac:dyDescent="0.3">
      <c r="A230" s="38" t="s">
        <v>52</v>
      </c>
      <c r="B230" s="38" t="s">
        <v>701</v>
      </c>
      <c r="C230" s="38" t="s">
        <v>712</v>
      </c>
      <c r="D230" s="39" t="s">
        <v>232</v>
      </c>
      <c r="E230" s="39" t="s">
        <v>2207</v>
      </c>
      <c r="F230" s="40">
        <v>600</v>
      </c>
      <c r="G230" s="41" t="s">
        <v>718</v>
      </c>
      <c r="H230" s="41" t="s">
        <v>168</v>
      </c>
    </row>
    <row r="231" spans="1:8" ht="27.6" x14ac:dyDescent="0.3">
      <c r="A231" s="38" t="s">
        <v>52</v>
      </c>
      <c r="B231" s="38" t="s">
        <v>701</v>
      </c>
      <c r="C231" s="38" t="s">
        <v>712</v>
      </c>
      <c r="D231" s="39" t="s">
        <v>147</v>
      </c>
      <c r="E231" s="39" t="s">
        <v>2207</v>
      </c>
      <c r="F231" s="40">
        <v>114</v>
      </c>
      <c r="G231" s="41" t="s">
        <v>720</v>
      </c>
      <c r="H231" s="41" t="s">
        <v>168</v>
      </c>
    </row>
    <row r="232" spans="1:8" ht="27.6" x14ac:dyDescent="0.3">
      <c r="A232" s="38" t="s">
        <v>52</v>
      </c>
      <c r="B232" s="38" t="s">
        <v>701</v>
      </c>
      <c r="C232" s="38" t="s">
        <v>712</v>
      </c>
      <c r="D232" s="39" t="s">
        <v>208</v>
      </c>
      <c r="E232" s="39" t="s">
        <v>2197</v>
      </c>
      <c r="F232" s="40">
        <v>2980</v>
      </c>
      <c r="G232" s="41" t="s">
        <v>722</v>
      </c>
      <c r="H232" s="41" t="s">
        <v>98</v>
      </c>
    </row>
    <row r="233" spans="1:8" ht="27.6" x14ac:dyDescent="0.3">
      <c r="A233" s="38" t="s">
        <v>52</v>
      </c>
      <c r="B233" s="38" t="s">
        <v>701</v>
      </c>
      <c r="C233" s="38" t="s">
        <v>712</v>
      </c>
      <c r="D233" s="39" t="s">
        <v>208</v>
      </c>
      <c r="E233" s="39" t="s">
        <v>2189</v>
      </c>
      <c r="F233" s="40">
        <v>200</v>
      </c>
      <c r="G233" s="41" t="s">
        <v>724</v>
      </c>
      <c r="H233" s="41" t="s">
        <v>499</v>
      </c>
    </row>
    <row r="234" spans="1:8" ht="27.6" x14ac:dyDescent="0.3">
      <c r="A234" s="38" t="s">
        <v>52</v>
      </c>
      <c r="B234" s="38" t="s">
        <v>701</v>
      </c>
      <c r="C234" s="38" t="s">
        <v>712</v>
      </c>
      <c r="D234" s="39" t="s">
        <v>55</v>
      </c>
      <c r="E234" s="39" t="s">
        <v>2176</v>
      </c>
      <c r="F234" s="40">
        <v>7980</v>
      </c>
      <c r="G234" s="41" t="s">
        <v>726</v>
      </c>
      <c r="H234" s="41" t="s">
        <v>58</v>
      </c>
    </row>
    <row r="235" spans="1:8" ht="27.6" x14ac:dyDescent="0.3">
      <c r="A235" s="38" t="s">
        <v>52</v>
      </c>
      <c r="B235" s="38" t="s">
        <v>701</v>
      </c>
      <c r="C235" s="38" t="s">
        <v>712</v>
      </c>
      <c r="D235" s="39" t="s">
        <v>245</v>
      </c>
      <c r="E235" s="39" t="s">
        <v>2143</v>
      </c>
      <c r="F235" s="40">
        <v>3320</v>
      </c>
      <c r="G235" s="41" t="s">
        <v>728</v>
      </c>
      <c r="H235" s="41" t="s">
        <v>248</v>
      </c>
    </row>
    <row r="236" spans="1:8" ht="27.6" x14ac:dyDescent="0.3">
      <c r="A236" s="38" t="s">
        <v>52</v>
      </c>
      <c r="B236" s="38" t="s">
        <v>701</v>
      </c>
      <c r="C236" s="38" t="s">
        <v>712</v>
      </c>
      <c r="D236" s="39" t="s">
        <v>208</v>
      </c>
      <c r="E236" s="39" t="s">
        <v>2167</v>
      </c>
      <c r="F236" s="40">
        <v>1580</v>
      </c>
      <c r="G236" s="41" t="s">
        <v>730</v>
      </c>
      <c r="H236" s="41" t="s">
        <v>70</v>
      </c>
    </row>
    <row r="237" spans="1:8" ht="27.6" x14ac:dyDescent="0.3">
      <c r="A237" s="38" t="s">
        <v>52</v>
      </c>
      <c r="B237" s="38" t="s">
        <v>701</v>
      </c>
      <c r="C237" s="38" t="s">
        <v>712</v>
      </c>
      <c r="D237" s="39" t="s">
        <v>130</v>
      </c>
      <c r="E237" s="39" t="s">
        <v>2167</v>
      </c>
      <c r="F237" s="40">
        <v>1200</v>
      </c>
      <c r="G237" s="41" t="s">
        <v>732</v>
      </c>
      <c r="H237" s="41" t="s">
        <v>70</v>
      </c>
    </row>
    <row r="238" spans="1:8" x14ac:dyDescent="0.3">
      <c r="A238" s="38" t="s">
        <v>52</v>
      </c>
      <c r="B238" s="38" t="s">
        <v>701</v>
      </c>
      <c r="C238" s="38" t="s">
        <v>712</v>
      </c>
      <c r="D238" s="39" t="s">
        <v>124</v>
      </c>
      <c r="E238" s="39" t="s">
        <v>2172</v>
      </c>
      <c r="F238" s="40">
        <v>240</v>
      </c>
      <c r="G238" s="41" t="s">
        <v>734</v>
      </c>
      <c r="H238" s="41" t="s">
        <v>127</v>
      </c>
    </row>
    <row r="239" spans="1:8" ht="41.4" x14ac:dyDescent="0.3">
      <c r="A239" s="38" t="s">
        <v>735</v>
      </c>
      <c r="B239" s="38" t="s">
        <v>701</v>
      </c>
      <c r="C239" s="38" t="s">
        <v>736</v>
      </c>
      <c r="D239" s="39" t="s">
        <v>737</v>
      </c>
      <c r="E239" s="39" t="s">
        <v>2172</v>
      </c>
      <c r="F239" s="40">
        <v>200000</v>
      </c>
      <c r="G239" s="41" t="s">
        <v>739</v>
      </c>
      <c r="H239" s="41" t="s">
        <v>740</v>
      </c>
    </row>
    <row r="240" spans="1:8" x14ac:dyDescent="0.3">
      <c r="A240" s="38" t="s">
        <v>52</v>
      </c>
      <c r="B240" s="38" t="s">
        <v>701</v>
      </c>
      <c r="C240" s="38" t="s">
        <v>741</v>
      </c>
      <c r="D240" s="39" t="s">
        <v>115</v>
      </c>
      <c r="E240" s="39" t="s">
        <v>2159</v>
      </c>
      <c r="F240" s="40">
        <v>75000</v>
      </c>
      <c r="G240" s="41" t="s">
        <v>743</v>
      </c>
      <c r="H240" s="41" t="s">
        <v>744</v>
      </c>
    </row>
    <row r="241" spans="1:8" ht="55.2" x14ac:dyDescent="0.3">
      <c r="A241" s="38" t="s">
        <v>44</v>
      </c>
      <c r="B241" s="38" t="s">
        <v>701</v>
      </c>
      <c r="C241" s="38" t="s">
        <v>46</v>
      </c>
      <c r="D241" s="39" t="s">
        <v>7</v>
      </c>
      <c r="E241" s="39" t="s">
        <v>2159</v>
      </c>
      <c r="F241" s="40">
        <v>9993</v>
      </c>
      <c r="G241" s="41" t="s">
        <v>746</v>
      </c>
      <c r="H241" s="41" t="s">
        <v>747</v>
      </c>
    </row>
    <row r="242" spans="1:8" ht="27.6" x14ac:dyDescent="0.3">
      <c r="A242" s="38" t="s">
        <v>44</v>
      </c>
      <c r="B242" s="38" t="s">
        <v>701</v>
      </c>
      <c r="C242" s="38" t="s">
        <v>46</v>
      </c>
      <c r="D242" s="39" t="s">
        <v>7</v>
      </c>
      <c r="E242" s="39" t="s">
        <v>2159</v>
      </c>
      <c r="F242" s="40">
        <v>652</v>
      </c>
      <c r="G242" s="41" t="s">
        <v>485</v>
      </c>
      <c r="H242" s="41" t="s">
        <v>486</v>
      </c>
    </row>
    <row r="243" spans="1:8" x14ac:dyDescent="0.3">
      <c r="A243" s="38" t="s">
        <v>44</v>
      </c>
      <c r="B243" s="38" t="s">
        <v>701</v>
      </c>
      <c r="C243" s="38" t="s">
        <v>46</v>
      </c>
      <c r="D243" s="39" t="s">
        <v>7</v>
      </c>
      <c r="E243" s="39" t="s">
        <v>2159</v>
      </c>
      <c r="F243" s="40">
        <v>9832</v>
      </c>
      <c r="G243" s="41" t="s">
        <v>750</v>
      </c>
      <c r="H243" s="41" t="s">
        <v>751</v>
      </c>
    </row>
    <row r="244" spans="1:8" ht="27.6" x14ac:dyDescent="0.3">
      <c r="A244" s="38" t="s">
        <v>52</v>
      </c>
      <c r="B244" s="38" t="s">
        <v>752</v>
      </c>
      <c r="C244" s="38" t="s">
        <v>753</v>
      </c>
      <c r="D244" s="39" t="s">
        <v>55</v>
      </c>
      <c r="E244" s="39" t="s">
        <v>2199</v>
      </c>
      <c r="F244" s="40">
        <v>39010</v>
      </c>
      <c r="G244" s="41" t="s">
        <v>755</v>
      </c>
      <c r="H244" s="41" t="s">
        <v>353</v>
      </c>
    </row>
    <row r="245" spans="1:8" ht="27.6" x14ac:dyDescent="0.3">
      <c r="A245" s="38" t="s">
        <v>52</v>
      </c>
      <c r="B245" s="38" t="s">
        <v>752</v>
      </c>
      <c r="C245" s="38" t="s">
        <v>756</v>
      </c>
      <c r="D245" s="39" t="s">
        <v>245</v>
      </c>
      <c r="E245" s="39" t="s">
        <v>2143</v>
      </c>
      <c r="F245" s="40">
        <v>18279</v>
      </c>
      <c r="G245" s="41" t="s">
        <v>758</v>
      </c>
      <c r="H245" s="41" t="s">
        <v>248</v>
      </c>
    </row>
    <row r="246" spans="1:8" ht="27.6" x14ac:dyDescent="0.3">
      <c r="A246" s="38" t="s">
        <v>52</v>
      </c>
      <c r="B246" s="38" t="s">
        <v>752</v>
      </c>
      <c r="C246" s="38" t="s">
        <v>759</v>
      </c>
      <c r="D246" s="39" t="s">
        <v>141</v>
      </c>
      <c r="E246" s="39" t="s">
        <v>2155</v>
      </c>
      <c r="F246" s="40">
        <v>12090</v>
      </c>
      <c r="G246" s="41" t="s">
        <v>761</v>
      </c>
      <c r="H246" s="41" t="s">
        <v>118</v>
      </c>
    </row>
    <row r="247" spans="1:8" ht="27.6" x14ac:dyDescent="0.3">
      <c r="A247" s="38" t="s">
        <v>52</v>
      </c>
      <c r="B247" s="38" t="s">
        <v>752</v>
      </c>
      <c r="C247" s="38" t="s">
        <v>762</v>
      </c>
      <c r="D247" s="39" t="s">
        <v>141</v>
      </c>
      <c r="E247" s="39" t="s">
        <v>2193</v>
      </c>
      <c r="F247" s="40">
        <v>18180</v>
      </c>
      <c r="G247" s="41" t="s">
        <v>764</v>
      </c>
      <c r="H247" s="41" t="s">
        <v>211</v>
      </c>
    </row>
    <row r="248" spans="1:8" ht="27.6" x14ac:dyDescent="0.3">
      <c r="A248" s="38" t="s">
        <v>52</v>
      </c>
      <c r="B248" s="38" t="s">
        <v>752</v>
      </c>
      <c r="C248" s="38" t="s">
        <v>765</v>
      </c>
      <c r="D248" s="39" t="s">
        <v>141</v>
      </c>
      <c r="E248" s="39" t="s">
        <v>2207</v>
      </c>
      <c r="F248" s="40">
        <v>13500</v>
      </c>
      <c r="G248" s="41" t="s">
        <v>767</v>
      </c>
      <c r="H248" s="41" t="s">
        <v>168</v>
      </c>
    </row>
    <row r="249" spans="1:8" ht="27.6" x14ac:dyDescent="0.3">
      <c r="A249" s="38" t="s">
        <v>52</v>
      </c>
      <c r="B249" s="38" t="s">
        <v>752</v>
      </c>
      <c r="C249" s="38" t="s">
        <v>768</v>
      </c>
      <c r="D249" s="39" t="s">
        <v>121</v>
      </c>
      <c r="E249" s="39" t="s">
        <v>2199</v>
      </c>
      <c r="F249" s="40">
        <v>400</v>
      </c>
      <c r="G249" s="41" t="s">
        <v>770</v>
      </c>
      <c r="H249" s="41" t="s">
        <v>353</v>
      </c>
    </row>
    <row r="250" spans="1:8" ht="27.6" x14ac:dyDescent="0.3">
      <c r="A250" s="38" t="s">
        <v>52</v>
      </c>
      <c r="B250" s="38" t="s">
        <v>752</v>
      </c>
      <c r="C250" s="38" t="s">
        <v>768</v>
      </c>
      <c r="D250" s="39" t="s">
        <v>141</v>
      </c>
      <c r="E250" s="39" t="s">
        <v>2178</v>
      </c>
      <c r="F250" s="40">
        <v>10000</v>
      </c>
      <c r="G250" s="41" t="s">
        <v>772</v>
      </c>
      <c r="H250" s="41" t="s">
        <v>337</v>
      </c>
    </row>
    <row r="251" spans="1:8" ht="27.6" x14ac:dyDescent="0.3">
      <c r="A251" s="38" t="s">
        <v>52</v>
      </c>
      <c r="B251" s="38" t="s">
        <v>752</v>
      </c>
      <c r="C251" s="38" t="s">
        <v>768</v>
      </c>
      <c r="D251" s="39" t="s">
        <v>141</v>
      </c>
      <c r="E251" s="39" t="s">
        <v>2186</v>
      </c>
      <c r="F251" s="40">
        <v>2000</v>
      </c>
      <c r="G251" s="41" t="s">
        <v>774</v>
      </c>
      <c r="H251" s="41" t="s">
        <v>102</v>
      </c>
    </row>
    <row r="252" spans="1:8" ht="27.6" x14ac:dyDescent="0.3">
      <c r="A252" s="38" t="s">
        <v>52</v>
      </c>
      <c r="B252" s="38" t="s">
        <v>752</v>
      </c>
      <c r="C252" s="38" t="s">
        <v>768</v>
      </c>
      <c r="D252" s="39" t="s">
        <v>141</v>
      </c>
      <c r="E252" s="39" t="s">
        <v>2173</v>
      </c>
      <c r="F252" s="40">
        <v>7530</v>
      </c>
      <c r="G252" s="41" t="s">
        <v>776</v>
      </c>
      <c r="H252" s="41" t="s">
        <v>347</v>
      </c>
    </row>
    <row r="253" spans="1:8" ht="27.6" x14ac:dyDescent="0.3">
      <c r="A253" s="38" t="s">
        <v>52</v>
      </c>
      <c r="B253" s="38" t="s">
        <v>752</v>
      </c>
      <c r="C253" s="38" t="s">
        <v>768</v>
      </c>
      <c r="D253" s="39" t="s">
        <v>121</v>
      </c>
      <c r="E253" s="39" t="s">
        <v>2172</v>
      </c>
      <c r="F253" s="40">
        <v>4000</v>
      </c>
      <c r="G253" s="41" t="s">
        <v>778</v>
      </c>
      <c r="H253" s="41" t="s">
        <v>779</v>
      </c>
    </row>
    <row r="254" spans="1:8" ht="27.6" x14ac:dyDescent="0.3">
      <c r="A254" s="38" t="s">
        <v>52</v>
      </c>
      <c r="B254" s="38" t="s">
        <v>752</v>
      </c>
      <c r="C254" s="38" t="s">
        <v>768</v>
      </c>
      <c r="D254" s="39" t="s">
        <v>130</v>
      </c>
      <c r="E254" s="39" t="s">
        <v>2167</v>
      </c>
      <c r="F254" s="40">
        <v>960</v>
      </c>
      <c r="G254" s="41" t="s">
        <v>781</v>
      </c>
      <c r="H254" s="41" t="s">
        <v>70</v>
      </c>
    </row>
    <row r="255" spans="1:8" x14ac:dyDescent="0.3">
      <c r="A255" s="38" t="s">
        <v>52</v>
      </c>
      <c r="B255" s="38" t="s">
        <v>752</v>
      </c>
      <c r="C255" s="38" t="s">
        <v>782</v>
      </c>
      <c r="D255" s="39" t="s">
        <v>115</v>
      </c>
      <c r="E255" s="39" t="s">
        <v>2167</v>
      </c>
      <c r="F255" s="40">
        <v>3360</v>
      </c>
      <c r="G255" s="41" t="s">
        <v>784</v>
      </c>
      <c r="H255" s="41" t="s">
        <v>70</v>
      </c>
    </row>
    <row r="256" spans="1:8" ht="27.6" x14ac:dyDescent="0.3">
      <c r="A256" s="38" t="s">
        <v>52</v>
      </c>
      <c r="B256" s="38" t="s">
        <v>752</v>
      </c>
      <c r="C256" s="38" t="s">
        <v>782</v>
      </c>
      <c r="D256" s="39" t="s">
        <v>141</v>
      </c>
      <c r="E256" s="39" t="s">
        <v>2172</v>
      </c>
      <c r="F256" s="40">
        <v>288</v>
      </c>
      <c r="G256" s="41" t="s">
        <v>786</v>
      </c>
      <c r="H256" s="41" t="s">
        <v>779</v>
      </c>
    </row>
    <row r="257" spans="1:8" ht="27.6" x14ac:dyDescent="0.3">
      <c r="A257" s="38" t="s">
        <v>52</v>
      </c>
      <c r="B257" s="38" t="s">
        <v>752</v>
      </c>
      <c r="C257" s="38" t="s">
        <v>782</v>
      </c>
      <c r="D257" s="39" t="s">
        <v>141</v>
      </c>
      <c r="E257" s="39" t="s">
        <v>2172</v>
      </c>
      <c r="F257" s="40">
        <v>558</v>
      </c>
      <c r="G257" s="41" t="s">
        <v>786</v>
      </c>
      <c r="H257" s="41" t="s">
        <v>779</v>
      </c>
    </row>
    <row r="258" spans="1:8" ht="27.6" x14ac:dyDescent="0.3">
      <c r="A258" s="38" t="s">
        <v>52</v>
      </c>
      <c r="B258" s="38" t="s">
        <v>752</v>
      </c>
      <c r="C258" s="38" t="s">
        <v>782</v>
      </c>
      <c r="D258" s="39" t="s">
        <v>141</v>
      </c>
      <c r="E258" s="39" t="s">
        <v>2172</v>
      </c>
      <c r="F258" s="40">
        <v>224</v>
      </c>
      <c r="G258" s="41" t="s">
        <v>786</v>
      </c>
      <c r="H258" s="41" t="s">
        <v>779</v>
      </c>
    </row>
    <row r="259" spans="1:8" ht="27.6" x14ac:dyDescent="0.3">
      <c r="A259" s="38" t="s">
        <v>52</v>
      </c>
      <c r="B259" s="38" t="s">
        <v>752</v>
      </c>
      <c r="C259" s="38" t="s">
        <v>782</v>
      </c>
      <c r="D259" s="39" t="s">
        <v>115</v>
      </c>
      <c r="E259" s="39" t="s">
        <v>2197</v>
      </c>
      <c r="F259" s="40">
        <v>8755</v>
      </c>
      <c r="G259" s="41" t="s">
        <v>788</v>
      </c>
      <c r="H259" s="41" t="s">
        <v>98</v>
      </c>
    </row>
    <row r="260" spans="1:8" ht="27.6" x14ac:dyDescent="0.3">
      <c r="A260" s="38" t="s">
        <v>52</v>
      </c>
      <c r="B260" s="38" t="s">
        <v>752</v>
      </c>
      <c r="C260" s="38" t="s">
        <v>782</v>
      </c>
      <c r="D260" s="39" t="s">
        <v>245</v>
      </c>
      <c r="E260" s="39" t="s">
        <v>2209</v>
      </c>
      <c r="F260" s="40">
        <v>10000</v>
      </c>
      <c r="G260" s="41" t="s">
        <v>790</v>
      </c>
      <c r="H260" s="41" t="s">
        <v>791</v>
      </c>
    </row>
    <row r="261" spans="1:8" ht="27.6" x14ac:dyDescent="0.3">
      <c r="A261" s="38" t="s">
        <v>52</v>
      </c>
      <c r="B261" s="38" t="s">
        <v>752</v>
      </c>
      <c r="C261" s="38" t="s">
        <v>792</v>
      </c>
      <c r="D261" s="39" t="s">
        <v>208</v>
      </c>
      <c r="E261" s="39" t="s">
        <v>2189</v>
      </c>
      <c r="F261" s="40">
        <v>1120</v>
      </c>
      <c r="G261" s="41" t="s">
        <v>794</v>
      </c>
      <c r="H261" s="41" t="s">
        <v>499</v>
      </c>
    </row>
    <row r="262" spans="1:8" ht="27.6" x14ac:dyDescent="0.3">
      <c r="A262" s="38" t="s">
        <v>52</v>
      </c>
      <c r="B262" s="38" t="s">
        <v>752</v>
      </c>
      <c r="C262" s="38" t="s">
        <v>792</v>
      </c>
      <c r="D262" s="39" t="s">
        <v>121</v>
      </c>
      <c r="E262" s="39" t="s">
        <v>2189</v>
      </c>
      <c r="F262" s="40">
        <v>8547</v>
      </c>
      <c r="G262" s="41" t="s">
        <v>796</v>
      </c>
      <c r="H262" s="41" t="s">
        <v>499</v>
      </c>
    </row>
    <row r="263" spans="1:8" ht="27.6" x14ac:dyDescent="0.3">
      <c r="A263" s="38" t="s">
        <v>52</v>
      </c>
      <c r="B263" s="38" t="s">
        <v>752</v>
      </c>
      <c r="C263" s="38" t="s">
        <v>792</v>
      </c>
      <c r="D263" s="39" t="s">
        <v>245</v>
      </c>
      <c r="E263" s="39" t="s">
        <v>2154</v>
      </c>
      <c r="F263" s="40">
        <v>9135</v>
      </c>
      <c r="G263" s="41" t="s">
        <v>798</v>
      </c>
      <c r="H263" s="41" t="s">
        <v>799</v>
      </c>
    </row>
    <row r="264" spans="1:8" ht="27.6" x14ac:dyDescent="0.3">
      <c r="A264" s="38" t="s">
        <v>52</v>
      </c>
      <c r="B264" s="38" t="s">
        <v>752</v>
      </c>
      <c r="C264" s="38" t="s">
        <v>792</v>
      </c>
      <c r="D264" s="39" t="s">
        <v>245</v>
      </c>
      <c r="E264" s="39" t="s">
        <v>2154</v>
      </c>
      <c r="F264" s="40">
        <v>900</v>
      </c>
      <c r="G264" s="41" t="s">
        <v>801</v>
      </c>
      <c r="H264" s="41" t="s">
        <v>799</v>
      </c>
    </row>
    <row r="265" spans="1:8" ht="27.6" x14ac:dyDescent="0.3">
      <c r="A265" s="38" t="s">
        <v>52</v>
      </c>
      <c r="B265" s="38" t="s">
        <v>752</v>
      </c>
      <c r="C265" s="38" t="s">
        <v>792</v>
      </c>
      <c r="D265" s="39" t="s">
        <v>141</v>
      </c>
      <c r="E265" s="39" t="s">
        <v>2159</v>
      </c>
      <c r="F265" s="40">
        <v>7251</v>
      </c>
      <c r="G265" s="41" t="s">
        <v>803</v>
      </c>
      <c r="H265" s="41" t="s">
        <v>804</v>
      </c>
    </row>
    <row r="266" spans="1:8" ht="27.6" x14ac:dyDescent="0.3">
      <c r="A266" s="38" t="s">
        <v>52</v>
      </c>
      <c r="B266" s="38" t="s">
        <v>752</v>
      </c>
      <c r="C266" s="38" t="s">
        <v>792</v>
      </c>
      <c r="D266" s="39" t="s">
        <v>141</v>
      </c>
      <c r="E266" s="39" t="s">
        <v>2143</v>
      </c>
      <c r="F266" s="40">
        <v>955</v>
      </c>
      <c r="G266" s="41" t="s">
        <v>806</v>
      </c>
      <c r="H266" s="41" t="s">
        <v>248</v>
      </c>
    </row>
    <row r="267" spans="1:8" ht="27.6" x14ac:dyDescent="0.3">
      <c r="A267" s="38" t="s">
        <v>52</v>
      </c>
      <c r="B267" s="38" t="s">
        <v>752</v>
      </c>
      <c r="C267" s="38" t="s">
        <v>792</v>
      </c>
      <c r="D267" s="39" t="s">
        <v>115</v>
      </c>
      <c r="E267" s="39" t="s">
        <v>2143</v>
      </c>
      <c r="F267" s="40">
        <v>724</v>
      </c>
      <c r="G267" s="41" t="s">
        <v>808</v>
      </c>
      <c r="H267" s="41" t="s">
        <v>248</v>
      </c>
    </row>
    <row r="268" spans="1:8" ht="27.6" x14ac:dyDescent="0.3">
      <c r="A268" s="38" t="s">
        <v>52</v>
      </c>
      <c r="B268" s="38" t="s">
        <v>752</v>
      </c>
      <c r="C268" s="38" t="s">
        <v>792</v>
      </c>
      <c r="D268" s="39" t="s">
        <v>62</v>
      </c>
      <c r="E268" s="39" t="s">
        <v>2143</v>
      </c>
      <c r="F268" s="40">
        <v>1200</v>
      </c>
      <c r="G268" s="41" t="s">
        <v>808</v>
      </c>
      <c r="H268" s="41" t="s">
        <v>248</v>
      </c>
    </row>
    <row r="269" spans="1:8" ht="27.6" x14ac:dyDescent="0.3">
      <c r="A269" s="38" t="s">
        <v>52</v>
      </c>
      <c r="B269" s="38" t="s">
        <v>752</v>
      </c>
      <c r="C269" s="38" t="s">
        <v>792</v>
      </c>
      <c r="D269" s="39" t="s">
        <v>245</v>
      </c>
      <c r="E269" s="39" t="s">
        <v>2143</v>
      </c>
      <c r="F269" s="40">
        <v>1470</v>
      </c>
      <c r="G269" s="41" t="s">
        <v>810</v>
      </c>
      <c r="H269" s="41" t="s">
        <v>248</v>
      </c>
    </row>
    <row r="270" spans="1:8" ht="27.6" x14ac:dyDescent="0.3">
      <c r="A270" s="38" t="s">
        <v>52</v>
      </c>
      <c r="B270" s="38" t="s">
        <v>752</v>
      </c>
      <c r="C270" s="38" t="s">
        <v>792</v>
      </c>
      <c r="D270" s="39" t="s">
        <v>245</v>
      </c>
      <c r="E270" s="39" t="s">
        <v>2143</v>
      </c>
      <c r="F270" s="40">
        <v>6000</v>
      </c>
      <c r="G270" s="41" t="s">
        <v>812</v>
      </c>
      <c r="H270" s="41" t="s">
        <v>248</v>
      </c>
    </row>
    <row r="271" spans="1:8" ht="27.6" x14ac:dyDescent="0.3">
      <c r="A271" s="38" t="s">
        <v>52</v>
      </c>
      <c r="B271" s="38" t="s">
        <v>752</v>
      </c>
      <c r="C271" s="38" t="s">
        <v>813</v>
      </c>
      <c r="D271" s="39" t="s">
        <v>81</v>
      </c>
      <c r="E271" s="39" t="s">
        <v>2193</v>
      </c>
      <c r="F271" s="40">
        <v>21904</v>
      </c>
      <c r="G271" s="41" t="s">
        <v>815</v>
      </c>
      <c r="H271" s="41" t="s">
        <v>211</v>
      </c>
    </row>
    <row r="272" spans="1:8" ht="27.6" x14ac:dyDescent="0.3">
      <c r="A272" s="38" t="s">
        <v>52</v>
      </c>
      <c r="B272" s="38" t="s">
        <v>752</v>
      </c>
      <c r="C272" s="38" t="s">
        <v>816</v>
      </c>
      <c r="D272" s="39" t="s">
        <v>81</v>
      </c>
      <c r="E272" s="39" t="s">
        <v>2193</v>
      </c>
      <c r="F272" s="40">
        <v>12271</v>
      </c>
      <c r="G272" s="41" t="s">
        <v>818</v>
      </c>
      <c r="H272" s="41" t="s">
        <v>211</v>
      </c>
    </row>
    <row r="273" spans="1:8" ht="41.4" x14ac:dyDescent="0.3">
      <c r="A273" s="38" t="s">
        <v>52</v>
      </c>
      <c r="B273" s="38" t="s">
        <v>752</v>
      </c>
      <c r="C273" s="38" t="s">
        <v>819</v>
      </c>
      <c r="D273" s="39" t="s">
        <v>110</v>
      </c>
      <c r="E273" s="39" t="s">
        <v>2197</v>
      </c>
      <c r="F273" s="40">
        <v>4084</v>
      </c>
      <c r="G273" s="41" t="s">
        <v>821</v>
      </c>
      <c r="H273" s="41" t="s">
        <v>98</v>
      </c>
    </row>
    <row r="274" spans="1:8" ht="27.6" x14ac:dyDescent="0.3">
      <c r="A274" s="38" t="s">
        <v>52</v>
      </c>
      <c r="B274" s="38" t="s">
        <v>752</v>
      </c>
      <c r="C274" s="38" t="s">
        <v>819</v>
      </c>
      <c r="D274" s="39" t="s">
        <v>208</v>
      </c>
      <c r="E274" s="39" t="s">
        <v>2203</v>
      </c>
      <c r="F274" s="40">
        <v>1530</v>
      </c>
      <c r="G274" s="41" t="s">
        <v>823</v>
      </c>
      <c r="H274" s="41" t="s">
        <v>79</v>
      </c>
    </row>
    <row r="275" spans="1:8" ht="41.4" x14ac:dyDescent="0.3">
      <c r="A275" s="38" t="s">
        <v>52</v>
      </c>
      <c r="B275" s="38" t="s">
        <v>752</v>
      </c>
      <c r="C275" s="38" t="s">
        <v>819</v>
      </c>
      <c r="D275" s="39" t="s">
        <v>110</v>
      </c>
      <c r="E275" s="39" t="s">
        <v>2203</v>
      </c>
      <c r="F275" s="40">
        <v>2000</v>
      </c>
      <c r="G275" s="41" t="s">
        <v>823</v>
      </c>
      <c r="H275" s="41" t="s">
        <v>79</v>
      </c>
    </row>
    <row r="276" spans="1:8" ht="41.4" x14ac:dyDescent="0.3">
      <c r="A276" s="38" t="s">
        <v>52</v>
      </c>
      <c r="B276" s="38" t="s">
        <v>752</v>
      </c>
      <c r="C276" s="38" t="s">
        <v>819</v>
      </c>
      <c r="D276" s="39" t="s">
        <v>110</v>
      </c>
      <c r="E276" s="39" t="s">
        <v>2184</v>
      </c>
      <c r="F276" s="40">
        <v>4084</v>
      </c>
      <c r="G276" s="41" t="s">
        <v>825</v>
      </c>
      <c r="H276" s="41" t="s">
        <v>150</v>
      </c>
    </row>
    <row r="277" spans="1:8" ht="41.4" x14ac:dyDescent="0.3">
      <c r="A277" s="38" t="s">
        <v>52</v>
      </c>
      <c r="B277" s="38" t="s">
        <v>752</v>
      </c>
      <c r="C277" s="38" t="s">
        <v>819</v>
      </c>
      <c r="D277" s="39" t="s">
        <v>110</v>
      </c>
      <c r="E277" s="39" t="s">
        <v>2150</v>
      </c>
      <c r="F277" s="40">
        <v>4000</v>
      </c>
      <c r="G277" s="41" t="s">
        <v>827</v>
      </c>
      <c r="H277" s="41" t="s">
        <v>478</v>
      </c>
    </row>
    <row r="278" spans="1:8" ht="41.4" x14ac:dyDescent="0.3">
      <c r="A278" s="38" t="s">
        <v>52</v>
      </c>
      <c r="B278" s="38" t="s">
        <v>752</v>
      </c>
      <c r="C278" s="38" t="s">
        <v>819</v>
      </c>
      <c r="D278" s="39" t="s">
        <v>110</v>
      </c>
      <c r="E278" s="39" t="s">
        <v>2146</v>
      </c>
      <c r="F278" s="40">
        <v>6127</v>
      </c>
      <c r="G278" s="41" t="s">
        <v>829</v>
      </c>
      <c r="H278" s="41" t="s">
        <v>49</v>
      </c>
    </row>
    <row r="279" spans="1:8" ht="41.4" x14ac:dyDescent="0.3">
      <c r="A279" s="38" t="s">
        <v>52</v>
      </c>
      <c r="B279" s="38" t="s">
        <v>752</v>
      </c>
      <c r="C279" s="38" t="s">
        <v>819</v>
      </c>
      <c r="D279" s="39" t="s">
        <v>110</v>
      </c>
      <c r="E279" s="39" t="s">
        <v>2141</v>
      </c>
      <c r="F279" s="40">
        <v>4084</v>
      </c>
      <c r="G279" s="41" t="s">
        <v>831</v>
      </c>
      <c r="H279" s="41" t="s">
        <v>235</v>
      </c>
    </row>
    <row r="280" spans="1:8" ht="27.6" x14ac:dyDescent="0.3">
      <c r="A280" s="38" t="s">
        <v>52</v>
      </c>
      <c r="B280" s="38" t="s">
        <v>832</v>
      </c>
      <c r="C280" s="38" t="s">
        <v>833</v>
      </c>
      <c r="D280" s="39" t="s">
        <v>121</v>
      </c>
      <c r="E280" s="39" t="s">
        <v>2146</v>
      </c>
      <c r="F280" s="40">
        <v>9000</v>
      </c>
      <c r="G280" s="41" t="s">
        <v>835</v>
      </c>
      <c r="H280" s="41" t="s">
        <v>49</v>
      </c>
    </row>
    <row r="281" spans="1:8" ht="27.6" x14ac:dyDescent="0.3">
      <c r="A281" s="38" t="s">
        <v>52</v>
      </c>
      <c r="B281" s="38" t="s">
        <v>832</v>
      </c>
      <c r="C281" s="38" t="s">
        <v>833</v>
      </c>
      <c r="D281" s="39" t="s">
        <v>245</v>
      </c>
      <c r="E281" s="39" t="s">
        <v>2154</v>
      </c>
      <c r="F281" s="40">
        <v>1932</v>
      </c>
      <c r="G281" s="41" t="s">
        <v>837</v>
      </c>
      <c r="H281" s="41" t="s">
        <v>838</v>
      </c>
    </row>
    <row r="282" spans="1:8" ht="27.6" x14ac:dyDescent="0.3">
      <c r="A282" s="38" t="s">
        <v>52</v>
      </c>
      <c r="B282" s="38" t="s">
        <v>832</v>
      </c>
      <c r="C282" s="38" t="s">
        <v>839</v>
      </c>
      <c r="D282" s="39" t="s">
        <v>245</v>
      </c>
      <c r="E282" s="39" t="s">
        <v>2159</v>
      </c>
      <c r="F282" s="40">
        <v>4830</v>
      </c>
      <c r="G282" s="41" t="s">
        <v>841</v>
      </c>
      <c r="H282" s="41" t="s">
        <v>842</v>
      </c>
    </row>
    <row r="283" spans="1:8" ht="27.6" x14ac:dyDescent="0.3">
      <c r="A283" s="38" t="s">
        <v>52</v>
      </c>
      <c r="B283" s="38" t="s">
        <v>832</v>
      </c>
      <c r="C283" s="38" t="s">
        <v>839</v>
      </c>
      <c r="D283" s="39" t="s">
        <v>121</v>
      </c>
      <c r="E283" s="39" t="s">
        <v>2159</v>
      </c>
      <c r="F283" s="40">
        <v>852</v>
      </c>
      <c r="G283" s="41" t="s">
        <v>844</v>
      </c>
      <c r="H283" s="41" t="s">
        <v>842</v>
      </c>
    </row>
    <row r="284" spans="1:8" ht="27.6" x14ac:dyDescent="0.3">
      <c r="A284" s="38" t="s">
        <v>52</v>
      </c>
      <c r="B284" s="38" t="s">
        <v>832</v>
      </c>
      <c r="C284" s="38" t="s">
        <v>839</v>
      </c>
      <c r="D284" s="39" t="s">
        <v>141</v>
      </c>
      <c r="E284" s="39" t="s">
        <v>2159</v>
      </c>
      <c r="F284" s="40">
        <v>61</v>
      </c>
      <c r="G284" s="41" t="s">
        <v>846</v>
      </c>
      <c r="H284" s="41" t="s">
        <v>842</v>
      </c>
    </row>
    <row r="285" spans="1:8" ht="27.6" x14ac:dyDescent="0.3">
      <c r="A285" s="38" t="s">
        <v>52</v>
      </c>
      <c r="B285" s="38" t="s">
        <v>832</v>
      </c>
      <c r="C285" s="38" t="s">
        <v>839</v>
      </c>
      <c r="D285" s="39" t="s">
        <v>115</v>
      </c>
      <c r="E285" s="39" t="s">
        <v>2197</v>
      </c>
      <c r="F285" s="40">
        <v>1975</v>
      </c>
      <c r="G285" s="41" t="s">
        <v>848</v>
      </c>
      <c r="H285" s="41" t="s">
        <v>98</v>
      </c>
    </row>
    <row r="286" spans="1:8" ht="27.6" x14ac:dyDescent="0.3">
      <c r="A286" s="38" t="s">
        <v>52</v>
      </c>
      <c r="B286" s="38" t="s">
        <v>832</v>
      </c>
      <c r="C286" s="38" t="s">
        <v>839</v>
      </c>
      <c r="D286" s="39" t="s">
        <v>121</v>
      </c>
      <c r="E286" s="39" t="s">
        <v>2199</v>
      </c>
      <c r="F286" s="40">
        <v>336</v>
      </c>
      <c r="G286" s="41" t="s">
        <v>850</v>
      </c>
      <c r="H286" s="41" t="s">
        <v>353</v>
      </c>
    </row>
    <row r="287" spans="1:8" ht="27.6" x14ac:dyDescent="0.3">
      <c r="A287" s="38" t="s">
        <v>52</v>
      </c>
      <c r="B287" s="38" t="s">
        <v>832</v>
      </c>
      <c r="C287" s="38" t="s">
        <v>851</v>
      </c>
      <c r="D287" s="39" t="s">
        <v>208</v>
      </c>
      <c r="E287" s="39" t="s">
        <v>2189</v>
      </c>
      <c r="F287" s="40">
        <v>280</v>
      </c>
      <c r="G287" s="41" t="s">
        <v>853</v>
      </c>
      <c r="H287" s="41" t="s">
        <v>499</v>
      </c>
    </row>
    <row r="288" spans="1:8" ht="27.6" x14ac:dyDescent="0.3">
      <c r="A288" s="38" t="s">
        <v>52</v>
      </c>
      <c r="B288" s="38" t="s">
        <v>854</v>
      </c>
      <c r="C288" s="38" t="s">
        <v>855</v>
      </c>
      <c r="D288" s="39" t="s">
        <v>141</v>
      </c>
      <c r="E288" s="39" t="s">
        <v>2178</v>
      </c>
      <c r="F288" s="40">
        <v>14562</v>
      </c>
      <c r="G288" s="41" t="s">
        <v>857</v>
      </c>
      <c r="H288" s="41" t="s">
        <v>337</v>
      </c>
    </row>
    <row r="289" spans="1:8" ht="41.4" x14ac:dyDescent="0.3">
      <c r="A289" s="38" t="s">
        <v>52</v>
      </c>
      <c r="B289" s="38" t="s">
        <v>854</v>
      </c>
      <c r="C289" s="38" t="s">
        <v>858</v>
      </c>
      <c r="D289" s="39" t="s">
        <v>245</v>
      </c>
      <c r="E289" s="39" t="s">
        <v>2209</v>
      </c>
      <c r="F289" s="40">
        <v>20000</v>
      </c>
      <c r="G289" s="41" t="s">
        <v>860</v>
      </c>
      <c r="H289" s="41" t="s">
        <v>647</v>
      </c>
    </row>
    <row r="290" spans="1:8" ht="27.6" x14ac:dyDescent="0.3">
      <c r="A290" s="38" t="s">
        <v>52</v>
      </c>
      <c r="B290" s="38" t="s">
        <v>854</v>
      </c>
      <c r="C290" s="38" t="s">
        <v>861</v>
      </c>
      <c r="D290" s="39" t="s">
        <v>55</v>
      </c>
      <c r="E290" s="39" t="s">
        <v>2207</v>
      </c>
      <c r="F290" s="40">
        <v>3905</v>
      </c>
      <c r="G290" s="41" t="s">
        <v>863</v>
      </c>
      <c r="H290" s="41" t="s">
        <v>168</v>
      </c>
    </row>
    <row r="291" spans="1:8" ht="27.6" x14ac:dyDescent="0.3">
      <c r="A291" s="38" t="s">
        <v>52</v>
      </c>
      <c r="B291" s="38" t="s">
        <v>854</v>
      </c>
      <c r="C291" s="38" t="s">
        <v>861</v>
      </c>
      <c r="D291" s="39" t="s">
        <v>703</v>
      </c>
      <c r="E291" s="39" t="s">
        <v>2154</v>
      </c>
      <c r="F291" s="40">
        <v>1248</v>
      </c>
      <c r="G291" s="41" t="s">
        <v>865</v>
      </c>
      <c r="H291" s="41" t="s">
        <v>866</v>
      </c>
    </row>
    <row r="292" spans="1:8" ht="27.6" x14ac:dyDescent="0.3">
      <c r="A292" s="38" t="s">
        <v>52</v>
      </c>
      <c r="B292" s="38" t="s">
        <v>854</v>
      </c>
      <c r="C292" s="38" t="s">
        <v>867</v>
      </c>
      <c r="D292" s="39" t="s">
        <v>141</v>
      </c>
      <c r="E292" s="39" t="s">
        <v>2157</v>
      </c>
      <c r="F292" s="40">
        <v>2850</v>
      </c>
      <c r="G292" s="41" t="s">
        <v>869</v>
      </c>
      <c r="H292" s="41" t="s">
        <v>870</v>
      </c>
    </row>
    <row r="293" spans="1:8" ht="27.6" x14ac:dyDescent="0.3">
      <c r="A293" s="38" t="s">
        <v>52</v>
      </c>
      <c r="B293" s="38" t="s">
        <v>854</v>
      </c>
      <c r="C293" s="38" t="s">
        <v>867</v>
      </c>
      <c r="D293" s="39" t="s">
        <v>245</v>
      </c>
      <c r="E293" s="39" t="s">
        <v>2154</v>
      </c>
      <c r="F293" s="40">
        <v>5800</v>
      </c>
      <c r="G293" s="41" t="s">
        <v>872</v>
      </c>
      <c r="H293" s="41" t="s">
        <v>838</v>
      </c>
    </row>
    <row r="294" spans="1:8" ht="27.6" x14ac:dyDescent="0.3">
      <c r="A294" s="38" t="s">
        <v>52</v>
      </c>
      <c r="B294" s="38" t="s">
        <v>854</v>
      </c>
      <c r="C294" s="38" t="s">
        <v>867</v>
      </c>
      <c r="D294" s="39" t="s">
        <v>121</v>
      </c>
      <c r="E294" s="39" t="s">
        <v>2203</v>
      </c>
      <c r="F294" s="40">
        <v>5000</v>
      </c>
      <c r="G294" s="41" t="s">
        <v>874</v>
      </c>
      <c r="H294" s="41" t="s">
        <v>79</v>
      </c>
    </row>
    <row r="295" spans="1:8" ht="41.4" x14ac:dyDescent="0.3">
      <c r="A295" s="38" t="s">
        <v>52</v>
      </c>
      <c r="B295" s="38" t="s">
        <v>854</v>
      </c>
      <c r="C295" s="38" t="s">
        <v>875</v>
      </c>
      <c r="D295" s="39" t="s">
        <v>110</v>
      </c>
      <c r="E295" s="39" t="s">
        <v>2203</v>
      </c>
      <c r="F295" s="40">
        <v>2000</v>
      </c>
      <c r="G295" s="41" t="s">
        <v>877</v>
      </c>
      <c r="H295" s="41" t="s">
        <v>79</v>
      </c>
    </row>
    <row r="296" spans="1:8" ht="41.4" x14ac:dyDescent="0.3">
      <c r="A296" s="38" t="s">
        <v>52</v>
      </c>
      <c r="B296" s="38" t="s">
        <v>854</v>
      </c>
      <c r="C296" s="38" t="s">
        <v>875</v>
      </c>
      <c r="D296" s="39" t="s">
        <v>110</v>
      </c>
      <c r="E296" s="39" t="s">
        <v>2189</v>
      </c>
      <c r="F296" s="40">
        <v>4084</v>
      </c>
      <c r="G296" s="41" t="s">
        <v>879</v>
      </c>
      <c r="H296" s="41" t="s">
        <v>499</v>
      </c>
    </row>
    <row r="297" spans="1:8" ht="41.4" x14ac:dyDescent="0.3">
      <c r="A297" s="38" t="s">
        <v>52</v>
      </c>
      <c r="B297" s="38" t="s">
        <v>854</v>
      </c>
      <c r="C297" s="38" t="s">
        <v>875</v>
      </c>
      <c r="D297" s="39" t="s">
        <v>110</v>
      </c>
      <c r="E297" s="39" t="s">
        <v>2189</v>
      </c>
      <c r="F297" s="40">
        <v>6127</v>
      </c>
      <c r="G297" s="41" t="s">
        <v>881</v>
      </c>
      <c r="H297" s="41" t="s">
        <v>499</v>
      </c>
    </row>
    <row r="298" spans="1:8" ht="41.4" x14ac:dyDescent="0.3">
      <c r="A298" s="38" t="s">
        <v>52</v>
      </c>
      <c r="B298" s="38" t="s">
        <v>854</v>
      </c>
      <c r="C298" s="38" t="s">
        <v>875</v>
      </c>
      <c r="D298" s="39" t="s">
        <v>110</v>
      </c>
      <c r="E298" s="39" t="s">
        <v>2167</v>
      </c>
      <c r="F298" s="40">
        <v>3063</v>
      </c>
      <c r="G298" s="41" t="s">
        <v>883</v>
      </c>
      <c r="H298" s="41" t="s">
        <v>70</v>
      </c>
    </row>
    <row r="299" spans="1:8" ht="27.6" x14ac:dyDescent="0.3">
      <c r="A299" s="38" t="s">
        <v>52</v>
      </c>
      <c r="B299" s="38" t="s">
        <v>854</v>
      </c>
      <c r="C299" s="38" t="s">
        <v>884</v>
      </c>
      <c r="D299" s="39" t="s">
        <v>81</v>
      </c>
      <c r="E299" s="39" t="s">
        <v>2219</v>
      </c>
      <c r="F299" s="40">
        <v>32228</v>
      </c>
      <c r="G299" s="41" t="s">
        <v>886</v>
      </c>
      <c r="H299" s="41" t="s">
        <v>223</v>
      </c>
    </row>
    <row r="300" spans="1:8" ht="27.6" x14ac:dyDescent="0.3">
      <c r="A300" s="38" t="s">
        <v>52</v>
      </c>
      <c r="B300" s="38" t="s">
        <v>854</v>
      </c>
      <c r="C300" s="38" t="s">
        <v>887</v>
      </c>
      <c r="D300" s="39" t="s">
        <v>81</v>
      </c>
      <c r="E300" s="39" t="s">
        <v>2170</v>
      </c>
      <c r="F300" s="40">
        <v>5385</v>
      </c>
      <c r="G300" s="41" t="s">
        <v>889</v>
      </c>
      <c r="H300" s="41" t="s">
        <v>84</v>
      </c>
    </row>
    <row r="301" spans="1:8" ht="27.6" x14ac:dyDescent="0.3">
      <c r="A301" s="38" t="s">
        <v>52</v>
      </c>
      <c r="B301" s="38" t="s">
        <v>854</v>
      </c>
      <c r="C301" s="38" t="s">
        <v>890</v>
      </c>
      <c r="D301" s="39" t="s">
        <v>81</v>
      </c>
      <c r="E301" s="39" t="s">
        <v>2170</v>
      </c>
      <c r="F301" s="40">
        <v>7447</v>
      </c>
      <c r="G301" s="41" t="s">
        <v>892</v>
      </c>
      <c r="H301" s="41" t="s">
        <v>84</v>
      </c>
    </row>
    <row r="302" spans="1:8" ht="41.4" x14ac:dyDescent="0.3">
      <c r="A302" s="38" t="s">
        <v>52</v>
      </c>
      <c r="B302" s="38" t="s">
        <v>893</v>
      </c>
      <c r="C302" s="38" t="s">
        <v>894</v>
      </c>
      <c r="D302" s="39" t="s">
        <v>62</v>
      </c>
      <c r="E302" s="39" t="s">
        <v>2205</v>
      </c>
      <c r="F302" s="40">
        <v>33012</v>
      </c>
      <c r="G302" s="41" t="s">
        <v>896</v>
      </c>
      <c r="H302" s="41" t="s">
        <v>342</v>
      </c>
    </row>
    <row r="303" spans="1:8" ht="41.4" x14ac:dyDescent="0.3">
      <c r="A303" s="38" t="s">
        <v>52</v>
      </c>
      <c r="B303" s="38" t="s">
        <v>893</v>
      </c>
      <c r="C303" s="38" t="s">
        <v>897</v>
      </c>
      <c r="D303" s="39" t="s">
        <v>110</v>
      </c>
      <c r="E303" s="39" t="s">
        <v>2189</v>
      </c>
      <c r="F303" s="40">
        <v>6127</v>
      </c>
      <c r="G303" s="41" t="s">
        <v>899</v>
      </c>
      <c r="H303" s="41" t="s">
        <v>499</v>
      </c>
    </row>
    <row r="304" spans="1:8" x14ac:dyDescent="0.3">
      <c r="A304" s="38" t="s">
        <v>44</v>
      </c>
      <c r="B304" s="38" t="s">
        <v>893</v>
      </c>
      <c r="C304" s="38" t="s">
        <v>330</v>
      </c>
      <c r="D304" s="39" t="s">
        <v>7</v>
      </c>
      <c r="E304" s="39" t="s">
        <v>2148</v>
      </c>
      <c r="F304" s="40">
        <v>11296</v>
      </c>
      <c r="G304" s="41" t="s">
        <v>901</v>
      </c>
      <c r="H304" s="41" t="s">
        <v>902</v>
      </c>
    </row>
    <row r="305" spans="1:8" ht="27.6" x14ac:dyDescent="0.3">
      <c r="A305" s="38" t="s">
        <v>52</v>
      </c>
      <c r="B305" s="38" t="s">
        <v>903</v>
      </c>
      <c r="C305" s="38" t="s">
        <v>904</v>
      </c>
      <c r="D305" s="39" t="s">
        <v>55</v>
      </c>
      <c r="E305" s="39" t="s">
        <v>2207</v>
      </c>
      <c r="F305" s="40">
        <v>374</v>
      </c>
      <c r="G305" s="41" t="s">
        <v>906</v>
      </c>
      <c r="H305" s="41" t="s">
        <v>168</v>
      </c>
    </row>
    <row r="306" spans="1:8" ht="27.6" x14ac:dyDescent="0.3">
      <c r="A306" s="38" t="s">
        <v>52</v>
      </c>
      <c r="B306" s="38" t="s">
        <v>903</v>
      </c>
      <c r="C306" s="38" t="s">
        <v>907</v>
      </c>
      <c r="D306" s="39" t="s">
        <v>141</v>
      </c>
      <c r="E306" s="39" t="s">
        <v>2173</v>
      </c>
      <c r="F306" s="40">
        <v>2550</v>
      </c>
      <c r="G306" s="41" t="s">
        <v>909</v>
      </c>
      <c r="H306" s="41" t="s">
        <v>347</v>
      </c>
    </row>
    <row r="307" spans="1:8" ht="41.4" x14ac:dyDescent="0.3">
      <c r="A307" s="38" t="s">
        <v>52</v>
      </c>
      <c r="B307" s="38" t="s">
        <v>903</v>
      </c>
      <c r="C307" s="38" t="s">
        <v>907</v>
      </c>
      <c r="D307" s="39" t="s">
        <v>910</v>
      </c>
      <c r="E307" s="39" t="s">
        <v>2172</v>
      </c>
      <c r="F307" s="40">
        <v>5800</v>
      </c>
      <c r="G307" s="41" t="s">
        <v>912</v>
      </c>
      <c r="H307" s="41" t="s">
        <v>163</v>
      </c>
    </row>
    <row r="308" spans="1:8" ht="27.6" x14ac:dyDescent="0.3">
      <c r="A308" s="38" t="s">
        <v>52</v>
      </c>
      <c r="B308" s="38" t="s">
        <v>903</v>
      </c>
      <c r="C308" s="38" t="s">
        <v>913</v>
      </c>
      <c r="D308" s="39" t="s">
        <v>208</v>
      </c>
      <c r="E308" s="39" t="s">
        <v>2189</v>
      </c>
      <c r="F308" s="40">
        <v>3060</v>
      </c>
      <c r="G308" s="41" t="s">
        <v>915</v>
      </c>
      <c r="H308" s="41" t="s">
        <v>499</v>
      </c>
    </row>
    <row r="309" spans="1:8" ht="27.6" x14ac:dyDescent="0.3">
      <c r="A309" s="38" t="s">
        <v>52</v>
      </c>
      <c r="B309" s="38" t="s">
        <v>903</v>
      </c>
      <c r="C309" s="38" t="s">
        <v>913</v>
      </c>
      <c r="D309" s="39" t="s">
        <v>208</v>
      </c>
      <c r="E309" s="39" t="s">
        <v>2184</v>
      </c>
      <c r="F309" s="40">
        <v>2980</v>
      </c>
      <c r="G309" s="41" t="s">
        <v>917</v>
      </c>
      <c r="H309" s="41" t="s">
        <v>150</v>
      </c>
    </row>
    <row r="310" spans="1:8" ht="27.6" x14ac:dyDescent="0.3">
      <c r="A310" s="38" t="s">
        <v>44</v>
      </c>
      <c r="B310" s="38" t="s">
        <v>918</v>
      </c>
      <c r="C310" s="38" t="s">
        <v>46</v>
      </c>
      <c r="D310" s="39" t="s">
        <v>7</v>
      </c>
      <c r="E310" s="39" t="s">
        <v>2143</v>
      </c>
      <c r="F310" s="40">
        <v>5999</v>
      </c>
      <c r="G310" s="41" t="s">
        <v>920</v>
      </c>
      <c r="H310" s="41" t="s">
        <v>248</v>
      </c>
    </row>
    <row r="311" spans="1:8" ht="55.2" x14ac:dyDescent="0.3">
      <c r="A311" s="38" t="s">
        <v>52</v>
      </c>
      <c r="B311" s="38" t="s">
        <v>921</v>
      </c>
      <c r="C311" s="38" t="s">
        <v>922</v>
      </c>
      <c r="D311" s="39" t="s">
        <v>124</v>
      </c>
      <c r="E311" s="39" t="s">
        <v>2201</v>
      </c>
      <c r="F311" s="40">
        <v>36</v>
      </c>
      <c r="G311" s="41" t="s">
        <v>924</v>
      </c>
      <c r="H311" s="41" t="s">
        <v>925</v>
      </c>
    </row>
    <row r="312" spans="1:8" ht="55.2" x14ac:dyDescent="0.3">
      <c r="A312" s="38" t="s">
        <v>52</v>
      </c>
      <c r="B312" s="38" t="s">
        <v>921</v>
      </c>
      <c r="C312" s="38" t="s">
        <v>922</v>
      </c>
      <c r="D312" s="39" t="s">
        <v>245</v>
      </c>
      <c r="E312" s="39" t="s">
        <v>2201</v>
      </c>
      <c r="F312" s="40">
        <v>14475</v>
      </c>
      <c r="G312" s="41" t="s">
        <v>924</v>
      </c>
      <c r="H312" s="41" t="s">
        <v>925</v>
      </c>
    </row>
    <row r="313" spans="1:8" ht="55.2" x14ac:dyDescent="0.3">
      <c r="A313" s="38" t="s">
        <v>52</v>
      </c>
      <c r="B313" s="38" t="s">
        <v>921</v>
      </c>
      <c r="C313" s="38" t="s">
        <v>922</v>
      </c>
      <c r="D313" s="39" t="s">
        <v>121</v>
      </c>
      <c r="E313" s="39" t="s">
        <v>2201</v>
      </c>
      <c r="F313" s="40">
        <v>140</v>
      </c>
      <c r="G313" s="41" t="s">
        <v>924</v>
      </c>
      <c r="H313" s="41" t="s">
        <v>925</v>
      </c>
    </row>
    <row r="314" spans="1:8" ht="55.2" x14ac:dyDescent="0.3">
      <c r="A314" s="38" t="s">
        <v>52</v>
      </c>
      <c r="B314" s="38" t="s">
        <v>921</v>
      </c>
      <c r="C314" s="38" t="s">
        <v>922</v>
      </c>
      <c r="D314" s="39" t="s">
        <v>926</v>
      </c>
      <c r="E314" s="39" t="s">
        <v>2201</v>
      </c>
      <c r="F314" s="40">
        <v>15140</v>
      </c>
      <c r="G314" s="41" t="s">
        <v>924</v>
      </c>
      <c r="H314" s="41" t="s">
        <v>925</v>
      </c>
    </row>
    <row r="315" spans="1:8" ht="41.4" x14ac:dyDescent="0.3">
      <c r="A315" s="38" t="s">
        <v>52</v>
      </c>
      <c r="B315" s="38" t="s">
        <v>921</v>
      </c>
      <c r="C315" s="38" t="s">
        <v>927</v>
      </c>
      <c r="D315" s="39" t="s">
        <v>62</v>
      </c>
      <c r="E315" s="39" t="s">
        <v>2163</v>
      </c>
      <c r="F315" s="40">
        <v>4919</v>
      </c>
      <c r="G315" s="41" t="s">
        <v>929</v>
      </c>
      <c r="H315" s="41" t="s">
        <v>930</v>
      </c>
    </row>
    <row r="316" spans="1:8" ht="27.6" x14ac:dyDescent="0.3">
      <c r="A316" s="38" t="s">
        <v>44</v>
      </c>
      <c r="B316" s="38" t="s">
        <v>921</v>
      </c>
      <c r="C316" s="38" t="s">
        <v>330</v>
      </c>
      <c r="D316" s="39" t="s">
        <v>7</v>
      </c>
      <c r="E316" s="39" t="s">
        <v>2143</v>
      </c>
      <c r="F316" s="40">
        <v>3936</v>
      </c>
      <c r="G316" s="41" t="s">
        <v>932</v>
      </c>
      <c r="H316" s="41" t="s">
        <v>248</v>
      </c>
    </row>
    <row r="317" spans="1:8" ht="27.6" x14ac:dyDescent="0.3">
      <c r="A317" s="38" t="s">
        <v>44</v>
      </c>
      <c r="B317" s="38" t="s">
        <v>921</v>
      </c>
      <c r="C317" s="38" t="s">
        <v>330</v>
      </c>
      <c r="D317" s="39" t="s">
        <v>7</v>
      </c>
      <c r="E317" s="39" t="s">
        <v>2143</v>
      </c>
      <c r="F317" s="40">
        <v>5040</v>
      </c>
      <c r="G317" s="41" t="s">
        <v>934</v>
      </c>
      <c r="H317" s="41" t="s">
        <v>248</v>
      </c>
    </row>
    <row r="318" spans="1:8" x14ac:dyDescent="0.3">
      <c r="A318" s="38" t="s">
        <v>44</v>
      </c>
      <c r="B318" s="38" t="s">
        <v>921</v>
      </c>
      <c r="C318" s="38" t="s">
        <v>46</v>
      </c>
      <c r="D318" s="39" t="s">
        <v>7</v>
      </c>
      <c r="E318" s="39" t="s">
        <v>2152</v>
      </c>
      <c r="F318" s="40">
        <v>2964</v>
      </c>
      <c r="G318" s="41" t="s">
        <v>936</v>
      </c>
      <c r="H318" s="41" t="s">
        <v>591</v>
      </c>
    </row>
    <row r="319" spans="1:8" x14ac:dyDescent="0.3">
      <c r="A319" s="38" t="s">
        <v>44</v>
      </c>
      <c r="B319" s="38" t="s">
        <v>921</v>
      </c>
      <c r="C319" s="38" t="s">
        <v>46</v>
      </c>
      <c r="D319" s="39" t="s">
        <v>7</v>
      </c>
      <c r="E319" s="39" t="s">
        <v>2152</v>
      </c>
      <c r="F319" s="40">
        <v>524</v>
      </c>
      <c r="G319" s="41" t="s">
        <v>938</v>
      </c>
      <c r="H319" s="41" t="s">
        <v>591</v>
      </c>
    </row>
    <row r="320" spans="1:8" ht="27.6" x14ac:dyDescent="0.3">
      <c r="A320" s="38" t="s">
        <v>52</v>
      </c>
      <c r="B320" s="38" t="s">
        <v>939</v>
      </c>
      <c r="C320" s="38" t="s">
        <v>940</v>
      </c>
      <c r="D320" s="39" t="s">
        <v>245</v>
      </c>
      <c r="E320" s="39" t="s">
        <v>2155</v>
      </c>
      <c r="F320" s="40">
        <v>85900</v>
      </c>
      <c r="G320" s="41" t="s">
        <v>942</v>
      </c>
      <c r="H320" s="41" t="s">
        <v>118</v>
      </c>
    </row>
    <row r="321" spans="1:8" ht="27.6" x14ac:dyDescent="0.3">
      <c r="A321" s="38" t="s">
        <v>52</v>
      </c>
      <c r="B321" s="38" t="s">
        <v>939</v>
      </c>
      <c r="C321" s="38" t="s">
        <v>943</v>
      </c>
      <c r="D321" s="39" t="s">
        <v>81</v>
      </c>
      <c r="E321" s="39" t="s">
        <v>2152</v>
      </c>
      <c r="F321" s="40">
        <v>3181</v>
      </c>
      <c r="G321" s="41" t="s">
        <v>93</v>
      </c>
      <c r="H321" s="41" t="s">
        <v>94</v>
      </c>
    </row>
    <row r="322" spans="1:8" ht="27.6" x14ac:dyDescent="0.3">
      <c r="A322" s="38" t="s">
        <v>52</v>
      </c>
      <c r="B322" s="38" t="s">
        <v>939</v>
      </c>
      <c r="C322" s="38" t="s">
        <v>945</v>
      </c>
      <c r="D322" s="39" t="s">
        <v>81</v>
      </c>
      <c r="E322" s="39" t="s">
        <v>2172</v>
      </c>
      <c r="F322" s="40">
        <v>4126</v>
      </c>
      <c r="G322" s="41" t="s">
        <v>947</v>
      </c>
      <c r="H322" s="41" t="s">
        <v>163</v>
      </c>
    </row>
    <row r="323" spans="1:8" ht="27.6" x14ac:dyDescent="0.3">
      <c r="A323" s="38" t="s">
        <v>52</v>
      </c>
      <c r="B323" s="38" t="s">
        <v>939</v>
      </c>
      <c r="C323" s="38" t="s">
        <v>948</v>
      </c>
      <c r="D323" s="39" t="s">
        <v>81</v>
      </c>
      <c r="E323" s="39" t="s">
        <v>2172</v>
      </c>
      <c r="F323" s="40">
        <v>16976</v>
      </c>
      <c r="G323" s="41" t="s">
        <v>950</v>
      </c>
      <c r="H323" s="41" t="s">
        <v>163</v>
      </c>
    </row>
    <row r="324" spans="1:8" ht="27.6" x14ac:dyDescent="0.3">
      <c r="A324" s="38" t="s">
        <v>52</v>
      </c>
      <c r="B324" s="38" t="s">
        <v>939</v>
      </c>
      <c r="C324" s="38" t="s">
        <v>951</v>
      </c>
      <c r="D324" s="39" t="s">
        <v>81</v>
      </c>
      <c r="E324" s="39" t="s">
        <v>2170</v>
      </c>
      <c r="F324" s="40">
        <v>5385</v>
      </c>
      <c r="G324" s="41" t="s">
        <v>953</v>
      </c>
      <c r="H324" s="41" t="s">
        <v>84</v>
      </c>
    </row>
    <row r="325" spans="1:8" ht="27.6" x14ac:dyDescent="0.3">
      <c r="A325" s="38" t="s">
        <v>52</v>
      </c>
      <c r="B325" s="38" t="s">
        <v>939</v>
      </c>
      <c r="C325" s="38" t="s">
        <v>954</v>
      </c>
      <c r="D325" s="39" t="s">
        <v>81</v>
      </c>
      <c r="E325" s="39" t="s">
        <v>2170</v>
      </c>
      <c r="F325" s="40">
        <v>3729</v>
      </c>
      <c r="G325" s="41" t="s">
        <v>956</v>
      </c>
      <c r="H325" s="41" t="s">
        <v>84</v>
      </c>
    </row>
    <row r="326" spans="1:8" ht="27.6" x14ac:dyDescent="0.3">
      <c r="A326" s="38" t="s">
        <v>52</v>
      </c>
      <c r="B326" s="38" t="s">
        <v>939</v>
      </c>
      <c r="C326" s="38" t="s">
        <v>957</v>
      </c>
      <c r="D326" s="39" t="s">
        <v>81</v>
      </c>
      <c r="E326" s="39" t="s">
        <v>2170</v>
      </c>
      <c r="F326" s="40">
        <v>4130</v>
      </c>
      <c r="G326" s="41" t="s">
        <v>959</v>
      </c>
      <c r="H326" s="41" t="s">
        <v>84</v>
      </c>
    </row>
    <row r="327" spans="1:8" ht="27.6" x14ac:dyDescent="0.3">
      <c r="A327" s="38" t="s">
        <v>52</v>
      </c>
      <c r="B327" s="38" t="s">
        <v>939</v>
      </c>
      <c r="C327" s="38" t="s">
        <v>960</v>
      </c>
      <c r="D327" s="39" t="s">
        <v>81</v>
      </c>
      <c r="E327" s="39" t="s">
        <v>2170</v>
      </c>
      <c r="F327" s="40">
        <v>10033</v>
      </c>
      <c r="G327" s="41" t="s">
        <v>962</v>
      </c>
      <c r="H327" s="41" t="s">
        <v>84</v>
      </c>
    </row>
    <row r="328" spans="1:8" ht="27.6" x14ac:dyDescent="0.3">
      <c r="A328" s="38" t="s">
        <v>52</v>
      </c>
      <c r="B328" s="38" t="s">
        <v>939</v>
      </c>
      <c r="C328" s="38" t="s">
        <v>963</v>
      </c>
      <c r="D328" s="39" t="s">
        <v>81</v>
      </c>
      <c r="E328" s="39" t="s">
        <v>2168</v>
      </c>
      <c r="F328" s="40">
        <v>22235</v>
      </c>
      <c r="G328" s="41" t="s">
        <v>965</v>
      </c>
      <c r="H328" s="41" t="s">
        <v>133</v>
      </c>
    </row>
    <row r="329" spans="1:8" ht="41.4" x14ac:dyDescent="0.3">
      <c r="A329" s="38" t="s">
        <v>52</v>
      </c>
      <c r="B329" s="38" t="s">
        <v>939</v>
      </c>
      <c r="C329" s="38" t="s">
        <v>966</v>
      </c>
      <c r="D329" s="39" t="s">
        <v>81</v>
      </c>
      <c r="E329" s="39" t="s">
        <v>2215</v>
      </c>
      <c r="F329" s="40">
        <v>28416</v>
      </c>
      <c r="G329" s="41" t="s">
        <v>968</v>
      </c>
      <c r="H329" s="41" t="s">
        <v>183</v>
      </c>
    </row>
    <row r="330" spans="1:8" ht="27.6" x14ac:dyDescent="0.3">
      <c r="A330" s="38" t="s">
        <v>52</v>
      </c>
      <c r="B330" s="38" t="s">
        <v>939</v>
      </c>
      <c r="C330" s="38" t="s">
        <v>969</v>
      </c>
      <c r="D330" s="39" t="s">
        <v>81</v>
      </c>
      <c r="E330" s="39" t="s">
        <v>2215</v>
      </c>
      <c r="F330" s="40">
        <v>59519</v>
      </c>
      <c r="G330" s="41" t="s">
        <v>971</v>
      </c>
      <c r="H330" s="41" t="s">
        <v>183</v>
      </c>
    </row>
    <row r="331" spans="1:8" x14ac:dyDescent="0.3">
      <c r="A331" s="38" t="s">
        <v>44</v>
      </c>
      <c r="B331" s="38" t="s">
        <v>939</v>
      </c>
      <c r="C331" s="38" t="s">
        <v>46</v>
      </c>
      <c r="D331" s="39" t="s">
        <v>7</v>
      </c>
      <c r="E331" s="39" t="s">
        <v>2155</v>
      </c>
      <c r="F331" s="40">
        <v>20000</v>
      </c>
      <c r="G331" s="41" t="s">
        <v>973</v>
      </c>
      <c r="H331" s="41" t="s">
        <v>118</v>
      </c>
    </row>
    <row r="332" spans="1:8" x14ac:dyDescent="0.3">
      <c r="A332" s="38" t="s">
        <v>44</v>
      </c>
      <c r="B332" s="38" t="s">
        <v>939</v>
      </c>
      <c r="C332" s="38" t="s">
        <v>46</v>
      </c>
      <c r="D332" s="39" t="s">
        <v>7</v>
      </c>
      <c r="E332" s="39" t="s">
        <v>2172</v>
      </c>
      <c r="F332" s="40">
        <v>3000</v>
      </c>
      <c r="G332" s="41" t="s">
        <v>975</v>
      </c>
      <c r="H332" s="41" t="s">
        <v>976</v>
      </c>
    </row>
    <row r="333" spans="1:8" ht="27.6" x14ac:dyDescent="0.3">
      <c r="A333" s="38" t="s">
        <v>52</v>
      </c>
      <c r="B333" s="38" t="s">
        <v>977</v>
      </c>
      <c r="C333" s="38" t="s">
        <v>978</v>
      </c>
      <c r="D333" s="39" t="s">
        <v>55</v>
      </c>
      <c r="E333" s="39" t="s">
        <v>2141</v>
      </c>
      <c r="F333" s="40">
        <v>760</v>
      </c>
      <c r="G333" s="41" t="s">
        <v>980</v>
      </c>
      <c r="H333" s="41" t="s">
        <v>235</v>
      </c>
    </row>
    <row r="334" spans="1:8" x14ac:dyDescent="0.3">
      <c r="A334" s="38" t="s">
        <v>44</v>
      </c>
      <c r="B334" s="38" t="s">
        <v>977</v>
      </c>
      <c r="C334" s="38" t="s">
        <v>46</v>
      </c>
      <c r="D334" s="39" t="s">
        <v>7</v>
      </c>
      <c r="E334" s="39" t="s">
        <v>2152</v>
      </c>
      <c r="F334" s="40">
        <v>16010</v>
      </c>
      <c r="G334" s="41" t="s">
        <v>982</v>
      </c>
      <c r="H334" s="41" t="s">
        <v>983</v>
      </c>
    </row>
    <row r="335" spans="1:8" x14ac:dyDescent="0.3">
      <c r="A335" s="38" t="s">
        <v>44</v>
      </c>
      <c r="B335" s="38" t="s">
        <v>977</v>
      </c>
      <c r="C335" s="38" t="s">
        <v>46</v>
      </c>
      <c r="D335" s="39" t="s">
        <v>7</v>
      </c>
      <c r="E335" s="39" t="s">
        <v>2152</v>
      </c>
      <c r="F335" s="40">
        <v>16010</v>
      </c>
      <c r="G335" s="41" t="s">
        <v>985</v>
      </c>
      <c r="H335" s="41" t="s">
        <v>983</v>
      </c>
    </row>
    <row r="336" spans="1:8" ht="27.6" x14ac:dyDescent="0.3">
      <c r="A336" s="38" t="s">
        <v>44</v>
      </c>
      <c r="B336" s="38" t="s">
        <v>977</v>
      </c>
      <c r="C336" s="38" t="s">
        <v>46</v>
      </c>
      <c r="D336" s="39" t="s">
        <v>7</v>
      </c>
      <c r="E336" s="39" t="s">
        <v>2172</v>
      </c>
      <c r="F336" s="40">
        <v>4000</v>
      </c>
      <c r="G336" s="41" t="s">
        <v>987</v>
      </c>
      <c r="H336" s="41" t="s">
        <v>988</v>
      </c>
    </row>
    <row r="337" spans="1:8" x14ac:dyDescent="0.3">
      <c r="A337" s="38" t="s">
        <v>52</v>
      </c>
      <c r="B337" s="38" t="s">
        <v>989</v>
      </c>
      <c r="C337" s="38" t="s">
        <v>990</v>
      </c>
      <c r="D337" s="39" t="s">
        <v>115</v>
      </c>
      <c r="E337" s="39" t="s">
        <v>2167</v>
      </c>
      <c r="F337" s="40">
        <v>3500</v>
      </c>
      <c r="G337" s="41" t="s">
        <v>992</v>
      </c>
      <c r="H337" s="41" t="s">
        <v>70</v>
      </c>
    </row>
    <row r="338" spans="1:8" ht="27.6" x14ac:dyDescent="0.3">
      <c r="A338" s="38" t="s">
        <v>52</v>
      </c>
      <c r="B338" s="38" t="s">
        <v>989</v>
      </c>
      <c r="C338" s="38" t="s">
        <v>990</v>
      </c>
      <c r="D338" s="39" t="s">
        <v>141</v>
      </c>
      <c r="E338" s="39" t="s">
        <v>2170</v>
      </c>
      <c r="F338" s="40">
        <v>349</v>
      </c>
      <c r="G338" s="41" t="s">
        <v>994</v>
      </c>
      <c r="H338" s="41" t="s">
        <v>84</v>
      </c>
    </row>
    <row r="339" spans="1:8" ht="27.6" x14ac:dyDescent="0.3">
      <c r="A339" s="38" t="s">
        <v>52</v>
      </c>
      <c r="B339" s="38" t="s">
        <v>989</v>
      </c>
      <c r="C339" s="38" t="s">
        <v>990</v>
      </c>
      <c r="D339" s="39" t="s">
        <v>216</v>
      </c>
      <c r="E339" s="39" t="s">
        <v>2170</v>
      </c>
      <c r="F339" s="40">
        <v>3335</v>
      </c>
      <c r="G339" s="41" t="s">
        <v>996</v>
      </c>
      <c r="H339" s="41" t="s">
        <v>84</v>
      </c>
    </row>
    <row r="340" spans="1:8" ht="27.6" x14ac:dyDescent="0.3">
      <c r="A340" s="38" t="s">
        <v>52</v>
      </c>
      <c r="B340" s="38" t="s">
        <v>989</v>
      </c>
      <c r="C340" s="38" t="s">
        <v>990</v>
      </c>
      <c r="D340" s="39" t="s">
        <v>141</v>
      </c>
      <c r="E340" s="39" t="s">
        <v>2170</v>
      </c>
      <c r="F340" s="40">
        <v>3250</v>
      </c>
      <c r="G340" s="41" t="s">
        <v>998</v>
      </c>
      <c r="H340" s="41" t="s">
        <v>84</v>
      </c>
    </row>
    <row r="341" spans="1:8" ht="27.6" x14ac:dyDescent="0.3">
      <c r="A341" s="38" t="s">
        <v>52</v>
      </c>
      <c r="B341" s="38" t="s">
        <v>989</v>
      </c>
      <c r="C341" s="38" t="s">
        <v>990</v>
      </c>
      <c r="D341" s="39" t="s">
        <v>141</v>
      </c>
      <c r="E341" s="39" t="s">
        <v>2170</v>
      </c>
      <c r="F341" s="40">
        <v>3600</v>
      </c>
      <c r="G341" s="41" t="s">
        <v>1000</v>
      </c>
      <c r="H341" s="41" t="s">
        <v>84</v>
      </c>
    </row>
    <row r="342" spans="1:8" ht="27.6" x14ac:dyDescent="0.3">
      <c r="A342" s="38" t="s">
        <v>52</v>
      </c>
      <c r="B342" s="38" t="s">
        <v>989</v>
      </c>
      <c r="C342" s="38" t="s">
        <v>990</v>
      </c>
      <c r="D342" s="39" t="s">
        <v>141</v>
      </c>
      <c r="E342" s="39" t="s">
        <v>2170</v>
      </c>
      <c r="F342" s="40">
        <v>2950</v>
      </c>
      <c r="G342" s="41" t="s">
        <v>1002</v>
      </c>
      <c r="H342" s="41" t="s">
        <v>84</v>
      </c>
    </row>
    <row r="343" spans="1:8" ht="27.6" x14ac:dyDescent="0.3">
      <c r="A343" s="38" t="s">
        <v>52</v>
      </c>
      <c r="B343" s="38" t="s">
        <v>989</v>
      </c>
      <c r="C343" s="38" t="s">
        <v>990</v>
      </c>
      <c r="D343" s="39" t="s">
        <v>124</v>
      </c>
      <c r="E343" s="39" t="s">
        <v>2172</v>
      </c>
      <c r="F343" s="40">
        <v>450</v>
      </c>
      <c r="G343" s="41" t="s">
        <v>1004</v>
      </c>
      <c r="H343" s="41" t="s">
        <v>127</v>
      </c>
    </row>
    <row r="344" spans="1:8" x14ac:dyDescent="0.3">
      <c r="A344" s="38" t="s">
        <v>52</v>
      </c>
      <c r="B344" s="38" t="s">
        <v>989</v>
      </c>
      <c r="C344" s="38" t="s">
        <v>990</v>
      </c>
      <c r="D344" s="39" t="s">
        <v>115</v>
      </c>
      <c r="E344" s="39" t="s">
        <v>2209</v>
      </c>
      <c r="F344" s="40">
        <v>10000</v>
      </c>
      <c r="G344" s="41" t="s">
        <v>1006</v>
      </c>
      <c r="H344" s="41" t="s">
        <v>647</v>
      </c>
    </row>
    <row r="345" spans="1:8" ht="27.6" x14ac:dyDescent="0.3">
      <c r="A345" s="38" t="s">
        <v>52</v>
      </c>
      <c r="B345" s="38" t="s">
        <v>989</v>
      </c>
      <c r="C345" s="38" t="s">
        <v>990</v>
      </c>
      <c r="D345" s="39" t="s">
        <v>245</v>
      </c>
      <c r="E345" s="39" t="s">
        <v>2209</v>
      </c>
      <c r="F345" s="40">
        <v>2000</v>
      </c>
      <c r="G345" s="41" t="s">
        <v>1008</v>
      </c>
      <c r="H345" s="41" t="s">
        <v>1009</v>
      </c>
    </row>
    <row r="346" spans="1:8" x14ac:dyDescent="0.3">
      <c r="A346" s="38" t="s">
        <v>52</v>
      </c>
      <c r="B346" s="38" t="s">
        <v>989</v>
      </c>
      <c r="C346" s="38" t="s">
        <v>990</v>
      </c>
      <c r="D346" s="39" t="s">
        <v>115</v>
      </c>
      <c r="E346" s="39" t="s">
        <v>2209</v>
      </c>
      <c r="F346" s="40">
        <v>5720</v>
      </c>
      <c r="G346" s="41" t="s">
        <v>1011</v>
      </c>
      <c r="H346" s="41" t="s">
        <v>1012</v>
      </c>
    </row>
    <row r="347" spans="1:8" x14ac:dyDescent="0.3">
      <c r="A347" s="38" t="s">
        <v>52</v>
      </c>
      <c r="B347" s="38" t="s">
        <v>989</v>
      </c>
      <c r="C347" s="38" t="s">
        <v>990</v>
      </c>
      <c r="D347" s="39" t="s">
        <v>115</v>
      </c>
      <c r="E347" s="39" t="s">
        <v>2209</v>
      </c>
      <c r="F347" s="40">
        <v>1524</v>
      </c>
      <c r="G347" s="41" t="s">
        <v>1014</v>
      </c>
      <c r="H347" s="41" t="s">
        <v>1012</v>
      </c>
    </row>
    <row r="348" spans="1:8" ht="41.4" x14ac:dyDescent="0.3">
      <c r="A348" s="38" t="s">
        <v>52</v>
      </c>
      <c r="B348" s="38" t="s">
        <v>989</v>
      </c>
      <c r="C348" s="38" t="s">
        <v>990</v>
      </c>
      <c r="D348" s="39" t="s">
        <v>115</v>
      </c>
      <c r="E348" s="39" t="s">
        <v>2209</v>
      </c>
      <c r="F348" s="40">
        <v>3316</v>
      </c>
      <c r="G348" s="41" t="s">
        <v>1016</v>
      </c>
      <c r="H348" s="41" t="s">
        <v>1012</v>
      </c>
    </row>
    <row r="349" spans="1:8" ht="27.6" x14ac:dyDescent="0.3">
      <c r="A349" s="38" t="s">
        <v>52</v>
      </c>
      <c r="B349" s="38" t="s">
        <v>989</v>
      </c>
      <c r="C349" s="38" t="s">
        <v>1017</v>
      </c>
      <c r="D349" s="39" t="s">
        <v>62</v>
      </c>
      <c r="E349" s="39" t="s">
        <v>2141</v>
      </c>
      <c r="F349" s="40">
        <v>6000</v>
      </c>
      <c r="G349" s="41" t="s">
        <v>1019</v>
      </c>
      <c r="H349" s="41" t="s">
        <v>235</v>
      </c>
    </row>
    <row r="350" spans="1:8" ht="27.6" x14ac:dyDescent="0.3">
      <c r="A350" s="38" t="s">
        <v>52</v>
      </c>
      <c r="B350" s="38" t="s">
        <v>989</v>
      </c>
      <c r="C350" s="38" t="s">
        <v>1020</v>
      </c>
      <c r="D350" s="39" t="s">
        <v>245</v>
      </c>
      <c r="E350" s="39" t="s">
        <v>2209</v>
      </c>
      <c r="F350" s="40">
        <v>16000</v>
      </c>
      <c r="G350" s="41" t="s">
        <v>1022</v>
      </c>
      <c r="H350" s="41" t="s">
        <v>1023</v>
      </c>
    </row>
    <row r="351" spans="1:8" ht="55.2" x14ac:dyDescent="0.3">
      <c r="A351" s="38" t="s">
        <v>52</v>
      </c>
      <c r="B351" s="38" t="s">
        <v>989</v>
      </c>
      <c r="C351" s="38" t="s">
        <v>1024</v>
      </c>
      <c r="D351" s="39" t="s">
        <v>115</v>
      </c>
      <c r="E351" s="39" t="s">
        <v>2197</v>
      </c>
      <c r="F351" s="40">
        <v>58000</v>
      </c>
      <c r="G351" s="41" t="s">
        <v>1026</v>
      </c>
      <c r="H351" s="41" t="s">
        <v>98</v>
      </c>
    </row>
    <row r="352" spans="1:8" ht="27.6" x14ac:dyDescent="0.3">
      <c r="A352" s="38" t="s">
        <v>52</v>
      </c>
      <c r="B352" s="38" t="s">
        <v>989</v>
      </c>
      <c r="C352" s="38" t="s">
        <v>1027</v>
      </c>
      <c r="D352" s="39" t="s">
        <v>245</v>
      </c>
      <c r="E352" s="39" t="s">
        <v>2209</v>
      </c>
      <c r="F352" s="40">
        <v>11500</v>
      </c>
      <c r="G352" s="41" t="s">
        <v>1029</v>
      </c>
      <c r="H352" s="41" t="s">
        <v>1009</v>
      </c>
    </row>
    <row r="353" spans="1:8" ht="27.6" x14ac:dyDescent="0.3">
      <c r="A353" s="38" t="s">
        <v>52</v>
      </c>
      <c r="B353" s="38" t="s">
        <v>989</v>
      </c>
      <c r="C353" s="38" t="s">
        <v>1030</v>
      </c>
      <c r="D353" s="39" t="s">
        <v>245</v>
      </c>
      <c r="E353" s="39" t="s">
        <v>2209</v>
      </c>
      <c r="F353" s="40">
        <v>10600</v>
      </c>
      <c r="G353" s="41" t="s">
        <v>1032</v>
      </c>
      <c r="H353" s="41" t="s">
        <v>1009</v>
      </c>
    </row>
    <row r="354" spans="1:8" ht="27.6" x14ac:dyDescent="0.3">
      <c r="A354" s="38" t="s">
        <v>52</v>
      </c>
      <c r="B354" s="38" t="s">
        <v>989</v>
      </c>
      <c r="C354" s="38" t="s">
        <v>1033</v>
      </c>
      <c r="D354" s="39" t="s">
        <v>245</v>
      </c>
      <c r="E354" s="39" t="s">
        <v>2209</v>
      </c>
      <c r="F354" s="40">
        <v>17500</v>
      </c>
      <c r="G354" s="41" t="s">
        <v>1035</v>
      </c>
      <c r="H354" s="41" t="s">
        <v>1009</v>
      </c>
    </row>
    <row r="355" spans="1:8" ht="138" x14ac:dyDescent="0.3">
      <c r="A355" s="38" t="s">
        <v>52</v>
      </c>
      <c r="B355" s="38" t="s">
        <v>989</v>
      </c>
      <c r="C355" s="38" t="s">
        <v>1036</v>
      </c>
      <c r="D355" s="39" t="s">
        <v>115</v>
      </c>
      <c r="E355" s="39" t="s">
        <v>2197</v>
      </c>
      <c r="F355" s="40">
        <v>13930</v>
      </c>
      <c r="G355" s="41" t="s">
        <v>1038</v>
      </c>
      <c r="H355" s="41" t="s">
        <v>98</v>
      </c>
    </row>
    <row r="356" spans="1:8" ht="27.6" x14ac:dyDescent="0.3">
      <c r="A356" s="38" t="s">
        <v>52</v>
      </c>
      <c r="B356" s="38" t="s">
        <v>989</v>
      </c>
      <c r="C356" s="38" t="s">
        <v>1039</v>
      </c>
      <c r="D356" s="39" t="s">
        <v>141</v>
      </c>
      <c r="E356" s="39" t="s">
        <v>2201</v>
      </c>
      <c r="F356" s="40">
        <v>19980</v>
      </c>
      <c r="G356" s="41" t="s">
        <v>1041</v>
      </c>
      <c r="H356" s="41" t="s">
        <v>1042</v>
      </c>
    </row>
    <row r="357" spans="1:8" ht="27.6" x14ac:dyDescent="0.3">
      <c r="A357" s="38" t="s">
        <v>52</v>
      </c>
      <c r="B357" s="38" t="s">
        <v>989</v>
      </c>
      <c r="C357" s="38" t="s">
        <v>1043</v>
      </c>
      <c r="D357" s="39" t="s">
        <v>115</v>
      </c>
      <c r="E357" s="39" t="s">
        <v>2201</v>
      </c>
      <c r="F357" s="40">
        <v>28300</v>
      </c>
      <c r="G357" s="41" t="s">
        <v>1045</v>
      </c>
      <c r="H357" s="41" t="s">
        <v>1046</v>
      </c>
    </row>
    <row r="358" spans="1:8" ht="27.6" x14ac:dyDescent="0.3">
      <c r="A358" s="38" t="s">
        <v>44</v>
      </c>
      <c r="B358" s="38" t="s">
        <v>989</v>
      </c>
      <c r="C358" s="38" t="s">
        <v>330</v>
      </c>
      <c r="D358" s="39" t="s">
        <v>7</v>
      </c>
      <c r="E358" s="39" t="s">
        <v>2213</v>
      </c>
      <c r="F358" s="40">
        <v>3019</v>
      </c>
      <c r="G358" s="41" t="s">
        <v>1048</v>
      </c>
      <c r="H358" s="41" t="s">
        <v>393</v>
      </c>
    </row>
    <row r="359" spans="1:8" ht="27.6" x14ac:dyDescent="0.3">
      <c r="A359" s="38" t="s">
        <v>44</v>
      </c>
      <c r="B359" s="38" t="s">
        <v>989</v>
      </c>
      <c r="C359" s="38" t="s">
        <v>330</v>
      </c>
      <c r="D359" s="39" t="s">
        <v>7</v>
      </c>
      <c r="E359" s="39" t="s">
        <v>2213</v>
      </c>
      <c r="F359" s="40">
        <v>3016</v>
      </c>
      <c r="G359" s="41" t="s">
        <v>1050</v>
      </c>
      <c r="H359" s="41" t="s">
        <v>393</v>
      </c>
    </row>
    <row r="360" spans="1:8" ht="27.6" x14ac:dyDescent="0.3">
      <c r="A360" s="38" t="s">
        <v>52</v>
      </c>
      <c r="B360" s="38" t="s">
        <v>1051</v>
      </c>
      <c r="C360" s="38" t="s">
        <v>1052</v>
      </c>
      <c r="D360" s="39" t="s">
        <v>1053</v>
      </c>
      <c r="E360" s="39" t="s">
        <v>2184</v>
      </c>
      <c r="F360" s="40">
        <v>2400</v>
      </c>
      <c r="G360" s="41" t="s">
        <v>1055</v>
      </c>
      <c r="H360" s="41" t="s">
        <v>150</v>
      </c>
    </row>
    <row r="361" spans="1:8" ht="27.6" x14ac:dyDescent="0.3">
      <c r="A361" s="38" t="s">
        <v>52</v>
      </c>
      <c r="B361" s="38" t="s">
        <v>1051</v>
      </c>
      <c r="C361" s="38" t="s">
        <v>1052</v>
      </c>
      <c r="D361" s="39" t="s">
        <v>147</v>
      </c>
      <c r="E361" s="39" t="s">
        <v>2184</v>
      </c>
      <c r="F361" s="40">
        <v>1804</v>
      </c>
      <c r="G361" s="41" t="s">
        <v>1055</v>
      </c>
      <c r="H361" s="41" t="s">
        <v>150</v>
      </c>
    </row>
    <row r="362" spans="1:8" ht="27.6" x14ac:dyDescent="0.3">
      <c r="A362" s="38" t="s">
        <v>52</v>
      </c>
      <c r="B362" s="38" t="s">
        <v>1051</v>
      </c>
      <c r="C362" s="38" t="s">
        <v>1052</v>
      </c>
      <c r="D362" s="39" t="s">
        <v>232</v>
      </c>
      <c r="E362" s="39" t="s">
        <v>2176</v>
      </c>
      <c r="F362" s="40">
        <v>2000</v>
      </c>
      <c r="G362" s="41" t="s">
        <v>1057</v>
      </c>
      <c r="H362" s="41" t="s">
        <v>58</v>
      </c>
    </row>
    <row r="363" spans="1:8" ht="27.6" x14ac:dyDescent="0.3">
      <c r="A363" s="38" t="s">
        <v>52</v>
      </c>
      <c r="B363" s="38" t="s">
        <v>1051</v>
      </c>
      <c r="C363" s="38" t="s">
        <v>1052</v>
      </c>
      <c r="D363" s="39" t="s">
        <v>121</v>
      </c>
      <c r="E363" s="39" t="s">
        <v>2168</v>
      </c>
      <c r="F363" s="40">
        <v>2270</v>
      </c>
      <c r="G363" s="41" t="s">
        <v>1059</v>
      </c>
      <c r="H363" s="41" t="s">
        <v>133</v>
      </c>
    </row>
    <row r="364" spans="1:8" ht="27.6" x14ac:dyDescent="0.3">
      <c r="A364" s="38" t="s">
        <v>52</v>
      </c>
      <c r="B364" s="38" t="s">
        <v>1051</v>
      </c>
      <c r="C364" s="38" t="s">
        <v>1052</v>
      </c>
      <c r="D364" s="39" t="s">
        <v>216</v>
      </c>
      <c r="E364" s="39" t="s">
        <v>2168</v>
      </c>
      <c r="F364" s="40">
        <v>1262</v>
      </c>
      <c r="G364" s="41" t="s">
        <v>1061</v>
      </c>
      <c r="H364" s="41" t="s">
        <v>133</v>
      </c>
    </row>
    <row r="365" spans="1:8" ht="27.6" x14ac:dyDescent="0.3">
      <c r="A365" s="38" t="s">
        <v>52</v>
      </c>
      <c r="B365" s="38" t="s">
        <v>1051</v>
      </c>
      <c r="C365" s="38" t="s">
        <v>1062</v>
      </c>
      <c r="D365" s="39" t="s">
        <v>55</v>
      </c>
      <c r="E365" s="39" t="s">
        <v>2176</v>
      </c>
      <c r="F365" s="40">
        <v>2660</v>
      </c>
      <c r="G365" s="41" t="s">
        <v>1064</v>
      </c>
      <c r="H365" s="41" t="s">
        <v>58</v>
      </c>
    </row>
    <row r="366" spans="1:8" ht="27.6" x14ac:dyDescent="0.3">
      <c r="A366" s="38" t="s">
        <v>52</v>
      </c>
      <c r="B366" s="38" t="s">
        <v>1051</v>
      </c>
      <c r="C366" s="38" t="s">
        <v>1062</v>
      </c>
      <c r="D366" s="39" t="s">
        <v>208</v>
      </c>
      <c r="E366" s="39" t="s">
        <v>2197</v>
      </c>
      <c r="F366" s="40">
        <v>180</v>
      </c>
      <c r="G366" s="41" t="s">
        <v>1066</v>
      </c>
      <c r="H366" s="41" t="s">
        <v>98</v>
      </c>
    </row>
    <row r="367" spans="1:8" ht="27.6" x14ac:dyDescent="0.3">
      <c r="A367" s="38" t="s">
        <v>52</v>
      </c>
      <c r="B367" s="38" t="s">
        <v>1051</v>
      </c>
      <c r="C367" s="38" t="s">
        <v>1062</v>
      </c>
      <c r="D367" s="39" t="s">
        <v>208</v>
      </c>
      <c r="E367" s="39" t="s">
        <v>2197</v>
      </c>
      <c r="F367" s="40">
        <v>2980</v>
      </c>
      <c r="G367" s="41" t="s">
        <v>1068</v>
      </c>
      <c r="H367" s="41" t="s">
        <v>98</v>
      </c>
    </row>
    <row r="368" spans="1:8" ht="27.6" x14ac:dyDescent="0.3">
      <c r="A368" s="38" t="s">
        <v>52</v>
      </c>
      <c r="B368" s="38" t="s">
        <v>1051</v>
      </c>
      <c r="C368" s="38" t="s">
        <v>1069</v>
      </c>
      <c r="D368" s="39" t="s">
        <v>245</v>
      </c>
      <c r="E368" s="39" t="s">
        <v>2148</v>
      </c>
      <c r="F368" s="40">
        <v>23000</v>
      </c>
      <c r="G368" s="41" t="s">
        <v>1071</v>
      </c>
      <c r="H368" s="41" t="s">
        <v>1072</v>
      </c>
    </row>
    <row r="369" spans="1:8" ht="27.6" x14ac:dyDescent="0.3">
      <c r="A369" s="38" t="s">
        <v>52</v>
      </c>
      <c r="B369" s="38" t="s">
        <v>1051</v>
      </c>
      <c r="C369" s="38" t="s">
        <v>1073</v>
      </c>
      <c r="D369" s="39" t="s">
        <v>245</v>
      </c>
      <c r="E369" s="39" t="s">
        <v>2154</v>
      </c>
      <c r="F369" s="40">
        <v>994</v>
      </c>
      <c r="G369" s="41" t="s">
        <v>1075</v>
      </c>
      <c r="H369" s="41" t="s">
        <v>799</v>
      </c>
    </row>
    <row r="370" spans="1:8" ht="27.6" x14ac:dyDescent="0.3">
      <c r="A370" s="38" t="s">
        <v>52</v>
      </c>
      <c r="B370" s="38" t="s">
        <v>1051</v>
      </c>
      <c r="C370" s="38" t="s">
        <v>1073</v>
      </c>
      <c r="D370" s="39" t="s">
        <v>245</v>
      </c>
      <c r="E370" s="39" t="s">
        <v>2154</v>
      </c>
      <c r="F370" s="40">
        <v>999</v>
      </c>
      <c r="G370" s="41" t="s">
        <v>1077</v>
      </c>
      <c r="H370" s="41" t="s">
        <v>799</v>
      </c>
    </row>
    <row r="371" spans="1:8" ht="27.6" x14ac:dyDescent="0.3">
      <c r="A371" s="38" t="s">
        <v>52</v>
      </c>
      <c r="B371" s="38" t="s">
        <v>1051</v>
      </c>
      <c r="C371" s="38" t="s">
        <v>1073</v>
      </c>
      <c r="D371" s="39" t="s">
        <v>245</v>
      </c>
      <c r="E371" s="39" t="s">
        <v>2154</v>
      </c>
      <c r="F371" s="40">
        <v>545</v>
      </c>
      <c r="G371" s="41" t="s">
        <v>1079</v>
      </c>
      <c r="H371" s="41" t="s">
        <v>799</v>
      </c>
    </row>
    <row r="372" spans="1:8" ht="27.6" x14ac:dyDescent="0.3">
      <c r="A372" s="38" t="s">
        <v>52</v>
      </c>
      <c r="B372" s="38" t="s">
        <v>1051</v>
      </c>
      <c r="C372" s="38" t="s">
        <v>1073</v>
      </c>
      <c r="D372" s="39" t="s">
        <v>245</v>
      </c>
      <c r="E372" s="39" t="s">
        <v>2154</v>
      </c>
      <c r="F372" s="40">
        <v>800</v>
      </c>
      <c r="G372" s="41" t="s">
        <v>1081</v>
      </c>
      <c r="H372" s="41" t="s">
        <v>799</v>
      </c>
    </row>
    <row r="373" spans="1:8" ht="27.6" x14ac:dyDescent="0.3">
      <c r="A373" s="38" t="s">
        <v>52</v>
      </c>
      <c r="B373" s="38" t="s">
        <v>1051</v>
      </c>
      <c r="C373" s="38" t="s">
        <v>1073</v>
      </c>
      <c r="D373" s="39" t="s">
        <v>245</v>
      </c>
      <c r="E373" s="39" t="s">
        <v>2154</v>
      </c>
      <c r="F373" s="40">
        <v>1800</v>
      </c>
      <c r="G373" s="41" t="s">
        <v>1083</v>
      </c>
      <c r="H373" s="41" t="s">
        <v>799</v>
      </c>
    </row>
    <row r="374" spans="1:8" ht="27.6" x14ac:dyDescent="0.3">
      <c r="A374" s="38" t="s">
        <v>52</v>
      </c>
      <c r="B374" s="38" t="s">
        <v>1051</v>
      </c>
      <c r="C374" s="38" t="s">
        <v>1073</v>
      </c>
      <c r="D374" s="39" t="s">
        <v>130</v>
      </c>
      <c r="E374" s="39" t="s">
        <v>2167</v>
      </c>
      <c r="F374" s="40">
        <v>1200</v>
      </c>
      <c r="G374" s="41" t="s">
        <v>1085</v>
      </c>
      <c r="H374" s="41" t="s">
        <v>70</v>
      </c>
    </row>
    <row r="375" spans="1:8" x14ac:dyDescent="0.3">
      <c r="A375" s="38" t="s">
        <v>52</v>
      </c>
      <c r="B375" s="38" t="s">
        <v>1051</v>
      </c>
      <c r="C375" s="38" t="s">
        <v>1073</v>
      </c>
      <c r="D375" s="39" t="s">
        <v>1086</v>
      </c>
      <c r="E375" s="39" t="s">
        <v>2203</v>
      </c>
      <c r="F375" s="40">
        <v>3000</v>
      </c>
      <c r="G375" s="41" t="s">
        <v>1088</v>
      </c>
      <c r="H375" s="41" t="s">
        <v>79</v>
      </c>
    </row>
    <row r="376" spans="1:8" ht="27.6" x14ac:dyDescent="0.3">
      <c r="A376" s="38" t="s">
        <v>52</v>
      </c>
      <c r="B376" s="38" t="s">
        <v>1051</v>
      </c>
      <c r="C376" s="38" t="s">
        <v>1073</v>
      </c>
      <c r="D376" s="39" t="s">
        <v>141</v>
      </c>
      <c r="E376" s="39" t="s">
        <v>2207</v>
      </c>
      <c r="F376" s="40">
        <v>5627</v>
      </c>
      <c r="G376" s="41" t="s">
        <v>309</v>
      </c>
      <c r="H376" s="41" t="s">
        <v>168</v>
      </c>
    </row>
    <row r="377" spans="1:8" ht="27.6" x14ac:dyDescent="0.3">
      <c r="A377" s="38" t="s">
        <v>52</v>
      </c>
      <c r="B377" s="38" t="s">
        <v>1051</v>
      </c>
      <c r="C377" s="38" t="s">
        <v>1073</v>
      </c>
      <c r="D377" s="39" t="s">
        <v>141</v>
      </c>
      <c r="E377" s="39" t="s">
        <v>2207</v>
      </c>
      <c r="F377" s="40">
        <v>1682</v>
      </c>
      <c r="G377" s="41" t="s">
        <v>1091</v>
      </c>
      <c r="H377" s="41" t="s">
        <v>168</v>
      </c>
    </row>
    <row r="378" spans="1:8" ht="41.4" x14ac:dyDescent="0.3">
      <c r="A378" s="38" t="s">
        <v>52</v>
      </c>
      <c r="B378" s="38" t="s">
        <v>1051</v>
      </c>
      <c r="C378" s="38" t="s">
        <v>1073</v>
      </c>
      <c r="D378" s="39" t="s">
        <v>216</v>
      </c>
      <c r="E378" s="39" t="s">
        <v>2174</v>
      </c>
      <c r="F378" s="40">
        <v>1903</v>
      </c>
      <c r="G378" s="41" t="s">
        <v>1093</v>
      </c>
      <c r="H378" s="41" t="s">
        <v>74</v>
      </c>
    </row>
    <row r="379" spans="1:8" ht="27.6" x14ac:dyDescent="0.3">
      <c r="A379" s="38" t="s">
        <v>52</v>
      </c>
      <c r="B379" s="38" t="s">
        <v>1051</v>
      </c>
      <c r="C379" s="38" t="s">
        <v>1073</v>
      </c>
      <c r="D379" s="39" t="s">
        <v>1094</v>
      </c>
      <c r="E379" s="39" t="s">
        <v>2174</v>
      </c>
      <c r="F379" s="40">
        <v>1000</v>
      </c>
      <c r="G379" s="41" t="s">
        <v>1096</v>
      </c>
      <c r="H379" s="41" t="s">
        <v>74</v>
      </c>
    </row>
    <row r="380" spans="1:8" ht="41.4" x14ac:dyDescent="0.3">
      <c r="A380" s="38" t="s">
        <v>52</v>
      </c>
      <c r="B380" s="38" t="s">
        <v>1051</v>
      </c>
      <c r="C380" s="38" t="s">
        <v>1097</v>
      </c>
      <c r="D380" s="39" t="s">
        <v>110</v>
      </c>
      <c r="E380" s="39" t="s">
        <v>2184</v>
      </c>
      <c r="F380" s="40">
        <v>4084</v>
      </c>
      <c r="G380" s="41" t="s">
        <v>1099</v>
      </c>
      <c r="H380" s="41" t="s">
        <v>150</v>
      </c>
    </row>
    <row r="381" spans="1:8" ht="41.4" x14ac:dyDescent="0.3">
      <c r="A381" s="38" t="s">
        <v>52</v>
      </c>
      <c r="B381" s="38" t="s">
        <v>1051</v>
      </c>
      <c r="C381" s="38" t="s">
        <v>1097</v>
      </c>
      <c r="D381" s="39" t="s">
        <v>110</v>
      </c>
      <c r="E381" s="39" t="s">
        <v>2184</v>
      </c>
      <c r="F381" s="40">
        <v>4084</v>
      </c>
      <c r="G381" s="41" t="s">
        <v>1101</v>
      </c>
      <c r="H381" s="41" t="s">
        <v>150</v>
      </c>
    </row>
    <row r="382" spans="1:8" ht="41.4" x14ac:dyDescent="0.3">
      <c r="A382" s="38" t="s">
        <v>52</v>
      </c>
      <c r="B382" s="38" t="s">
        <v>1051</v>
      </c>
      <c r="C382" s="38" t="s">
        <v>1097</v>
      </c>
      <c r="D382" s="39" t="s">
        <v>110</v>
      </c>
      <c r="E382" s="39" t="s">
        <v>2207</v>
      </c>
      <c r="F382" s="40">
        <v>2042</v>
      </c>
      <c r="G382" s="41" t="s">
        <v>1103</v>
      </c>
      <c r="H382" s="41" t="s">
        <v>168</v>
      </c>
    </row>
    <row r="383" spans="1:8" ht="41.4" x14ac:dyDescent="0.3">
      <c r="A383" s="38" t="s">
        <v>52</v>
      </c>
      <c r="B383" s="38" t="s">
        <v>1051</v>
      </c>
      <c r="C383" s="38" t="s">
        <v>1097</v>
      </c>
      <c r="D383" s="39" t="s">
        <v>110</v>
      </c>
      <c r="E383" s="39" t="s">
        <v>2207</v>
      </c>
      <c r="F383" s="40">
        <v>2042</v>
      </c>
      <c r="G383" s="41" t="s">
        <v>1105</v>
      </c>
      <c r="H383" s="41" t="s">
        <v>168</v>
      </c>
    </row>
    <row r="384" spans="1:8" ht="41.4" x14ac:dyDescent="0.3">
      <c r="A384" s="38" t="s">
        <v>52</v>
      </c>
      <c r="B384" s="38" t="s">
        <v>1051</v>
      </c>
      <c r="C384" s="38" t="s">
        <v>1097</v>
      </c>
      <c r="D384" s="39" t="s">
        <v>110</v>
      </c>
      <c r="E384" s="39" t="s">
        <v>2197</v>
      </c>
      <c r="F384" s="40">
        <v>4084</v>
      </c>
      <c r="G384" s="41" t="s">
        <v>1107</v>
      </c>
      <c r="H384" s="41" t="s">
        <v>98</v>
      </c>
    </row>
    <row r="385" spans="1:8" ht="41.4" x14ac:dyDescent="0.3">
      <c r="A385" s="38" t="s">
        <v>52</v>
      </c>
      <c r="B385" s="38" t="s">
        <v>1051</v>
      </c>
      <c r="C385" s="38" t="s">
        <v>1097</v>
      </c>
      <c r="D385" s="39" t="s">
        <v>110</v>
      </c>
      <c r="E385" s="39" t="s">
        <v>2197</v>
      </c>
      <c r="F385" s="40">
        <v>4084</v>
      </c>
      <c r="G385" s="41" t="s">
        <v>1109</v>
      </c>
      <c r="H385" s="41" t="s">
        <v>98</v>
      </c>
    </row>
    <row r="386" spans="1:8" ht="41.4" x14ac:dyDescent="0.3">
      <c r="A386" s="38" t="s">
        <v>52</v>
      </c>
      <c r="B386" s="38" t="s">
        <v>1051</v>
      </c>
      <c r="C386" s="38" t="s">
        <v>1097</v>
      </c>
      <c r="D386" s="39" t="s">
        <v>110</v>
      </c>
      <c r="E386" s="39" t="s">
        <v>2197</v>
      </c>
      <c r="F386" s="40">
        <v>4084</v>
      </c>
      <c r="G386" s="41" t="s">
        <v>1111</v>
      </c>
      <c r="H386" s="41" t="s">
        <v>98</v>
      </c>
    </row>
    <row r="387" spans="1:8" ht="41.4" x14ac:dyDescent="0.3">
      <c r="A387" s="38" t="s">
        <v>52</v>
      </c>
      <c r="B387" s="38" t="s">
        <v>1051</v>
      </c>
      <c r="C387" s="38" t="s">
        <v>1097</v>
      </c>
      <c r="D387" s="39" t="s">
        <v>110</v>
      </c>
      <c r="E387" s="39" t="s">
        <v>2167</v>
      </c>
      <c r="F387" s="40">
        <v>3063</v>
      </c>
      <c r="G387" s="41" t="s">
        <v>1113</v>
      </c>
      <c r="H387" s="41" t="s">
        <v>70</v>
      </c>
    </row>
    <row r="388" spans="1:8" ht="41.4" x14ac:dyDescent="0.3">
      <c r="A388" s="38" t="s">
        <v>52</v>
      </c>
      <c r="B388" s="38" t="s">
        <v>1051</v>
      </c>
      <c r="C388" s="38" t="s">
        <v>1097</v>
      </c>
      <c r="D388" s="39" t="s">
        <v>110</v>
      </c>
      <c r="E388" s="39" t="s">
        <v>2167</v>
      </c>
      <c r="F388" s="40">
        <v>3063</v>
      </c>
      <c r="G388" s="41" t="s">
        <v>1115</v>
      </c>
      <c r="H388" s="41" t="s">
        <v>70</v>
      </c>
    </row>
    <row r="389" spans="1:8" x14ac:dyDescent="0.3">
      <c r="A389" s="38" t="s">
        <v>44</v>
      </c>
      <c r="B389" s="38" t="s">
        <v>1051</v>
      </c>
      <c r="C389" s="38" t="s">
        <v>46</v>
      </c>
      <c r="D389" s="39" t="s">
        <v>7</v>
      </c>
      <c r="E389" s="39" t="s">
        <v>2159</v>
      </c>
      <c r="F389" s="40">
        <v>2980</v>
      </c>
      <c r="G389" s="41" t="s">
        <v>1117</v>
      </c>
      <c r="H389" s="41" t="s">
        <v>1118</v>
      </c>
    </row>
    <row r="390" spans="1:8" x14ac:dyDescent="0.3">
      <c r="A390" s="38" t="s">
        <v>44</v>
      </c>
      <c r="B390" s="38" t="s">
        <v>1119</v>
      </c>
      <c r="C390" s="38" t="s">
        <v>46</v>
      </c>
      <c r="D390" s="39" t="s">
        <v>7</v>
      </c>
      <c r="E390" s="39" t="s">
        <v>2163</v>
      </c>
      <c r="F390" s="40">
        <v>2120</v>
      </c>
      <c r="G390" s="41" t="s">
        <v>1121</v>
      </c>
      <c r="H390" s="41" t="s">
        <v>1122</v>
      </c>
    </row>
    <row r="391" spans="1:8" ht="82.8" x14ac:dyDescent="0.3">
      <c r="A391" s="38" t="s">
        <v>52</v>
      </c>
      <c r="B391" s="38" t="s">
        <v>1123</v>
      </c>
      <c r="C391" s="38" t="s">
        <v>1124</v>
      </c>
      <c r="D391" s="39" t="s">
        <v>121</v>
      </c>
      <c r="E391" s="39" t="s">
        <v>2201</v>
      </c>
      <c r="F391" s="40">
        <v>752</v>
      </c>
      <c r="G391" s="41" t="s">
        <v>1126</v>
      </c>
      <c r="H391" s="41" t="s">
        <v>925</v>
      </c>
    </row>
    <row r="392" spans="1:8" ht="82.8" x14ac:dyDescent="0.3">
      <c r="A392" s="38" t="s">
        <v>52</v>
      </c>
      <c r="B392" s="38" t="s">
        <v>1123</v>
      </c>
      <c r="C392" s="38" t="s">
        <v>1124</v>
      </c>
      <c r="D392" s="39" t="s">
        <v>245</v>
      </c>
      <c r="E392" s="39" t="s">
        <v>2201</v>
      </c>
      <c r="F392" s="40">
        <v>67055</v>
      </c>
      <c r="G392" s="41" t="s">
        <v>1126</v>
      </c>
      <c r="H392" s="41" t="s">
        <v>925</v>
      </c>
    </row>
    <row r="393" spans="1:8" ht="82.8" x14ac:dyDescent="0.3">
      <c r="A393" s="38" t="s">
        <v>52</v>
      </c>
      <c r="B393" s="38" t="s">
        <v>1123</v>
      </c>
      <c r="C393" s="38" t="s">
        <v>1124</v>
      </c>
      <c r="D393" s="39" t="s">
        <v>1094</v>
      </c>
      <c r="E393" s="39" t="s">
        <v>2201</v>
      </c>
      <c r="F393" s="40">
        <v>6164</v>
      </c>
      <c r="G393" s="41" t="s">
        <v>1126</v>
      </c>
      <c r="H393" s="41" t="s">
        <v>925</v>
      </c>
    </row>
    <row r="394" spans="1:8" ht="82.8" x14ac:dyDescent="0.3">
      <c r="A394" s="38" t="s">
        <v>52</v>
      </c>
      <c r="B394" s="38" t="s">
        <v>1123</v>
      </c>
      <c r="C394" s="38" t="s">
        <v>1124</v>
      </c>
      <c r="D394" s="39" t="s">
        <v>213</v>
      </c>
      <c r="E394" s="39" t="s">
        <v>2201</v>
      </c>
      <c r="F394" s="40">
        <v>92</v>
      </c>
      <c r="G394" s="41" t="s">
        <v>1126</v>
      </c>
      <c r="H394" s="41" t="s">
        <v>925</v>
      </c>
    </row>
    <row r="395" spans="1:8" x14ac:dyDescent="0.3">
      <c r="A395" s="38" t="s">
        <v>44</v>
      </c>
      <c r="B395" s="38" t="s">
        <v>1123</v>
      </c>
      <c r="C395" s="38" t="s">
        <v>46</v>
      </c>
      <c r="D395" s="39" t="s">
        <v>7</v>
      </c>
      <c r="E395" s="39" t="s">
        <v>2141</v>
      </c>
      <c r="F395" s="40">
        <v>1368</v>
      </c>
      <c r="G395" s="41" t="s">
        <v>1128</v>
      </c>
      <c r="H395" s="41" t="s">
        <v>1129</v>
      </c>
    </row>
    <row r="396" spans="1:8" ht="27.6" x14ac:dyDescent="0.3">
      <c r="A396" s="38" t="s">
        <v>44</v>
      </c>
      <c r="B396" s="38" t="s">
        <v>1130</v>
      </c>
      <c r="C396" s="38" t="s">
        <v>330</v>
      </c>
      <c r="D396" s="39" t="s">
        <v>7</v>
      </c>
      <c r="E396" s="39" t="s">
        <v>2173</v>
      </c>
      <c r="F396" s="40">
        <v>5106</v>
      </c>
      <c r="G396" s="41" t="s">
        <v>1132</v>
      </c>
      <c r="H396" s="41" t="s">
        <v>347</v>
      </c>
    </row>
    <row r="397" spans="1:8" ht="27.6" x14ac:dyDescent="0.3">
      <c r="A397" s="38" t="s">
        <v>44</v>
      </c>
      <c r="B397" s="38" t="s">
        <v>1130</v>
      </c>
      <c r="C397" s="38" t="s">
        <v>46</v>
      </c>
      <c r="D397" s="39" t="s">
        <v>7</v>
      </c>
      <c r="E397" s="39" t="s">
        <v>2154</v>
      </c>
      <c r="F397" s="40">
        <v>2684</v>
      </c>
      <c r="G397" s="41" t="s">
        <v>1134</v>
      </c>
      <c r="H397" s="41" t="s">
        <v>700</v>
      </c>
    </row>
    <row r="398" spans="1:8" ht="27.6" x14ac:dyDescent="0.3">
      <c r="A398" s="38" t="s">
        <v>44</v>
      </c>
      <c r="B398" s="38" t="s">
        <v>1130</v>
      </c>
      <c r="C398" s="38" t="s">
        <v>46</v>
      </c>
      <c r="D398" s="39" t="s">
        <v>7</v>
      </c>
      <c r="E398" s="39" t="s">
        <v>2170</v>
      </c>
      <c r="F398" s="40">
        <v>16958</v>
      </c>
      <c r="G398" s="41" t="s">
        <v>1136</v>
      </c>
      <c r="H398" s="41" t="s">
        <v>84</v>
      </c>
    </row>
    <row r="399" spans="1:8" ht="27.6" x14ac:dyDescent="0.3">
      <c r="A399" s="38" t="s">
        <v>44</v>
      </c>
      <c r="B399" s="38" t="s">
        <v>1130</v>
      </c>
      <c r="C399" s="38" t="s">
        <v>46</v>
      </c>
      <c r="D399" s="39" t="s">
        <v>7</v>
      </c>
      <c r="E399" s="39" t="s">
        <v>2170</v>
      </c>
      <c r="F399" s="40">
        <v>11709</v>
      </c>
      <c r="G399" s="41" t="s">
        <v>1138</v>
      </c>
      <c r="H399" s="41" t="s">
        <v>84</v>
      </c>
    </row>
    <row r="400" spans="1:8" ht="27.6" x14ac:dyDescent="0.3">
      <c r="A400" s="38" t="s">
        <v>44</v>
      </c>
      <c r="B400" s="38" t="s">
        <v>1139</v>
      </c>
      <c r="C400" s="38" t="s">
        <v>46</v>
      </c>
      <c r="D400" s="39" t="s">
        <v>7</v>
      </c>
      <c r="E400" s="39" t="s">
        <v>2172</v>
      </c>
      <c r="F400" s="40">
        <v>9500</v>
      </c>
      <c r="G400" s="41" t="s">
        <v>1141</v>
      </c>
      <c r="H400" s="41" t="s">
        <v>1142</v>
      </c>
    </row>
    <row r="401" spans="1:8" ht="27.6" x14ac:dyDescent="0.3">
      <c r="A401" s="38" t="s">
        <v>44</v>
      </c>
      <c r="B401" s="38" t="s">
        <v>1143</v>
      </c>
      <c r="C401" s="38" t="s">
        <v>46</v>
      </c>
      <c r="D401" s="39" t="s">
        <v>7</v>
      </c>
      <c r="E401" s="39" t="s">
        <v>2152</v>
      </c>
      <c r="F401" s="40">
        <v>15751</v>
      </c>
      <c r="G401" s="41" t="s">
        <v>1145</v>
      </c>
      <c r="H401" s="41" t="s">
        <v>983</v>
      </c>
    </row>
    <row r="402" spans="1:8" ht="27.6" x14ac:dyDescent="0.3">
      <c r="A402" s="38" t="s">
        <v>44</v>
      </c>
      <c r="B402" s="38" t="s">
        <v>1143</v>
      </c>
      <c r="C402" s="38" t="s">
        <v>46</v>
      </c>
      <c r="D402" s="39" t="s">
        <v>7</v>
      </c>
      <c r="E402" s="39" t="s">
        <v>2207</v>
      </c>
      <c r="F402" s="40">
        <v>2042</v>
      </c>
      <c r="G402" s="41" t="s">
        <v>1147</v>
      </c>
      <c r="H402" s="41" t="s">
        <v>168</v>
      </c>
    </row>
    <row r="403" spans="1:8" ht="27.6" x14ac:dyDescent="0.3">
      <c r="A403" s="38" t="s">
        <v>44</v>
      </c>
      <c r="B403" s="38" t="s">
        <v>1143</v>
      </c>
      <c r="C403" s="38" t="s">
        <v>46</v>
      </c>
      <c r="D403" s="39" t="s">
        <v>7</v>
      </c>
      <c r="E403" s="39" t="s">
        <v>2207</v>
      </c>
      <c r="F403" s="40">
        <v>2042</v>
      </c>
      <c r="G403" s="41" t="s">
        <v>1149</v>
      </c>
      <c r="H403" s="41" t="s">
        <v>168</v>
      </c>
    </row>
    <row r="404" spans="1:8" ht="27.6" x14ac:dyDescent="0.3">
      <c r="A404" s="38" t="s">
        <v>52</v>
      </c>
      <c r="B404" s="38" t="s">
        <v>1150</v>
      </c>
      <c r="C404" s="38" t="s">
        <v>1151</v>
      </c>
      <c r="D404" s="39" t="s">
        <v>141</v>
      </c>
      <c r="E404" s="39" t="s">
        <v>2217</v>
      </c>
      <c r="F404" s="40">
        <v>327420</v>
      </c>
      <c r="G404" s="41" t="s">
        <v>1153</v>
      </c>
      <c r="H404" s="41" t="s">
        <v>328</v>
      </c>
    </row>
    <row r="405" spans="1:8" ht="27.6" x14ac:dyDescent="0.3">
      <c r="A405" s="38" t="s">
        <v>52</v>
      </c>
      <c r="B405" s="38" t="s">
        <v>1150</v>
      </c>
      <c r="C405" s="38" t="s">
        <v>1154</v>
      </c>
      <c r="D405" s="39" t="s">
        <v>703</v>
      </c>
      <c r="E405" s="39" t="s">
        <v>2163</v>
      </c>
      <c r="F405" s="40">
        <v>1980</v>
      </c>
      <c r="G405" s="41" t="s">
        <v>1156</v>
      </c>
      <c r="H405" s="41" t="s">
        <v>1122</v>
      </c>
    </row>
    <row r="406" spans="1:8" ht="27.6" x14ac:dyDescent="0.3">
      <c r="A406" s="38" t="s">
        <v>52</v>
      </c>
      <c r="B406" s="38" t="s">
        <v>1150</v>
      </c>
      <c r="C406" s="38" t="s">
        <v>1157</v>
      </c>
      <c r="D406" s="39" t="s">
        <v>245</v>
      </c>
      <c r="E406" s="39" t="s">
        <v>2159</v>
      </c>
      <c r="F406" s="40">
        <v>3315</v>
      </c>
      <c r="G406" s="41" t="s">
        <v>1159</v>
      </c>
      <c r="H406" s="41" t="s">
        <v>1160</v>
      </c>
    </row>
    <row r="407" spans="1:8" ht="27.6" x14ac:dyDescent="0.3">
      <c r="A407" s="38" t="s">
        <v>52</v>
      </c>
      <c r="B407" s="38" t="s">
        <v>1150</v>
      </c>
      <c r="C407" s="38" t="s">
        <v>1157</v>
      </c>
      <c r="D407" s="39" t="s">
        <v>245</v>
      </c>
      <c r="E407" s="39" t="s">
        <v>2159</v>
      </c>
      <c r="F407" s="40">
        <v>2600</v>
      </c>
      <c r="G407" s="41" t="s">
        <v>1162</v>
      </c>
      <c r="H407" s="41" t="s">
        <v>1160</v>
      </c>
    </row>
    <row r="408" spans="1:8" ht="27.6" x14ac:dyDescent="0.3">
      <c r="A408" s="38" t="s">
        <v>52</v>
      </c>
      <c r="B408" s="38" t="s">
        <v>1150</v>
      </c>
      <c r="C408" s="38" t="s">
        <v>1157</v>
      </c>
      <c r="D408" s="39" t="s">
        <v>245</v>
      </c>
      <c r="E408" s="39" t="s">
        <v>2159</v>
      </c>
      <c r="F408" s="40">
        <v>6299</v>
      </c>
      <c r="G408" s="41" t="s">
        <v>1164</v>
      </c>
      <c r="H408" s="41" t="s">
        <v>1165</v>
      </c>
    </row>
    <row r="409" spans="1:8" ht="27.6" x14ac:dyDescent="0.3">
      <c r="A409" s="38" t="s">
        <v>52</v>
      </c>
      <c r="B409" s="38" t="s">
        <v>1150</v>
      </c>
      <c r="C409" s="38" t="s">
        <v>1157</v>
      </c>
      <c r="D409" s="39" t="s">
        <v>245</v>
      </c>
      <c r="E409" s="39" t="s">
        <v>2159</v>
      </c>
      <c r="F409" s="40">
        <v>210</v>
      </c>
      <c r="G409" s="41" t="s">
        <v>1167</v>
      </c>
      <c r="H409" s="41" t="s">
        <v>1165</v>
      </c>
    </row>
    <row r="410" spans="1:8" ht="27.6" x14ac:dyDescent="0.3">
      <c r="A410" s="38" t="s">
        <v>52</v>
      </c>
      <c r="B410" s="38" t="s">
        <v>1150</v>
      </c>
      <c r="C410" s="38" t="s">
        <v>1157</v>
      </c>
      <c r="D410" s="39" t="s">
        <v>208</v>
      </c>
      <c r="E410" s="39" t="s">
        <v>2189</v>
      </c>
      <c r="F410" s="40">
        <v>2980</v>
      </c>
      <c r="G410" s="41" t="s">
        <v>1169</v>
      </c>
      <c r="H410" s="41" t="s">
        <v>499</v>
      </c>
    </row>
    <row r="411" spans="1:8" ht="27.6" x14ac:dyDescent="0.3">
      <c r="A411" s="38" t="s">
        <v>52</v>
      </c>
      <c r="B411" s="38" t="s">
        <v>1150</v>
      </c>
      <c r="C411" s="38" t="s">
        <v>1157</v>
      </c>
      <c r="D411" s="39" t="s">
        <v>232</v>
      </c>
      <c r="E411" s="39" t="s">
        <v>2141</v>
      </c>
      <c r="F411" s="40">
        <v>600</v>
      </c>
      <c r="G411" s="41" t="s">
        <v>1171</v>
      </c>
      <c r="H411" s="41" t="s">
        <v>235</v>
      </c>
    </row>
    <row r="412" spans="1:8" ht="27.6" x14ac:dyDescent="0.3">
      <c r="A412" s="38" t="s">
        <v>52</v>
      </c>
      <c r="B412" s="38" t="s">
        <v>1150</v>
      </c>
      <c r="C412" s="38" t="s">
        <v>1172</v>
      </c>
      <c r="D412" s="39" t="s">
        <v>55</v>
      </c>
      <c r="E412" s="39" t="s">
        <v>2184</v>
      </c>
      <c r="F412" s="40">
        <v>15000</v>
      </c>
      <c r="G412" s="41" t="s">
        <v>1174</v>
      </c>
      <c r="H412" s="41" t="s">
        <v>150</v>
      </c>
    </row>
    <row r="413" spans="1:8" ht="41.4" x14ac:dyDescent="0.3">
      <c r="A413" s="38" t="s">
        <v>52</v>
      </c>
      <c r="B413" s="38" t="s">
        <v>1150</v>
      </c>
      <c r="C413" s="38" t="s">
        <v>1175</v>
      </c>
      <c r="D413" s="39" t="s">
        <v>110</v>
      </c>
      <c r="E413" s="39" t="s">
        <v>2189</v>
      </c>
      <c r="F413" s="40">
        <v>6127</v>
      </c>
      <c r="G413" s="41" t="s">
        <v>1177</v>
      </c>
      <c r="H413" s="41" t="s">
        <v>499</v>
      </c>
    </row>
    <row r="414" spans="1:8" ht="41.4" x14ac:dyDescent="0.3">
      <c r="A414" s="38" t="s">
        <v>52</v>
      </c>
      <c r="B414" s="38" t="s">
        <v>1150</v>
      </c>
      <c r="C414" s="38" t="s">
        <v>1175</v>
      </c>
      <c r="D414" s="39" t="s">
        <v>110</v>
      </c>
      <c r="E414" s="39" t="s">
        <v>2189</v>
      </c>
      <c r="F414" s="40">
        <v>6127</v>
      </c>
      <c r="G414" s="41" t="s">
        <v>1179</v>
      </c>
      <c r="H414" s="41" t="s">
        <v>499</v>
      </c>
    </row>
    <row r="415" spans="1:8" ht="41.4" x14ac:dyDescent="0.3">
      <c r="A415" s="38" t="s">
        <v>52</v>
      </c>
      <c r="B415" s="38" t="s">
        <v>1150</v>
      </c>
      <c r="C415" s="38" t="s">
        <v>1175</v>
      </c>
      <c r="D415" s="39" t="s">
        <v>110</v>
      </c>
      <c r="E415" s="39" t="s">
        <v>2203</v>
      </c>
      <c r="F415" s="40">
        <v>2000</v>
      </c>
      <c r="G415" s="41" t="s">
        <v>1181</v>
      </c>
      <c r="H415" s="41" t="s">
        <v>79</v>
      </c>
    </row>
    <row r="416" spans="1:8" ht="41.4" x14ac:dyDescent="0.3">
      <c r="A416" s="38" t="s">
        <v>52</v>
      </c>
      <c r="B416" s="38" t="s">
        <v>1150</v>
      </c>
      <c r="C416" s="38" t="s">
        <v>1175</v>
      </c>
      <c r="D416" s="39" t="s">
        <v>110</v>
      </c>
      <c r="E416" s="39" t="s">
        <v>2173</v>
      </c>
      <c r="F416" s="40">
        <v>5106</v>
      </c>
      <c r="G416" s="41" t="s">
        <v>1183</v>
      </c>
      <c r="H416" s="41" t="s">
        <v>347</v>
      </c>
    </row>
    <row r="417" spans="1:8" ht="27.6" x14ac:dyDescent="0.3">
      <c r="A417" s="38" t="s">
        <v>52</v>
      </c>
      <c r="B417" s="38" t="s">
        <v>1150</v>
      </c>
      <c r="C417" s="38" t="s">
        <v>1184</v>
      </c>
      <c r="D417" s="39" t="s">
        <v>81</v>
      </c>
      <c r="E417" s="39" t="s">
        <v>2189</v>
      </c>
      <c r="F417" s="40">
        <v>6231</v>
      </c>
      <c r="G417" s="41" t="s">
        <v>1186</v>
      </c>
      <c r="H417" s="41" t="s">
        <v>499</v>
      </c>
    </row>
    <row r="418" spans="1:8" ht="27.6" x14ac:dyDescent="0.3">
      <c r="A418" s="38" t="s">
        <v>52</v>
      </c>
      <c r="B418" s="38" t="s">
        <v>1187</v>
      </c>
      <c r="C418" s="38" t="s">
        <v>1188</v>
      </c>
      <c r="D418" s="39" t="s">
        <v>141</v>
      </c>
      <c r="E418" s="39" t="s">
        <v>2182</v>
      </c>
      <c r="F418" s="40">
        <v>7398</v>
      </c>
      <c r="G418" s="41" t="s">
        <v>1190</v>
      </c>
      <c r="H418" s="41" t="s">
        <v>239</v>
      </c>
    </row>
    <row r="419" spans="1:8" ht="41.4" x14ac:dyDescent="0.3">
      <c r="A419" s="38" t="s">
        <v>52</v>
      </c>
      <c r="B419" s="38" t="s">
        <v>1187</v>
      </c>
      <c r="C419" s="38" t="s">
        <v>1188</v>
      </c>
      <c r="D419" s="39" t="s">
        <v>216</v>
      </c>
      <c r="E419" s="39" t="s">
        <v>2174</v>
      </c>
      <c r="F419" s="40">
        <v>2024</v>
      </c>
      <c r="G419" s="41" t="s">
        <v>1192</v>
      </c>
      <c r="H419" s="41" t="s">
        <v>74</v>
      </c>
    </row>
    <row r="420" spans="1:8" ht="41.4" x14ac:dyDescent="0.3">
      <c r="A420" s="38" t="s">
        <v>52</v>
      </c>
      <c r="B420" s="38" t="s">
        <v>1187</v>
      </c>
      <c r="C420" s="38" t="s">
        <v>1188</v>
      </c>
      <c r="D420" s="39" t="s">
        <v>216</v>
      </c>
      <c r="E420" s="39" t="s">
        <v>2174</v>
      </c>
      <c r="F420" s="40">
        <v>2022</v>
      </c>
      <c r="G420" s="41" t="s">
        <v>1194</v>
      </c>
      <c r="H420" s="41" t="s">
        <v>74</v>
      </c>
    </row>
    <row r="421" spans="1:8" ht="27.6" x14ac:dyDescent="0.3">
      <c r="A421" s="38" t="s">
        <v>52</v>
      </c>
      <c r="B421" s="38" t="s">
        <v>1187</v>
      </c>
      <c r="C421" s="38" t="s">
        <v>1188</v>
      </c>
      <c r="D421" s="39" t="s">
        <v>216</v>
      </c>
      <c r="E421" s="39" t="s">
        <v>2159</v>
      </c>
      <c r="F421" s="40">
        <v>1279</v>
      </c>
      <c r="G421" s="41" t="s">
        <v>1196</v>
      </c>
      <c r="H421" s="41" t="s">
        <v>1197</v>
      </c>
    </row>
    <row r="422" spans="1:8" ht="27.6" x14ac:dyDescent="0.3">
      <c r="A422" s="38" t="s">
        <v>52</v>
      </c>
      <c r="B422" s="38" t="s">
        <v>1187</v>
      </c>
      <c r="C422" s="38" t="s">
        <v>1198</v>
      </c>
      <c r="D422" s="39" t="s">
        <v>245</v>
      </c>
      <c r="E422" s="39" t="s">
        <v>2155</v>
      </c>
      <c r="F422" s="40">
        <v>3900</v>
      </c>
      <c r="G422" s="41" t="s">
        <v>1200</v>
      </c>
      <c r="H422" s="41" t="s">
        <v>118</v>
      </c>
    </row>
    <row r="423" spans="1:8" ht="27.6" x14ac:dyDescent="0.3">
      <c r="A423" s="38" t="s">
        <v>52</v>
      </c>
      <c r="B423" s="38" t="s">
        <v>1187</v>
      </c>
      <c r="C423" s="38" t="s">
        <v>1198</v>
      </c>
      <c r="D423" s="39" t="s">
        <v>141</v>
      </c>
      <c r="E423" s="39" t="s">
        <v>2155</v>
      </c>
      <c r="F423" s="40">
        <v>400</v>
      </c>
      <c r="G423" s="41" t="s">
        <v>1202</v>
      </c>
      <c r="H423" s="41" t="s">
        <v>118</v>
      </c>
    </row>
    <row r="424" spans="1:8" ht="27.6" x14ac:dyDescent="0.3">
      <c r="A424" s="38" t="s">
        <v>52</v>
      </c>
      <c r="B424" s="38" t="s">
        <v>1187</v>
      </c>
      <c r="C424" s="38" t="s">
        <v>1198</v>
      </c>
      <c r="D424" s="39" t="s">
        <v>422</v>
      </c>
      <c r="E424" s="39" t="s">
        <v>2146</v>
      </c>
      <c r="F424" s="40">
        <v>2985</v>
      </c>
      <c r="G424" s="41" t="s">
        <v>1204</v>
      </c>
      <c r="H424" s="41" t="s">
        <v>49</v>
      </c>
    </row>
    <row r="425" spans="1:8" ht="27.6" x14ac:dyDescent="0.3">
      <c r="A425" s="38" t="s">
        <v>52</v>
      </c>
      <c r="B425" s="38" t="s">
        <v>1187</v>
      </c>
      <c r="C425" s="38" t="s">
        <v>1198</v>
      </c>
      <c r="D425" s="39" t="s">
        <v>245</v>
      </c>
      <c r="E425" s="39" t="s">
        <v>2161</v>
      </c>
      <c r="F425" s="40">
        <v>203</v>
      </c>
      <c r="G425" s="41" t="s">
        <v>1206</v>
      </c>
      <c r="H425" s="41" t="s">
        <v>1207</v>
      </c>
    </row>
    <row r="426" spans="1:8" ht="41.4" x14ac:dyDescent="0.3">
      <c r="A426" s="38" t="s">
        <v>52</v>
      </c>
      <c r="B426" s="38" t="s">
        <v>1187</v>
      </c>
      <c r="C426" s="38" t="s">
        <v>1198</v>
      </c>
      <c r="D426" s="39" t="s">
        <v>216</v>
      </c>
      <c r="E426" s="39" t="s">
        <v>2163</v>
      </c>
      <c r="F426" s="40">
        <v>2648</v>
      </c>
      <c r="G426" s="41" t="s">
        <v>1209</v>
      </c>
      <c r="H426" s="41" t="s">
        <v>1122</v>
      </c>
    </row>
    <row r="427" spans="1:8" ht="69" x14ac:dyDescent="0.3">
      <c r="A427" s="38" t="s">
        <v>52</v>
      </c>
      <c r="B427" s="38" t="s">
        <v>1187</v>
      </c>
      <c r="C427" s="38" t="s">
        <v>1198</v>
      </c>
      <c r="D427" s="39" t="s">
        <v>216</v>
      </c>
      <c r="E427" s="39" t="s">
        <v>2163</v>
      </c>
      <c r="F427" s="40">
        <v>2965</v>
      </c>
      <c r="G427" s="41" t="s">
        <v>1211</v>
      </c>
      <c r="H427" s="41" t="s">
        <v>1122</v>
      </c>
    </row>
    <row r="428" spans="1:8" x14ac:dyDescent="0.3">
      <c r="A428" s="38" t="s">
        <v>52</v>
      </c>
      <c r="B428" s="38" t="s">
        <v>1187</v>
      </c>
      <c r="C428" s="38" t="s">
        <v>1198</v>
      </c>
      <c r="D428" s="39" t="s">
        <v>124</v>
      </c>
      <c r="E428" s="39" t="s">
        <v>2163</v>
      </c>
      <c r="F428" s="40">
        <v>212</v>
      </c>
      <c r="G428" s="41" t="s">
        <v>1213</v>
      </c>
      <c r="H428" s="41" t="s">
        <v>1122</v>
      </c>
    </row>
    <row r="429" spans="1:8" ht="27.6" x14ac:dyDescent="0.3">
      <c r="A429" s="38" t="s">
        <v>52</v>
      </c>
      <c r="B429" s="38" t="s">
        <v>1187</v>
      </c>
      <c r="C429" s="38" t="s">
        <v>1198</v>
      </c>
      <c r="D429" s="39" t="s">
        <v>141</v>
      </c>
      <c r="E429" s="39" t="s">
        <v>2163</v>
      </c>
      <c r="F429" s="40">
        <v>1890</v>
      </c>
      <c r="G429" s="41" t="s">
        <v>1215</v>
      </c>
      <c r="H429" s="41" t="s">
        <v>1122</v>
      </c>
    </row>
    <row r="430" spans="1:8" ht="27.6" x14ac:dyDescent="0.3">
      <c r="A430" s="38" t="s">
        <v>52</v>
      </c>
      <c r="B430" s="38" t="s">
        <v>1187</v>
      </c>
      <c r="C430" s="38" t="s">
        <v>1216</v>
      </c>
      <c r="D430" s="39" t="s">
        <v>216</v>
      </c>
      <c r="E430" s="39" t="s">
        <v>2146</v>
      </c>
      <c r="F430" s="40">
        <v>639</v>
      </c>
      <c r="G430" s="41" t="s">
        <v>1218</v>
      </c>
      <c r="H430" s="41" t="s">
        <v>49</v>
      </c>
    </row>
    <row r="431" spans="1:8" ht="27.6" x14ac:dyDescent="0.3">
      <c r="A431" s="38" t="s">
        <v>52</v>
      </c>
      <c r="B431" s="38" t="s">
        <v>1187</v>
      </c>
      <c r="C431" s="38" t="s">
        <v>1216</v>
      </c>
      <c r="D431" s="39" t="s">
        <v>141</v>
      </c>
      <c r="E431" s="39" t="s">
        <v>2146</v>
      </c>
      <c r="F431" s="40">
        <v>598</v>
      </c>
      <c r="G431" s="41" t="s">
        <v>1220</v>
      </c>
      <c r="H431" s="41" t="s">
        <v>49</v>
      </c>
    </row>
    <row r="432" spans="1:8" ht="27.6" x14ac:dyDescent="0.3">
      <c r="A432" s="38" t="s">
        <v>52</v>
      </c>
      <c r="B432" s="38" t="s">
        <v>1187</v>
      </c>
      <c r="C432" s="38" t="s">
        <v>1216</v>
      </c>
      <c r="D432" s="39" t="s">
        <v>245</v>
      </c>
      <c r="E432" s="39" t="s">
        <v>2157</v>
      </c>
      <c r="F432" s="40">
        <v>5870</v>
      </c>
      <c r="G432" s="41" t="s">
        <v>1222</v>
      </c>
      <c r="H432" s="41" t="s">
        <v>1223</v>
      </c>
    </row>
    <row r="433" spans="1:8" ht="27.6" x14ac:dyDescent="0.3">
      <c r="A433" s="38" t="s">
        <v>52</v>
      </c>
      <c r="B433" s="38" t="s">
        <v>1187</v>
      </c>
      <c r="C433" s="38" t="s">
        <v>1216</v>
      </c>
      <c r="D433" s="39" t="s">
        <v>124</v>
      </c>
      <c r="E433" s="39" t="s">
        <v>2157</v>
      </c>
      <c r="F433" s="40">
        <v>60</v>
      </c>
      <c r="G433" s="41" t="s">
        <v>1225</v>
      </c>
      <c r="H433" s="41" t="s">
        <v>1223</v>
      </c>
    </row>
    <row r="434" spans="1:8" ht="27.6" x14ac:dyDescent="0.3">
      <c r="A434" s="38" t="s">
        <v>52</v>
      </c>
      <c r="B434" s="38" t="s">
        <v>1187</v>
      </c>
      <c r="C434" s="38" t="s">
        <v>1216</v>
      </c>
      <c r="D434" s="39" t="s">
        <v>141</v>
      </c>
      <c r="E434" s="39" t="s">
        <v>2157</v>
      </c>
      <c r="F434" s="40">
        <v>81</v>
      </c>
      <c r="G434" s="41" t="s">
        <v>1225</v>
      </c>
      <c r="H434" s="41" t="s">
        <v>1223</v>
      </c>
    </row>
    <row r="435" spans="1:8" ht="27.6" x14ac:dyDescent="0.3">
      <c r="A435" s="38" t="s">
        <v>52</v>
      </c>
      <c r="B435" s="38" t="s">
        <v>1187</v>
      </c>
      <c r="C435" s="38" t="s">
        <v>1216</v>
      </c>
      <c r="D435" s="39" t="s">
        <v>245</v>
      </c>
      <c r="E435" s="39" t="s">
        <v>2157</v>
      </c>
      <c r="F435" s="40">
        <v>3374</v>
      </c>
      <c r="G435" s="41" t="s">
        <v>1225</v>
      </c>
      <c r="H435" s="41" t="s">
        <v>1223</v>
      </c>
    </row>
    <row r="436" spans="1:8" ht="27.6" x14ac:dyDescent="0.3">
      <c r="A436" s="38" t="s">
        <v>52</v>
      </c>
      <c r="B436" s="38" t="s">
        <v>1187</v>
      </c>
      <c r="C436" s="38" t="s">
        <v>1216</v>
      </c>
      <c r="D436" s="39" t="s">
        <v>124</v>
      </c>
      <c r="E436" s="39" t="s">
        <v>2157</v>
      </c>
      <c r="F436" s="40">
        <v>64</v>
      </c>
      <c r="G436" s="41" t="s">
        <v>1227</v>
      </c>
      <c r="H436" s="41" t="s">
        <v>1223</v>
      </c>
    </row>
    <row r="437" spans="1:8" ht="27.6" x14ac:dyDescent="0.3">
      <c r="A437" s="38" t="s">
        <v>52</v>
      </c>
      <c r="B437" s="38" t="s">
        <v>1187</v>
      </c>
      <c r="C437" s="38" t="s">
        <v>1216</v>
      </c>
      <c r="D437" s="39" t="s">
        <v>141</v>
      </c>
      <c r="E437" s="39" t="s">
        <v>2157</v>
      </c>
      <c r="F437" s="40">
        <v>137</v>
      </c>
      <c r="G437" s="41" t="s">
        <v>1227</v>
      </c>
      <c r="H437" s="41" t="s">
        <v>1223</v>
      </c>
    </row>
    <row r="438" spans="1:8" ht="27.6" x14ac:dyDescent="0.3">
      <c r="A438" s="38" t="s">
        <v>52</v>
      </c>
      <c r="B438" s="38" t="s">
        <v>1187</v>
      </c>
      <c r="C438" s="38" t="s">
        <v>1216</v>
      </c>
      <c r="D438" s="39" t="s">
        <v>245</v>
      </c>
      <c r="E438" s="39" t="s">
        <v>2157</v>
      </c>
      <c r="F438" s="40">
        <v>273</v>
      </c>
      <c r="G438" s="41" t="s">
        <v>1227</v>
      </c>
      <c r="H438" s="41" t="s">
        <v>1223</v>
      </c>
    </row>
    <row r="439" spans="1:8" ht="41.4" x14ac:dyDescent="0.3">
      <c r="A439" s="38" t="s">
        <v>52</v>
      </c>
      <c r="B439" s="38" t="s">
        <v>1187</v>
      </c>
      <c r="C439" s="38" t="s">
        <v>1216</v>
      </c>
      <c r="D439" s="39" t="s">
        <v>216</v>
      </c>
      <c r="E439" s="39" t="s">
        <v>2174</v>
      </c>
      <c r="F439" s="40">
        <v>1933</v>
      </c>
      <c r="G439" s="41" t="s">
        <v>1229</v>
      </c>
      <c r="H439" s="41" t="s">
        <v>74</v>
      </c>
    </row>
    <row r="440" spans="1:8" ht="27.6" x14ac:dyDescent="0.3">
      <c r="A440" s="38" t="s">
        <v>52</v>
      </c>
      <c r="B440" s="38" t="s">
        <v>1187</v>
      </c>
      <c r="C440" s="38" t="s">
        <v>1216</v>
      </c>
      <c r="D440" s="39" t="s">
        <v>141</v>
      </c>
      <c r="E440" s="39" t="s">
        <v>2195</v>
      </c>
      <c r="F440" s="40">
        <v>9830</v>
      </c>
      <c r="G440" s="41" t="s">
        <v>1231</v>
      </c>
      <c r="H440" s="41" t="s">
        <v>1232</v>
      </c>
    </row>
    <row r="441" spans="1:8" ht="27.6" x14ac:dyDescent="0.3">
      <c r="A441" s="38" t="s">
        <v>52</v>
      </c>
      <c r="B441" s="38" t="s">
        <v>1187</v>
      </c>
      <c r="C441" s="38" t="s">
        <v>1216</v>
      </c>
      <c r="D441" s="39" t="s">
        <v>141</v>
      </c>
      <c r="E441" s="39" t="s">
        <v>2195</v>
      </c>
      <c r="F441" s="40">
        <v>2150</v>
      </c>
      <c r="G441" s="41" t="s">
        <v>1234</v>
      </c>
      <c r="H441" s="41" t="s">
        <v>202</v>
      </c>
    </row>
    <row r="442" spans="1:8" ht="27.6" x14ac:dyDescent="0.3">
      <c r="A442" s="38" t="s">
        <v>52</v>
      </c>
      <c r="B442" s="38" t="s">
        <v>1187</v>
      </c>
      <c r="C442" s="38" t="s">
        <v>1235</v>
      </c>
      <c r="D442" s="39" t="s">
        <v>367</v>
      </c>
      <c r="E442" s="39" t="s">
        <v>2215</v>
      </c>
      <c r="F442" s="40">
        <v>22301</v>
      </c>
      <c r="G442" s="41" t="s">
        <v>1237</v>
      </c>
      <c r="H442" s="41" t="s">
        <v>370</v>
      </c>
    </row>
    <row r="443" spans="1:8" ht="27.6" x14ac:dyDescent="0.3">
      <c r="A443" s="38" t="s">
        <v>52</v>
      </c>
      <c r="B443" s="38" t="s">
        <v>1187</v>
      </c>
      <c r="C443" s="38" t="s">
        <v>1238</v>
      </c>
      <c r="D443" s="39" t="s">
        <v>81</v>
      </c>
      <c r="E443" s="39" t="s">
        <v>2141</v>
      </c>
      <c r="F443" s="40">
        <v>10808</v>
      </c>
      <c r="G443" s="41" t="s">
        <v>1240</v>
      </c>
      <c r="H443" s="41" t="s">
        <v>235</v>
      </c>
    </row>
    <row r="444" spans="1:8" ht="27.6" x14ac:dyDescent="0.3">
      <c r="A444" s="38" t="s">
        <v>52</v>
      </c>
      <c r="B444" s="38" t="s">
        <v>1187</v>
      </c>
      <c r="C444" s="38" t="s">
        <v>1241</v>
      </c>
      <c r="D444" s="39" t="s">
        <v>81</v>
      </c>
      <c r="E444" s="39" t="s">
        <v>2182</v>
      </c>
      <c r="F444" s="40">
        <v>6968</v>
      </c>
      <c r="G444" s="41" t="s">
        <v>1243</v>
      </c>
      <c r="H444" s="41" t="s">
        <v>239</v>
      </c>
    </row>
    <row r="445" spans="1:8" ht="27.6" x14ac:dyDescent="0.3">
      <c r="A445" s="38" t="s">
        <v>52</v>
      </c>
      <c r="B445" s="38" t="s">
        <v>1187</v>
      </c>
      <c r="C445" s="38" t="s">
        <v>1244</v>
      </c>
      <c r="D445" s="39" t="s">
        <v>141</v>
      </c>
      <c r="E445" s="39" t="s">
        <v>2186</v>
      </c>
      <c r="F445" s="40">
        <v>4170</v>
      </c>
      <c r="G445" s="41" t="s">
        <v>1246</v>
      </c>
      <c r="H445" s="41" t="s">
        <v>102</v>
      </c>
    </row>
    <row r="446" spans="1:8" ht="27.6" x14ac:dyDescent="0.3">
      <c r="A446" s="38" t="s">
        <v>52</v>
      </c>
      <c r="B446" s="38" t="s">
        <v>1247</v>
      </c>
      <c r="C446" s="38" t="s">
        <v>1248</v>
      </c>
      <c r="D446" s="39" t="s">
        <v>141</v>
      </c>
      <c r="E446" s="39" t="s">
        <v>2195</v>
      </c>
      <c r="F446" s="40">
        <v>6186</v>
      </c>
      <c r="G446" s="41" t="s">
        <v>1250</v>
      </c>
      <c r="H446" s="41" t="s">
        <v>202</v>
      </c>
    </row>
    <row r="447" spans="1:8" ht="27.6" x14ac:dyDescent="0.3">
      <c r="A447" s="38" t="s">
        <v>52</v>
      </c>
      <c r="B447" s="38" t="s">
        <v>1247</v>
      </c>
      <c r="C447" s="38" t="s">
        <v>1248</v>
      </c>
      <c r="D447" s="39" t="s">
        <v>141</v>
      </c>
      <c r="E447" s="39" t="s">
        <v>2195</v>
      </c>
      <c r="F447" s="40">
        <v>1991</v>
      </c>
      <c r="G447" s="41" t="s">
        <v>1252</v>
      </c>
      <c r="H447" s="41" t="s">
        <v>202</v>
      </c>
    </row>
    <row r="448" spans="1:8" x14ac:dyDescent="0.3">
      <c r="A448" s="38" t="s">
        <v>52</v>
      </c>
      <c r="B448" s="38" t="s">
        <v>1247</v>
      </c>
      <c r="C448" s="38" t="s">
        <v>1248</v>
      </c>
      <c r="D448" s="39" t="s">
        <v>124</v>
      </c>
      <c r="E448" s="39" t="s">
        <v>2195</v>
      </c>
      <c r="F448" s="40">
        <v>48</v>
      </c>
      <c r="G448" s="41" t="s">
        <v>1254</v>
      </c>
      <c r="H448" s="41" t="s">
        <v>1232</v>
      </c>
    </row>
    <row r="449" spans="1:8" ht="27.6" x14ac:dyDescent="0.3">
      <c r="A449" s="38" t="s">
        <v>52</v>
      </c>
      <c r="B449" s="38" t="s">
        <v>1247</v>
      </c>
      <c r="C449" s="38" t="s">
        <v>1248</v>
      </c>
      <c r="D449" s="39" t="s">
        <v>245</v>
      </c>
      <c r="E449" s="39" t="s">
        <v>2154</v>
      </c>
      <c r="F449" s="40">
        <v>900</v>
      </c>
      <c r="G449" s="41" t="s">
        <v>1256</v>
      </c>
      <c r="H449" s="41" t="s">
        <v>1257</v>
      </c>
    </row>
    <row r="450" spans="1:8" ht="27.6" x14ac:dyDescent="0.3">
      <c r="A450" s="38" t="s">
        <v>52</v>
      </c>
      <c r="B450" s="38" t="s">
        <v>1247</v>
      </c>
      <c r="C450" s="38" t="s">
        <v>1258</v>
      </c>
      <c r="D450" s="39" t="s">
        <v>121</v>
      </c>
      <c r="E450" s="39" t="s">
        <v>2167</v>
      </c>
      <c r="F450" s="40">
        <v>36750</v>
      </c>
      <c r="G450" s="41" t="s">
        <v>1260</v>
      </c>
      <c r="H450" s="41" t="s">
        <v>70</v>
      </c>
    </row>
    <row r="451" spans="1:8" ht="27.6" x14ac:dyDescent="0.3">
      <c r="A451" s="38" t="s">
        <v>52</v>
      </c>
      <c r="B451" s="38" t="s">
        <v>1247</v>
      </c>
      <c r="C451" s="38" t="s">
        <v>1261</v>
      </c>
      <c r="D451" s="39" t="s">
        <v>245</v>
      </c>
      <c r="E451" s="39" t="s">
        <v>2161</v>
      </c>
      <c r="F451" s="40">
        <v>11200</v>
      </c>
      <c r="G451" s="41" t="s">
        <v>1263</v>
      </c>
      <c r="H451" s="41" t="s">
        <v>1207</v>
      </c>
    </row>
    <row r="452" spans="1:8" ht="27.6" x14ac:dyDescent="0.3">
      <c r="A452" s="38" t="s">
        <v>52</v>
      </c>
      <c r="B452" s="38" t="s">
        <v>1247</v>
      </c>
      <c r="C452" s="38" t="s">
        <v>1264</v>
      </c>
      <c r="D452" s="39" t="s">
        <v>245</v>
      </c>
      <c r="E452" s="39" t="s">
        <v>2161</v>
      </c>
      <c r="F452" s="40">
        <v>21830</v>
      </c>
      <c r="G452" s="41" t="s">
        <v>1266</v>
      </c>
      <c r="H452" s="41" t="s">
        <v>1207</v>
      </c>
    </row>
    <row r="453" spans="1:8" ht="41.4" x14ac:dyDescent="0.3">
      <c r="A453" s="38" t="s">
        <v>52</v>
      </c>
      <c r="B453" s="38" t="s">
        <v>1247</v>
      </c>
      <c r="C453" s="38" t="s">
        <v>1267</v>
      </c>
      <c r="D453" s="39" t="s">
        <v>110</v>
      </c>
      <c r="E453" s="39" t="s">
        <v>2174</v>
      </c>
      <c r="F453" s="40">
        <v>40000</v>
      </c>
      <c r="G453" s="41" t="s">
        <v>1269</v>
      </c>
      <c r="H453" s="41" t="s">
        <v>74</v>
      </c>
    </row>
    <row r="454" spans="1:8" x14ac:dyDescent="0.3">
      <c r="A454" s="38" t="s">
        <v>52</v>
      </c>
      <c r="B454" s="38" t="s">
        <v>1247</v>
      </c>
      <c r="C454" s="38" t="s">
        <v>1270</v>
      </c>
      <c r="D454" s="39" t="s">
        <v>115</v>
      </c>
      <c r="E454" s="39" t="s">
        <v>2155</v>
      </c>
      <c r="F454" s="40">
        <v>25000</v>
      </c>
      <c r="G454" s="41" t="s">
        <v>1272</v>
      </c>
      <c r="H454" s="41" t="s">
        <v>118</v>
      </c>
    </row>
    <row r="455" spans="1:8" ht="27.6" x14ac:dyDescent="0.3">
      <c r="A455" s="38" t="s">
        <v>52</v>
      </c>
      <c r="B455" s="38" t="s">
        <v>1247</v>
      </c>
      <c r="C455" s="38" t="s">
        <v>1273</v>
      </c>
      <c r="D455" s="39" t="s">
        <v>245</v>
      </c>
      <c r="E455" s="39" t="s">
        <v>2154</v>
      </c>
      <c r="F455" s="40">
        <v>10300</v>
      </c>
      <c r="G455" s="41" t="s">
        <v>1275</v>
      </c>
      <c r="H455" s="41" t="s">
        <v>1257</v>
      </c>
    </row>
    <row r="456" spans="1:8" ht="41.4" x14ac:dyDescent="0.3">
      <c r="A456" s="38" t="s">
        <v>52</v>
      </c>
      <c r="B456" s="38" t="s">
        <v>1247</v>
      </c>
      <c r="C456" s="38" t="s">
        <v>1276</v>
      </c>
      <c r="D456" s="39" t="s">
        <v>121</v>
      </c>
      <c r="E456" s="39" t="s">
        <v>2157</v>
      </c>
      <c r="F456" s="40">
        <v>830</v>
      </c>
      <c r="G456" s="41" t="s">
        <v>1278</v>
      </c>
      <c r="H456" s="41" t="s">
        <v>1279</v>
      </c>
    </row>
    <row r="457" spans="1:8" ht="41.4" x14ac:dyDescent="0.3">
      <c r="A457" s="38" t="s">
        <v>52</v>
      </c>
      <c r="B457" s="38" t="s">
        <v>1247</v>
      </c>
      <c r="C457" s="38" t="s">
        <v>1276</v>
      </c>
      <c r="D457" s="39" t="s">
        <v>141</v>
      </c>
      <c r="E457" s="39" t="s">
        <v>2157</v>
      </c>
      <c r="F457" s="40">
        <v>285</v>
      </c>
      <c r="G457" s="41" t="s">
        <v>1278</v>
      </c>
      <c r="H457" s="41" t="s">
        <v>1279</v>
      </c>
    </row>
    <row r="458" spans="1:8" ht="41.4" x14ac:dyDescent="0.3">
      <c r="A458" s="38" t="s">
        <v>52</v>
      </c>
      <c r="B458" s="38" t="s">
        <v>1247</v>
      </c>
      <c r="C458" s="38" t="s">
        <v>1276</v>
      </c>
      <c r="D458" s="39" t="s">
        <v>216</v>
      </c>
      <c r="E458" s="39" t="s">
        <v>2157</v>
      </c>
      <c r="F458" s="40">
        <v>636</v>
      </c>
      <c r="G458" s="41" t="s">
        <v>1278</v>
      </c>
      <c r="H458" s="41" t="s">
        <v>1279</v>
      </c>
    </row>
    <row r="459" spans="1:8" ht="27.6" x14ac:dyDescent="0.3">
      <c r="A459" s="38" t="s">
        <v>52</v>
      </c>
      <c r="B459" s="38" t="s">
        <v>1247</v>
      </c>
      <c r="C459" s="38" t="s">
        <v>1276</v>
      </c>
      <c r="D459" s="39" t="s">
        <v>216</v>
      </c>
      <c r="E459" s="39" t="s">
        <v>2168</v>
      </c>
      <c r="F459" s="40">
        <v>1998</v>
      </c>
      <c r="G459" s="41" t="s">
        <v>1281</v>
      </c>
      <c r="H459" s="41" t="s">
        <v>133</v>
      </c>
    </row>
    <row r="460" spans="1:8" ht="27.6" x14ac:dyDescent="0.3">
      <c r="A460" s="38" t="s">
        <v>52</v>
      </c>
      <c r="B460" s="38" t="s">
        <v>1247</v>
      </c>
      <c r="C460" s="38" t="s">
        <v>1276</v>
      </c>
      <c r="D460" s="39" t="s">
        <v>216</v>
      </c>
      <c r="E460" s="39" t="s">
        <v>2168</v>
      </c>
      <c r="F460" s="40">
        <v>641</v>
      </c>
      <c r="G460" s="41" t="s">
        <v>1283</v>
      </c>
      <c r="H460" s="41" t="s">
        <v>133</v>
      </c>
    </row>
    <row r="461" spans="1:8" ht="27.6" x14ac:dyDescent="0.3">
      <c r="A461" s="38" t="s">
        <v>52</v>
      </c>
      <c r="B461" s="38" t="s">
        <v>1247</v>
      </c>
      <c r="C461" s="38" t="s">
        <v>1276</v>
      </c>
      <c r="D461" s="39" t="s">
        <v>121</v>
      </c>
      <c r="E461" s="39" t="s">
        <v>2168</v>
      </c>
      <c r="F461" s="40">
        <v>1125</v>
      </c>
      <c r="G461" s="41" t="s">
        <v>1285</v>
      </c>
      <c r="H461" s="41" t="s">
        <v>133</v>
      </c>
    </row>
    <row r="462" spans="1:8" ht="27.6" x14ac:dyDescent="0.3">
      <c r="A462" s="38" t="s">
        <v>52</v>
      </c>
      <c r="B462" s="38" t="s">
        <v>1247</v>
      </c>
      <c r="C462" s="38" t="s">
        <v>1276</v>
      </c>
      <c r="D462" s="39" t="s">
        <v>124</v>
      </c>
      <c r="E462" s="39" t="s">
        <v>2168</v>
      </c>
      <c r="F462" s="40">
        <v>92</v>
      </c>
      <c r="G462" s="41" t="s">
        <v>1285</v>
      </c>
      <c r="H462" s="41" t="s">
        <v>133</v>
      </c>
    </row>
    <row r="463" spans="1:8" ht="27.6" x14ac:dyDescent="0.3">
      <c r="A463" s="38" t="s">
        <v>52</v>
      </c>
      <c r="B463" s="38" t="s">
        <v>1247</v>
      </c>
      <c r="C463" s="38" t="s">
        <v>1276</v>
      </c>
      <c r="D463" s="39" t="s">
        <v>141</v>
      </c>
      <c r="E463" s="39" t="s">
        <v>2168</v>
      </c>
      <c r="F463" s="40">
        <v>1317</v>
      </c>
      <c r="G463" s="41" t="s">
        <v>1285</v>
      </c>
      <c r="H463" s="41" t="s">
        <v>133</v>
      </c>
    </row>
    <row r="464" spans="1:8" ht="27.6" x14ac:dyDescent="0.3">
      <c r="A464" s="38" t="s">
        <v>52</v>
      </c>
      <c r="B464" s="38" t="s">
        <v>1247</v>
      </c>
      <c r="C464" s="38" t="s">
        <v>1276</v>
      </c>
      <c r="D464" s="39" t="s">
        <v>216</v>
      </c>
      <c r="E464" s="39" t="s">
        <v>2168</v>
      </c>
      <c r="F464" s="40">
        <v>1997</v>
      </c>
      <c r="G464" s="41" t="s">
        <v>1287</v>
      </c>
      <c r="H464" s="41" t="s">
        <v>133</v>
      </c>
    </row>
    <row r="465" spans="1:8" ht="27.6" x14ac:dyDescent="0.3">
      <c r="A465" s="38" t="s">
        <v>52</v>
      </c>
      <c r="B465" s="38" t="s">
        <v>1247</v>
      </c>
      <c r="C465" s="38" t="s">
        <v>1276</v>
      </c>
      <c r="D465" s="39" t="s">
        <v>141</v>
      </c>
      <c r="E465" s="39" t="s">
        <v>2168</v>
      </c>
      <c r="F465" s="40">
        <v>3705</v>
      </c>
      <c r="G465" s="41" t="s">
        <v>1289</v>
      </c>
      <c r="H465" s="41" t="s">
        <v>133</v>
      </c>
    </row>
    <row r="466" spans="1:8" x14ac:dyDescent="0.3">
      <c r="A466" s="38" t="s">
        <v>52</v>
      </c>
      <c r="B466" s="38" t="s">
        <v>1247</v>
      </c>
      <c r="C466" s="38" t="s">
        <v>1276</v>
      </c>
      <c r="D466" s="39" t="s">
        <v>130</v>
      </c>
      <c r="E466" s="39" t="s">
        <v>2189</v>
      </c>
      <c r="F466" s="40">
        <v>2200</v>
      </c>
      <c r="G466" s="41" t="s">
        <v>1291</v>
      </c>
      <c r="H466" s="41" t="s">
        <v>499</v>
      </c>
    </row>
    <row r="467" spans="1:8" ht="27.6" x14ac:dyDescent="0.3">
      <c r="A467" s="38" t="s">
        <v>52</v>
      </c>
      <c r="B467" s="38" t="s">
        <v>1247</v>
      </c>
      <c r="C467" s="38" t="s">
        <v>1292</v>
      </c>
      <c r="D467" s="39" t="s">
        <v>81</v>
      </c>
      <c r="E467" s="39" t="s">
        <v>2146</v>
      </c>
      <c r="F467" s="40">
        <v>30863</v>
      </c>
      <c r="G467" s="41" t="s">
        <v>1294</v>
      </c>
      <c r="H467" s="41" t="s">
        <v>49</v>
      </c>
    </row>
    <row r="468" spans="1:8" ht="27.6" x14ac:dyDescent="0.3">
      <c r="A468" s="38" t="s">
        <v>1295</v>
      </c>
      <c r="B468" s="38" t="s">
        <v>1296</v>
      </c>
      <c r="C468" s="38" t="s">
        <v>1297</v>
      </c>
      <c r="D468" s="39" t="s">
        <v>737</v>
      </c>
      <c r="E468" s="39" t="s">
        <v>2172</v>
      </c>
      <c r="F468" s="40">
        <v>-89901</v>
      </c>
      <c r="G468" s="41" t="s">
        <v>1299</v>
      </c>
      <c r="H468" s="41" t="s">
        <v>740</v>
      </c>
    </row>
    <row r="469" spans="1:8" ht="27.6" x14ac:dyDescent="0.3">
      <c r="A469" s="38" t="s">
        <v>52</v>
      </c>
      <c r="B469" s="38" t="s">
        <v>1296</v>
      </c>
      <c r="C469" s="38" t="s">
        <v>1300</v>
      </c>
      <c r="D469" s="39" t="s">
        <v>245</v>
      </c>
      <c r="E469" s="39" t="s">
        <v>2143</v>
      </c>
      <c r="F469" s="40">
        <v>20000</v>
      </c>
      <c r="G469" s="41" t="s">
        <v>1302</v>
      </c>
      <c r="H469" s="41" t="s">
        <v>248</v>
      </c>
    </row>
    <row r="470" spans="1:8" ht="27.6" x14ac:dyDescent="0.3">
      <c r="A470" s="38" t="s">
        <v>52</v>
      </c>
      <c r="B470" s="38" t="s">
        <v>1296</v>
      </c>
      <c r="C470" s="38" t="s">
        <v>1303</v>
      </c>
      <c r="D470" s="39" t="s">
        <v>195</v>
      </c>
      <c r="E470" s="39" t="s">
        <v>2165</v>
      </c>
      <c r="F470" s="40">
        <v>32802</v>
      </c>
      <c r="G470" s="41" t="s">
        <v>1305</v>
      </c>
      <c r="H470" s="41" t="s">
        <v>1306</v>
      </c>
    </row>
    <row r="471" spans="1:8" ht="27.6" x14ac:dyDescent="0.3">
      <c r="A471" s="38" t="s">
        <v>52</v>
      </c>
      <c r="B471" s="38" t="s">
        <v>1296</v>
      </c>
      <c r="C471" s="38" t="s">
        <v>1307</v>
      </c>
      <c r="D471" s="39" t="s">
        <v>245</v>
      </c>
      <c r="E471" s="39" t="s">
        <v>2213</v>
      </c>
      <c r="F471" s="40">
        <v>19405</v>
      </c>
      <c r="G471" s="41" t="s">
        <v>1309</v>
      </c>
      <c r="H471" s="41" t="s">
        <v>393</v>
      </c>
    </row>
    <row r="472" spans="1:8" ht="27.6" x14ac:dyDescent="0.3">
      <c r="A472" s="38" t="s">
        <v>52</v>
      </c>
      <c r="B472" s="38" t="s">
        <v>1296</v>
      </c>
      <c r="C472" s="38" t="s">
        <v>1310</v>
      </c>
      <c r="D472" s="39" t="s">
        <v>141</v>
      </c>
      <c r="E472" s="39" t="s">
        <v>2184</v>
      </c>
      <c r="F472" s="40">
        <v>5500</v>
      </c>
      <c r="G472" s="41" t="s">
        <v>1312</v>
      </c>
      <c r="H472" s="41" t="s">
        <v>150</v>
      </c>
    </row>
    <row r="473" spans="1:8" ht="27.6" x14ac:dyDescent="0.3">
      <c r="A473" s="38" t="s">
        <v>52</v>
      </c>
      <c r="B473" s="38" t="s">
        <v>1296</v>
      </c>
      <c r="C473" s="38" t="s">
        <v>1313</v>
      </c>
      <c r="D473" s="39" t="s">
        <v>1314</v>
      </c>
      <c r="E473" s="39" t="s">
        <v>2143</v>
      </c>
      <c r="F473" s="40">
        <v>20000</v>
      </c>
      <c r="G473" s="41" t="s">
        <v>1316</v>
      </c>
      <c r="H473" s="41" t="s">
        <v>248</v>
      </c>
    </row>
    <row r="474" spans="1:8" ht="27.6" x14ac:dyDescent="0.3">
      <c r="A474" s="38" t="s">
        <v>52</v>
      </c>
      <c r="B474" s="38" t="s">
        <v>1296</v>
      </c>
      <c r="C474" s="38" t="s">
        <v>1317</v>
      </c>
      <c r="D474" s="39" t="s">
        <v>141</v>
      </c>
      <c r="E474" s="39" t="s">
        <v>2148</v>
      </c>
      <c r="F474" s="40">
        <v>5976</v>
      </c>
      <c r="G474" s="41" t="s">
        <v>1319</v>
      </c>
      <c r="H474" s="41" t="s">
        <v>1320</v>
      </c>
    </row>
    <row r="475" spans="1:8" x14ac:dyDescent="0.3">
      <c r="A475" s="38" t="s">
        <v>52</v>
      </c>
      <c r="B475" s="38" t="s">
        <v>1296</v>
      </c>
      <c r="C475" s="38" t="s">
        <v>1317</v>
      </c>
      <c r="D475" s="39" t="s">
        <v>115</v>
      </c>
      <c r="E475" s="39" t="s">
        <v>2159</v>
      </c>
      <c r="F475" s="40">
        <v>3660</v>
      </c>
      <c r="G475" s="41" t="s">
        <v>1322</v>
      </c>
      <c r="H475" s="41" t="s">
        <v>1160</v>
      </c>
    </row>
    <row r="476" spans="1:8" ht="27.6" x14ac:dyDescent="0.3">
      <c r="A476" s="38" t="s">
        <v>52</v>
      </c>
      <c r="B476" s="38" t="s">
        <v>1296</v>
      </c>
      <c r="C476" s="38" t="s">
        <v>1317</v>
      </c>
      <c r="D476" s="39" t="s">
        <v>141</v>
      </c>
      <c r="E476" s="39" t="s">
        <v>2152</v>
      </c>
      <c r="F476" s="40">
        <v>1180</v>
      </c>
      <c r="G476" s="41" t="s">
        <v>1324</v>
      </c>
      <c r="H476" s="41" t="s">
        <v>94</v>
      </c>
    </row>
    <row r="477" spans="1:8" ht="27.6" x14ac:dyDescent="0.3">
      <c r="A477" s="38" t="s">
        <v>52</v>
      </c>
      <c r="B477" s="38" t="s">
        <v>1296</v>
      </c>
      <c r="C477" s="38" t="s">
        <v>1325</v>
      </c>
      <c r="D477" s="39" t="s">
        <v>115</v>
      </c>
      <c r="E477" s="39" t="s">
        <v>2197</v>
      </c>
      <c r="F477" s="40">
        <v>14385</v>
      </c>
      <c r="G477" s="41" t="s">
        <v>1327</v>
      </c>
      <c r="H477" s="41" t="s">
        <v>98</v>
      </c>
    </row>
    <row r="478" spans="1:8" ht="41.4" x14ac:dyDescent="0.3">
      <c r="A478" s="38" t="s">
        <v>52</v>
      </c>
      <c r="B478" s="38" t="s">
        <v>1296</v>
      </c>
      <c r="C478" s="38" t="s">
        <v>1328</v>
      </c>
      <c r="D478" s="39" t="s">
        <v>115</v>
      </c>
      <c r="E478" s="39" t="s">
        <v>2197</v>
      </c>
      <c r="F478" s="40">
        <v>103000</v>
      </c>
      <c r="G478" s="41" t="s">
        <v>1330</v>
      </c>
      <c r="H478" s="41" t="s">
        <v>98</v>
      </c>
    </row>
    <row r="479" spans="1:8" ht="27.6" x14ac:dyDescent="0.3">
      <c r="A479" s="38" t="s">
        <v>52</v>
      </c>
      <c r="B479" s="38" t="s">
        <v>1296</v>
      </c>
      <c r="C479" s="38" t="s">
        <v>1331</v>
      </c>
      <c r="D479" s="39" t="s">
        <v>141</v>
      </c>
      <c r="E479" s="39" t="s">
        <v>2168</v>
      </c>
      <c r="F479" s="40">
        <v>6336</v>
      </c>
      <c r="G479" s="41" t="s">
        <v>1333</v>
      </c>
      <c r="H479" s="41" t="s">
        <v>133</v>
      </c>
    </row>
    <row r="480" spans="1:8" ht="27.6" x14ac:dyDescent="0.3">
      <c r="A480" s="38" t="s">
        <v>52</v>
      </c>
      <c r="B480" s="38" t="s">
        <v>1296</v>
      </c>
      <c r="C480" s="38" t="s">
        <v>1334</v>
      </c>
      <c r="D480" s="39" t="s">
        <v>81</v>
      </c>
      <c r="E480" s="39" t="s">
        <v>2197</v>
      </c>
      <c r="F480" s="40">
        <v>4555</v>
      </c>
      <c r="G480" s="41" t="s">
        <v>1336</v>
      </c>
      <c r="H480" s="41" t="s">
        <v>98</v>
      </c>
    </row>
    <row r="481" spans="1:8" ht="27.6" x14ac:dyDescent="0.3">
      <c r="A481" s="38" t="s">
        <v>52</v>
      </c>
      <c r="B481" s="38" t="s">
        <v>1296</v>
      </c>
      <c r="C481" s="38" t="s">
        <v>1337</v>
      </c>
      <c r="D481" s="39" t="s">
        <v>81</v>
      </c>
      <c r="E481" s="39" t="s">
        <v>2186</v>
      </c>
      <c r="F481" s="40">
        <v>7368</v>
      </c>
      <c r="G481" s="41" t="s">
        <v>1339</v>
      </c>
      <c r="H481" s="41" t="s">
        <v>102</v>
      </c>
    </row>
    <row r="482" spans="1:8" ht="27.6" x14ac:dyDescent="0.3">
      <c r="A482" s="38" t="s">
        <v>52</v>
      </c>
      <c r="B482" s="38" t="s">
        <v>1296</v>
      </c>
      <c r="C482" s="38" t="s">
        <v>1340</v>
      </c>
      <c r="D482" s="39" t="s">
        <v>81</v>
      </c>
      <c r="E482" s="39" t="s">
        <v>2184</v>
      </c>
      <c r="F482" s="40">
        <v>8241</v>
      </c>
      <c r="G482" s="41" t="s">
        <v>1342</v>
      </c>
      <c r="H482" s="41" t="s">
        <v>150</v>
      </c>
    </row>
    <row r="483" spans="1:8" ht="27.6" x14ac:dyDescent="0.3">
      <c r="A483" s="38" t="s">
        <v>52</v>
      </c>
      <c r="B483" s="38" t="s">
        <v>1296</v>
      </c>
      <c r="C483" s="38" t="s">
        <v>1343</v>
      </c>
      <c r="D483" s="39" t="s">
        <v>81</v>
      </c>
      <c r="E483" s="39" t="s">
        <v>2189</v>
      </c>
      <c r="F483" s="40">
        <v>12823</v>
      </c>
      <c r="G483" s="41" t="s">
        <v>1345</v>
      </c>
      <c r="H483" s="41" t="s">
        <v>499</v>
      </c>
    </row>
    <row r="484" spans="1:8" ht="27.6" x14ac:dyDescent="0.3">
      <c r="A484" s="38" t="s">
        <v>52</v>
      </c>
      <c r="B484" s="38" t="s">
        <v>1296</v>
      </c>
      <c r="C484" s="38" t="s">
        <v>1346</v>
      </c>
      <c r="D484" s="39" t="s">
        <v>81</v>
      </c>
      <c r="E484" s="39" t="s">
        <v>2189</v>
      </c>
      <c r="F484" s="40">
        <v>6322</v>
      </c>
      <c r="G484" s="41" t="s">
        <v>1348</v>
      </c>
      <c r="H484" s="41" t="s">
        <v>499</v>
      </c>
    </row>
    <row r="485" spans="1:8" ht="27.6" x14ac:dyDescent="0.3">
      <c r="A485" s="38" t="s">
        <v>52</v>
      </c>
      <c r="B485" s="38" t="s">
        <v>1296</v>
      </c>
      <c r="C485" s="38" t="s">
        <v>1349</v>
      </c>
      <c r="D485" s="39" t="s">
        <v>81</v>
      </c>
      <c r="E485" s="39" t="s">
        <v>2159</v>
      </c>
      <c r="F485" s="40">
        <v>1237</v>
      </c>
      <c r="G485" s="41" t="s">
        <v>1351</v>
      </c>
      <c r="H485" s="41" t="s">
        <v>1352</v>
      </c>
    </row>
    <row r="486" spans="1:8" x14ac:dyDescent="0.3">
      <c r="A486" s="38" t="s">
        <v>44</v>
      </c>
      <c r="B486" s="38" t="s">
        <v>1296</v>
      </c>
      <c r="C486" s="38" t="s">
        <v>46</v>
      </c>
      <c r="D486" s="39" t="s">
        <v>7</v>
      </c>
      <c r="E486" s="39" t="s">
        <v>2157</v>
      </c>
      <c r="F486" s="40">
        <v>10000</v>
      </c>
      <c r="G486" s="41" t="s">
        <v>1354</v>
      </c>
      <c r="H486" s="41" t="s">
        <v>1355</v>
      </c>
    </row>
    <row r="487" spans="1:8" ht="27.6" x14ac:dyDescent="0.3">
      <c r="A487" s="38" t="s">
        <v>52</v>
      </c>
      <c r="B487" s="38" t="s">
        <v>1356</v>
      </c>
      <c r="C487" s="38" t="s">
        <v>1357</v>
      </c>
      <c r="D487" s="39" t="s">
        <v>141</v>
      </c>
      <c r="E487" s="39" t="s">
        <v>2154</v>
      </c>
      <c r="F487" s="40">
        <v>686</v>
      </c>
      <c r="G487" s="41" t="s">
        <v>1359</v>
      </c>
      <c r="H487" s="41" t="s">
        <v>838</v>
      </c>
    </row>
    <row r="488" spans="1:8" ht="27.6" x14ac:dyDescent="0.3">
      <c r="A488" s="38" t="s">
        <v>52</v>
      </c>
      <c r="B488" s="38" t="s">
        <v>1356</v>
      </c>
      <c r="C488" s="38" t="s">
        <v>1360</v>
      </c>
      <c r="D488" s="39" t="s">
        <v>115</v>
      </c>
      <c r="E488" s="39" t="s">
        <v>2199</v>
      </c>
      <c r="F488" s="40">
        <v>2000</v>
      </c>
      <c r="G488" s="41" t="s">
        <v>1362</v>
      </c>
      <c r="H488" s="41" t="s">
        <v>353</v>
      </c>
    </row>
    <row r="489" spans="1:8" x14ac:dyDescent="0.3">
      <c r="A489" s="38" t="s">
        <v>52</v>
      </c>
      <c r="B489" s="38" t="s">
        <v>1356</v>
      </c>
      <c r="C489" s="38" t="s">
        <v>1360</v>
      </c>
      <c r="D489" s="39" t="s">
        <v>115</v>
      </c>
      <c r="E489" s="39" t="s">
        <v>2209</v>
      </c>
      <c r="F489" s="40">
        <v>4401</v>
      </c>
      <c r="G489" s="41" t="s">
        <v>1364</v>
      </c>
      <c r="H489" s="41" t="s">
        <v>1012</v>
      </c>
    </row>
    <row r="490" spans="1:8" x14ac:dyDescent="0.3">
      <c r="A490" s="38" t="s">
        <v>52</v>
      </c>
      <c r="B490" s="38" t="s">
        <v>1356</v>
      </c>
      <c r="C490" s="38" t="s">
        <v>1360</v>
      </c>
      <c r="D490" s="39" t="s">
        <v>115</v>
      </c>
      <c r="E490" s="39" t="s">
        <v>2209</v>
      </c>
      <c r="F490" s="40">
        <v>2560</v>
      </c>
      <c r="G490" s="41" t="s">
        <v>1366</v>
      </c>
      <c r="H490" s="41" t="s">
        <v>1012</v>
      </c>
    </row>
    <row r="491" spans="1:8" ht="27.6" x14ac:dyDescent="0.3">
      <c r="A491" s="38" t="s">
        <v>52</v>
      </c>
      <c r="B491" s="38" t="s">
        <v>1356</v>
      </c>
      <c r="C491" s="38" t="s">
        <v>1367</v>
      </c>
      <c r="D491" s="39" t="s">
        <v>55</v>
      </c>
      <c r="E491" s="39" t="s">
        <v>2186</v>
      </c>
      <c r="F491" s="40">
        <v>500</v>
      </c>
      <c r="G491" s="41" t="s">
        <v>1369</v>
      </c>
      <c r="H491" s="41" t="s">
        <v>102</v>
      </c>
    </row>
    <row r="492" spans="1:8" ht="27.6" x14ac:dyDescent="0.3">
      <c r="A492" s="38" t="s">
        <v>52</v>
      </c>
      <c r="B492" s="38" t="s">
        <v>1356</v>
      </c>
      <c r="C492" s="38" t="s">
        <v>1367</v>
      </c>
      <c r="D492" s="39" t="s">
        <v>208</v>
      </c>
      <c r="E492" s="39" t="s">
        <v>2172</v>
      </c>
      <c r="F492" s="40">
        <v>4240</v>
      </c>
      <c r="G492" s="41" t="s">
        <v>1371</v>
      </c>
      <c r="H492" s="41" t="s">
        <v>740</v>
      </c>
    </row>
    <row r="493" spans="1:8" ht="27.6" x14ac:dyDescent="0.3">
      <c r="A493" s="38" t="s">
        <v>52</v>
      </c>
      <c r="B493" s="38" t="s">
        <v>1356</v>
      </c>
      <c r="C493" s="38" t="s">
        <v>1367</v>
      </c>
      <c r="D493" s="39" t="s">
        <v>208</v>
      </c>
      <c r="E493" s="39" t="s">
        <v>2167</v>
      </c>
      <c r="F493" s="40">
        <v>2400</v>
      </c>
      <c r="G493" s="41" t="s">
        <v>1373</v>
      </c>
      <c r="H493" s="41" t="s">
        <v>70</v>
      </c>
    </row>
    <row r="494" spans="1:8" ht="27.6" x14ac:dyDescent="0.3">
      <c r="A494" s="38" t="s">
        <v>52</v>
      </c>
      <c r="B494" s="38" t="s">
        <v>1356</v>
      </c>
      <c r="C494" s="38" t="s">
        <v>1367</v>
      </c>
      <c r="D494" s="39" t="s">
        <v>208</v>
      </c>
      <c r="E494" s="39" t="s">
        <v>2167</v>
      </c>
      <c r="F494" s="40">
        <v>1580</v>
      </c>
      <c r="G494" s="41" t="s">
        <v>1375</v>
      </c>
      <c r="H494" s="41" t="s">
        <v>70</v>
      </c>
    </row>
    <row r="495" spans="1:8" ht="41.4" x14ac:dyDescent="0.3">
      <c r="A495" s="38" t="s">
        <v>52</v>
      </c>
      <c r="B495" s="38" t="s">
        <v>1356</v>
      </c>
      <c r="C495" s="38" t="s">
        <v>1376</v>
      </c>
      <c r="D495" s="39" t="s">
        <v>110</v>
      </c>
      <c r="E495" s="39" t="s">
        <v>2184</v>
      </c>
      <c r="F495" s="40">
        <v>6127</v>
      </c>
      <c r="G495" s="41" t="s">
        <v>1378</v>
      </c>
      <c r="H495" s="41" t="s">
        <v>150</v>
      </c>
    </row>
    <row r="496" spans="1:8" ht="41.4" x14ac:dyDescent="0.3">
      <c r="A496" s="38" t="s">
        <v>52</v>
      </c>
      <c r="B496" s="38" t="s">
        <v>1356</v>
      </c>
      <c r="C496" s="38" t="s">
        <v>1376</v>
      </c>
      <c r="D496" s="39" t="s">
        <v>110</v>
      </c>
      <c r="E496" s="39" t="s">
        <v>2189</v>
      </c>
      <c r="F496" s="40">
        <v>6127</v>
      </c>
      <c r="G496" s="41" t="s">
        <v>1380</v>
      </c>
      <c r="H496" s="41" t="s">
        <v>499</v>
      </c>
    </row>
    <row r="497" spans="1:8" ht="41.4" x14ac:dyDescent="0.3">
      <c r="A497" s="38" t="s">
        <v>52</v>
      </c>
      <c r="B497" s="38" t="s">
        <v>1356</v>
      </c>
      <c r="C497" s="38" t="s">
        <v>1376</v>
      </c>
      <c r="D497" s="39" t="s">
        <v>110</v>
      </c>
      <c r="E497" s="39" t="s">
        <v>2207</v>
      </c>
      <c r="F497" s="40">
        <v>2042</v>
      </c>
      <c r="G497" s="41" t="s">
        <v>1382</v>
      </c>
      <c r="H497" s="41" t="s">
        <v>168</v>
      </c>
    </row>
    <row r="498" spans="1:8" ht="41.4" x14ac:dyDescent="0.3">
      <c r="A498" s="38" t="s">
        <v>52</v>
      </c>
      <c r="B498" s="38" t="s">
        <v>1356</v>
      </c>
      <c r="C498" s="38" t="s">
        <v>1376</v>
      </c>
      <c r="D498" s="39" t="s">
        <v>110</v>
      </c>
      <c r="E498" s="39" t="s">
        <v>2207</v>
      </c>
      <c r="F498" s="40">
        <v>2042</v>
      </c>
      <c r="G498" s="41" t="s">
        <v>1384</v>
      </c>
      <c r="H498" s="41" t="s">
        <v>168</v>
      </c>
    </row>
    <row r="499" spans="1:8" ht="41.4" x14ac:dyDescent="0.3">
      <c r="A499" s="38" t="s">
        <v>52</v>
      </c>
      <c r="B499" s="38" t="s">
        <v>1356</v>
      </c>
      <c r="C499" s="38" t="s">
        <v>1376</v>
      </c>
      <c r="D499" s="39" t="s">
        <v>110</v>
      </c>
      <c r="E499" s="39" t="s">
        <v>2203</v>
      </c>
      <c r="F499" s="40">
        <v>2000</v>
      </c>
      <c r="G499" s="41" t="s">
        <v>1386</v>
      </c>
      <c r="H499" s="41" t="s">
        <v>79</v>
      </c>
    </row>
    <row r="500" spans="1:8" ht="27.6" x14ac:dyDescent="0.3">
      <c r="A500" s="38" t="s">
        <v>52</v>
      </c>
      <c r="B500" s="38" t="s">
        <v>1356</v>
      </c>
      <c r="C500" s="38" t="s">
        <v>1376</v>
      </c>
      <c r="D500" s="39" t="s">
        <v>232</v>
      </c>
      <c r="E500" s="39" t="s">
        <v>2197</v>
      </c>
      <c r="F500" s="40">
        <v>2000</v>
      </c>
      <c r="G500" s="41" t="s">
        <v>1388</v>
      </c>
      <c r="H500" s="41" t="s">
        <v>98</v>
      </c>
    </row>
    <row r="501" spans="1:8" ht="27.6" x14ac:dyDescent="0.3">
      <c r="A501" s="38" t="s">
        <v>52</v>
      </c>
      <c r="B501" s="38" t="s">
        <v>1356</v>
      </c>
      <c r="C501" s="38" t="s">
        <v>1376</v>
      </c>
      <c r="D501" s="39" t="s">
        <v>232</v>
      </c>
      <c r="E501" s="39" t="s">
        <v>2197</v>
      </c>
      <c r="F501" s="40">
        <v>2000</v>
      </c>
      <c r="G501" s="41" t="s">
        <v>1390</v>
      </c>
      <c r="H501" s="41" t="s">
        <v>98</v>
      </c>
    </row>
    <row r="502" spans="1:8" ht="27.6" x14ac:dyDescent="0.3">
      <c r="A502" s="38" t="s">
        <v>22</v>
      </c>
      <c r="B502" s="38" t="s">
        <v>1356</v>
      </c>
      <c r="C502" s="38" t="s">
        <v>330</v>
      </c>
      <c r="D502" s="39" t="s">
        <v>7</v>
      </c>
      <c r="E502" s="39" t="s">
        <v>2148</v>
      </c>
      <c r="F502" s="40">
        <v>13733</v>
      </c>
      <c r="G502" s="41" t="s">
        <v>1392</v>
      </c>
      <c r="H502" s="41" t="s">
        <v>1072</v>
      </c>
    </row>
    <row r="503" spans="1:8" ht="27.6" x14ac:dyDescent="0.3">
      <c r="A503" s="38" t="s">
        <v>44</v>
      </c>
      <c r="B503" s="38" t="s">
        <v>1356</v>
      </c>
      <c r="C503" s="38" t="s">
        <v>46</v>
      </c>
      <c r="D503" s="39" t="s">
        <v>7</v>
      </c>
      <c r="E503" s="39" t="s">
        <v>2143</v>
      </c>
      <c r="F503" s="40">
        <v>3850</v>
      </c>
      <c r="G503" s="41" t="s">
        <v>1394</v>
      </c>
      <c r="H503" s="41" t="s">
        <v>248</v>
      </c>
    </row>
    <row r="504" spans="1:8" x14ac:dyDescent="0.3">
      <c r="A504" s="38" t="s">
        <v>44</v>
      </c>
      <c r="B504" s="38" t="s">
        <v>1356</v>
      </c>
      <c r="C504" s="38" t="s">
        <v>46</v>
      </c>
      <c r="D504" s="39" t="s">
        <v>7</v>
      </c>
      <c r="E504" s="39" t="s">
        <v>2172</v>
      </c>
      <c r="F504" s="40">
        <v>2000</v>
      </c>
      <c r="G504" s="41" t="s">
        <v>1396</v>
      </c>
      <c r="H504" s="41" t="s">
        <v>1397</v>
      </c>
    </row>
    <row r="505" spans="1:8" ht="27.6" x14ac:dyDescent="0.3">
      <c r="A505" s="38" t="s">
        <v>52</v>
      </c>
      <c r="B505" s="38" t="s">
        <v>1398</v>
      </c>
      <c r="C505" s="38" t="s">
        <v>1399</v>
      </c>
      <c r="D505" s="39" t="s">
        <v>141</v>
      </c>
      <c r="E505" s="39" t="s">
        <v>2197</v>
      </c>
      <c r="F505" s="40">
        <v>1640</v>
      </c>
      <c r="G505" s="41" t="s">
        <v>1401</v>
      </c>
      <c r="H505" s="41" t="s">
        <v>98</v>
      </c>
    </row>
    <row r="506" spans="1:8" x14ac:dyDescent="0.3">
      <c r="A506" s="38" t="s">
        <v>52</v>
      </c>
      <c r="B506" s="38" t="s">
        <v>1398</v>
      </c>
      <c r="C506" s="38" t="s">
        <v>1399</v>
      </c>
      <c r="D506" s="39" t="s">
        <v>115</v>
      </c>
      <c r="E506" s="39" t="s">
        <v>2209</v>
      </c>
      <c r="F506" s="40">
        <v>5468</v>
      </c>
      <c r="G506" s="41" t="s">
        <v>1403</v>
      </c>
      <c r="H506" s="41" t="s">
        <v>1012</v>
      </c>
    </row>
    <row r="507" spans="1:8" ht="27.6" x14ac:dyDescent="0.3">
      <c r="A507" s="38" t="s">
        <v>52</v>
      </c>
      <c r="B507" s="38" t="s">
        <v>1398</v>
      </c>
      <c r="C507" s="38" t="s">
        <v>1399</v>
      </c>
      <c r="D507" s="39" t="s">
        <v>208</v>
      </c>
      <c r="E507" s="39" t="s">
        <v>2189</v>
      </c>
      <c r="F507" s="40">
        <v>110</v>
      </c>
      <c r="G507" s="41" t="s">
        <v>1405</v>
      </c>
      <c r="H507" s="41" t="s">
        <v>499</v>
      </c>
    </row>
    <row r="508" spans="1:8" ht="27.6" x14ac:dyDescent="0.3">
      <c r="A508" s="38" t="s">
        <v>52</v>
      </c>
      <c r="B508" s="38" t="s">
        <v>1398</v>
      </c>
      <c r="C508" s="38" t="s">
        <v>1399</v>
      </c>
      <c r="D508" s="39" t="s">
        <v>322</v>
      </c>
      <c r="E508" s="39" t="s">
        <v>2180</v>
      </c>
      <c r="F508" s="40">
        <v>6667</v>
      </c>
      <c r="G508" s="41" t="s">
        <v>1407</v>
      </c>
      <c r="H508" s="41" t="s">
        <v>325</v>
      </c>
    </row>
    <row r="509" spans="1:8" x14ac:dyDescent="0.3">
      <c r="A509" s="38" t="s">
        <v>52</v>
      </c>
      <c r="B509" s="38" t="s">
        <v>1398</v>
      </c>
      <c r="C509" s="38" t="s">
        <v>1399</v>
      </c>
      <c r="D509" s="39" t="s">
        <v>130</v>
      </c>
      <c r="E509" s="39" t="s">
        <v>2168</v>
      </c>
      <c r="F509" s="40">
        <v>1675</v>
      </c>
      <c r="G509" s="41" t="s">
        <v>1409</v>
      </c>
      <c r="H509" s="41" t="s">
        <v>133</v>
      </c>
    </row>
    <row r="510" spans="1:8" x14ac:dyDescent="0.3">
      <c r="A510" s="38" t="s">
        <v>52</v>
      </c>
      <c r="B510" s="38" t="s">
        <v>1398</v>
      </c>
      <c r="C510" s="38" t="s">
        <v>1399</v>
      </c>
      <c r="D510" s="39" t="s">
        <v>62</v>
      </c>
      <c r="E510" s="39" t="s">
        <v>2154</v>
      </c>
      <c r="F510" s="40">
        <v>1050</v>
      </c>
      <c r="G510" s="41" t="s">
        <v>1411</v>
      </c>
      <c r="H510" s="41" t="s">
        <v>1412</v>
      </c>
    </row>
    <row r="511" spans="1:8" ht="27.6" x14ac:dyDescent="0.3">
      <c r="A511" s="38" t="s">
        <v>52</v>
      </c>
      <c r="B511" s="38" t="s">
        <v>1398</v>
      </c>
      <c r="C511" s="38" t="s">
        <v>1413</v>
      </c>
      <c r="D511" s="39" t="s">
        <v>245</v>
      </c>
      <c r="E511" s="39" t="s">
        <v>2143</v>
      </c>
      <c r="F511" s="40">
        <v>331</v>
      </c>
      <c r="G511" s="41" t="s">
        <v>1415</v>
      </c>
      <c r="H511" s="41" t="s">
        <v>248</v>
      </c>
    </row>
    <row r="512" spans="1:8" ht="27.6" x14ac:dyDescent="0.3">
      <c r="A512" s="38" t="s">
        <v>52</v>
      </c>
      <c r="B512" s="38" t="s">
        <v>1398</v>
      </c>
      <c r="C512" s="38" t="s">
        <v>1413</v>
      </c>
      <c r="D512" s="39" t="s">
        <v>245</v>
      </c>
      <c r="E512" s="39" t="s">
        <v>2143</v>
      </c>
      <c r="F512" s="40">
        <v>1302</v>
      </c>
      <c r="G512" s="41" t="s">
        <v>1417</v>
      </c>
      <c r="H512" s="41" t="s">
        <v>248</v>
      </c>
    </row>
    <row r="513" spans="1:8" ht="27.6" x14ac:dyDescent="0.3">
      <c r="A513" s="38" t="s">
        <v>52</v>
      </c>
      <c r="B513" s="38" t="s">
        <v>1398</v>
      </c>
      <c r="C513" s="38" t="s">
        <v>1413</v>
      </c>
      <c r="D513" s="39" t="s">
        <v>422</v>
      </c>
      <c r="E513" s="39" t="s">
        <v>2143</v>
      </c>
      <c r="F513" s="40">
        <v>2809</v>
      </c>
      <c r="G513" s="41" t="s">
        <v>1419</v>
      </c>
      <c r="H513" s="41" t="s">
        <v>248</v>
      </c>
    </row>
    <row r="514" spans="1:8" ht="27.6" x14ac:dyDescent="0.3">
      <c r="A514" s="38" t="s">
        <v>52</v>
      </c>
      <c r="B514" s="38" t="s">
        <v>1398</v>
      </c>
      <c r="C514" s="38" t="s">
        <v>1413</v>
      </c>
      <c r="D514" s="39" t="s">
        <v>216</v>
      </c>
      <c r="E514" s="39" t="s">
        <v>2168</v>
      </c>
      <c r="F514" s="40">
        <v>639</v>
      </c>
      <c r="G514" s="41" t="s">
        <v>1421</v>
      </c>
      <c r="H514" s="41" t="s">
        <v>133</v>
      </c>
    </row>
    <row r="515" spans="1:8" x14ac:dyDescent="0.3">
      <c r="A515" s="38" t="s">
        <v>52</v>
      </c>
      <c r="B515" s="38" t="s">
        <v>1398</v>
      </c>
      <c r="C515" s="38" t="s">
        <v>1413</v>
      </c>
      <c r="D515" s="39" t="s">
        <v>1086</v>
      </c>
      <c r="E515" s="39" t="s">
        <v>2167</v>
      </c>
      <c r="F515" s="40">
        <v>207</v>
      </c>
      <c r="G515" s="41" t="s">
        <v>1423</v>
      </c>
      <c r="H515" s="41" t="s">
        <v>70</v>
      </c>
    </row>
    <row r="516" spans="1:8" ht="27.6" x14ac:dyDescent="0.3">
      <c r="A516" s="38" t="s">
        <v>52</v>
      </c>
      <c r="B516" s="38" t="s">
        <v>1398</v>
      </c>
      <c r="C516" s="38" t="s">
        <v>1413</v>
      </c>
      <c r="D516" s="39" t="s">
        <v>141</v>
      </c>
      <c r="E516" s="39" t="s">
        <v>2173</v>
      </c>
      <c r="F516" s="40">
        <v>1090</v>
      </c>
      <c r="G516" s="41" t="s">
        <v>1425</v>
      </c>
      <c r="H516" s="41" t="s">
        <v>347</v>
      </c>
    </row>
    <row r="517" spans="1:8" ht="27.6" x14ac:dyDescent="0.3">
      <c r="A517" s="38" t="s">
        <v>52</v>
      </c>
      <c r="B517" s="38" t="s">
        <v>1398</v>
      </c>
      <c r="C517" s="38" t="s">
        <v>1413</v>
      </c>
      <c r="D517" s="39" t="s">
        <v>216</v>
      </c>
      <c r="E517" s="39" t="s">
        <v>2170</v>
      </c>
      <c r="F517" s="40">
        <v>635</v>
      </c>
      <c r="G517" s="41" t="s">
        <v>1427</v>
      </c>
      <c r="H517" s="41" t="s">
        <v>84</v>
      </c>
    </row>
    <row r="518" spans="1:8" ht="41.4" x14ac:dyDescent="0.3">
      <c r="A518" s="38" t="s">
        <v>52</v>
      </c>
      <c r="B518" s="38" t="s">
        <v>1398</v>
      </c>
      <c r="C518" s="38" t="s">
        <v>1413</v>
      </c>
      <c r="D518" s="39" t="s">
        <v>216</v>
      </c>
      <c r="E518" s="39" t="s">
        <v>2174</v>
      </c>
      <c r="F518" s="40">
        <v>1932</v>
      </c>
      <c r="G518" s="41" t="s">
        <v>1429</v>
      </c>
      <c r="H518" s="41" t="s">
        <v>74</v>
      </c>
    </row>
    <row r="519" spans="1:8" ht="27.6" x14ac:dyDescent="0.3">
      <c r="A519" s="38" t="s">
        <v>52</v>
      </c>
      <c r="B519" s="38" t="s">
        <v>1398</v>
      </c>
      <c r="C519" s="38" t="s">
        <v>1413</v>
      </c>
      <c r="D519" s="39" t="s">
        <v>121</v>
      </c>
      <c r="E519" s="39" t="s">
        <v>2189</v>
      </c>
      <c r="F519" s="40">
        <v>1200</v>
      </c>
      <c r="G519" s="41" t="s">
        <v>1431</v>
      </c>
      <c r="H519" s="41" t="s">
        <v>499</v>
      </c>
    </row>
    <row r="520" spans="1:8" ht="27.6" x14ac:dyDescent="0.3">
      <c r="A520" s="38" t="s">
        <v>52</v>
      </c>
      <c r="B520" s="38" t="s">
        <v>1398</v>
      </c>
      <c r="C520" s="38" t="s">
        <v>1413</v>
      </c>
      <c r="D520" s="39" t="s">
        <v>141</v>
      </c>
      <c r="E520" s="39" t="s">
        <v>2186</v>
      </c>
      <c r="F520" s="40">
        <v>5000</v>
      </c>
      <c r="G520" s="41" t="s">
        <v>1433</v>
      </c>
      <c r="H520" s="41" t="s">
        <v>102</v>
      </c>
    </row>
    <row r="521" spans="1:8" ht="27.6" x14ac:dyDescent="0.3">
      <c r="A521" s="38" t="s">
        <v>52</v>
      </c>
      <c r="B521" s="38" t="s">
        <v>1398</v>
      </c>
      <c r="C521" s="38" t="s">
        <v>1413</v>
      </c>
      <c r="D521" s="39" t="s">
        <v>121</v>
      </c>
      <c r="E521" s="39" t="s">
        <v>2197</v>
      </c>
      <c r="F521" s="40">
        <v>235</v>
      </c>
      <c r="G521" s="41" t="s">
        <v>1435</v>
      </c>
      <c r="H521" s="41" t="s">
        <v>98</v>
      </c>
    </row>
    <row r="522" spans="1:8" ht="27.6" x14ac:dyDescent="0.3">
      <c r="A522" s="38" t="s">
        <v>52</v>
      </c>
      <c r="B522" s="38" t="s">
        <v>1398</v>
      </c>
      <c r="C522" s="38" t="s">
        <v>1413</v>
      </c>
      <c r="D522" s="39" t="s">
        <v>232</v>
      </c>
      <c r="E522" s="39" t="s">
        <v>2197</v>
      </c>
      <c r="F522" s="40">
        <v>2000</v>
      </c>
      <c r="G522" s="41" t="s">
        <v>1437</v>
      </c>
      <c r="H522" s="41" t="s">
        <v>98</v>
      </c>
    </row>
    <row r="523" spans="1:8" ht="27.6" x14ac:dyDescent="0.3">
      <c r="A523" s="38" t="s">
        <v>44</v>
      </c>
      <c r="B523" s="38" t="s">
        <v>1398</v>
      </c>
      <c r="C523" s="38" t="s">
        <v>330</v>
      </c>
      <c r="D523" s="39" t="s">
        <v>7</v>
      </c>
      <c r="E523" s="39" t="s">
        <v>2159</v>
      </c>
      <c r="F523" s="40">
        <v>1250</v>
      </c>
      <c r="G523" s="41" t="s">
        <v>1439</v>
      </c>
      <c r="H523" s="41" t="s">
        <v>1352</v>
      </c>
    </row>
    <row r="524" spans="1:8" ht="82.8" x14ac:dyDescent="0.3">
      <c r="A524" s="38" t="s">
        <v>44</v>
      </c>
      <c r="B524" s="38" t="s">
        <v>1398</v>
      </c>
      <c r="C524" s="38" t="s">
        <v>46</v>
      </c>
      <c r="D524" s="39" t="s">
        <v>7</v>
      </c>
      <c r="E524" s="39" t="s">
        <v>2161</v>
      </c>
      <c r="F524" s="40">
        <v>17000</v>
      </c>
      <c r="G524" s="41" t="s">
        <v>1441</v>
      </c>
      <c r="H524" s="41" t="s">
        <v>1442</v>
      </c>
    </row>
    <row r="525" spans="1:8" x14ac:dyDescent="0.3">
      <c r="A525" s="38" t="s">
        <v>44</v>
      </c>
      <c r="B525" s="38" t="s">
        <v>1398</v>
      </c>
      <c r="C525" s="38" t="s">
        <v>46</v>
      </c>
      <c r="D525" s="39" t="s">
        <v>7</v>
      </c>
      <c r="E525" s="39" t="s">
        <v>2195</v>
      </c>
      <c r="F525" s="40">
        <v>3290</v>
      </c>
      <c r="G525" s="41" t="s">
        <v>1444</v>
      </c>
      <c r="H525" s="41" t="s">
        <v>1232</v>
      </c>
    </row>
    <row r="526" spans="1:8" x14ac:dyDescent="0.3">
      <c r="A526" s="38" t="s">
        <v>52</v>
      </c>
      <c r="B526" s="38" t="s">
        <v>1445</v>
      </c>
      <c r="C526" s="38" t="s">
        <v>1446</v>
      </c>
      <c r="D526" s="39" t="s">
        <v>62</v>
      </c>
      <c r="E526" s="39" t="s">
        <v>2150</v>
      </c>
      <c r="F526" s="40">
        <v>77812</v>
      </c>
      <c r="G526" s="41" t="s">
        <v>1448</v>
      </c>
      <c r="H526" s="41" t="s">
        <v>1449</v>
      </c>
    </row>
    <row r="527" spans="1:8" ht="27.6" x14ac:dyDescent="0.3">
      <c r="A527" s="38" t="s">
        <v>52</v>
      </c>
      <c r="B527" s="38" t="s">
        <v>1445</v>
      </c>
      <c r="C527" s="38" t="s">
        <v>1450</v>
      </c>
      <c r="D527" s="39" t="s">
        <v>115</v>
      </c>
      <c r="E527" s="39" t="s">
        <v>2197</v>
      </c>
      <c r="F527" s="40">
        <v>15600</v>
      </c>
      <c r="G527" s="41" t="s">
        <v>1452</v>
      </c>
      <c r="H527" s="41" t="s">
        <v>98</v>
      </c>
    </row>
    <row r="528" spans="1:8" ht="27.6" x14ac:dyDescent="0.3">
      <c r="A528" s="38" t="s">
        <v>52</v>
      </c>
      <c r="B528" s="38" t="s">
        <v>1445</v>
      </c>
      <c r="C528" s="38" t="s">
        <v>1453</v>
      </c>
      <c r="D528" s="39" t="s">
        <v>1094</v>
      </c>
      <c r="E528" s="39" t="s">
        <v>2174</v>
      </c>
      <c r="F528" s="40">
        <v>2000</v>
      </c>
      <c r="G528" s="41" t="s">
        <v>1455</v>
      </c>
      <c r="H528" s="41" t="s">
        <v>74</v>
      </c>
    </row>
    <row r="529" spans="1:8" ht="27.6" x14ac:dyDescent="0.3">
      <c r="A529" s="38" t="s">
        <v>52</v>
      </c>
      <c r="B529" s="38" t="s">
        <v>1445</v>
      </c>
      <c r="C529" s="38" t="s">
        <v>1453</v>
      </c>
      <c r="D529" s="39" t="s">
        <v>245</v>
      </c>
      <c r="E529" s="39" t="s">
        <v>2143</v>
      </c>
      <c r="F529" s="40">
        <v>5820</v>
      </c>
      <c r="G529" s="41" t="s">
        <v>1457</v>
      </c>
      <c r="H529" s="41" t="s">
        <v>248</v>
      </c>
    </row>
    <row r="530" spans="1:8" ht="27.6" x14ac:dyDescent="0.3">
      <c r="A530" s="38" t="s">
        <v>52</v>
      </c>
      <c r="B530" s="38" t="s">
        <v>1445</v>
      </c>
      <c r="C530" s="38" t="s">
        <v>1453</v>
      </c>
      <c r="D530" s="39" t="s">
        <v>245</v>
      </c>
      <c r="E530" s="39" t="s">
        <v>2143</v>
      </c>
      <c r="F530" s="40">
        <v>848</v>
      </c>
      <c r="G530" s="41" t="s">
        <v>1459</v>
      </c>
      <c r="H530" s="41" t="s">
        <v>248</v>
      </c>
    </row>
    <row r="531" spans="1:8" ht="27.6" x14ac:dyDescent="0.3">
      <c r="A531" s="38" t="s">
        <v>52</v>
      </c>
      <c r="B531" s="38" t="s">
        <v>1445</v>
      </c>
      <c r="C531" s="38" t="s">
        <v>1453</v>
      </c>
      <c r="D531" s="39" t="s">
        <v>245</v>
      </c>
      <c r="E531" s="39" t="s">
        <v>2143</v>
      </c>
      <c r="F531" s="40">
        <v>1647</v>
      </c>
      <c r="G531" s="41" t="s">
        <v>1461</v>
      </c>
      <c r="H531" s="41" t="s">
        <v>248</v>
      </c>
    </row>
    <row r="532" spans="1:8" ht="27.6" x14ac:dyDescent="0.3">
      <c r="A532" s="38" t="s">
        <v>52</v>
      </c>
      <c r="B532" s="38" t="s">
        <v>1445</v>
      </c>
      <c r="C532" s="38" t="s">
        <v>1453</v>
      </c>
      <c r="D532" s="39" t="s">
        <v>245</v>
      </c>
      <c r="E532" s="39" t="s">
        <v>2143</v>
      </c>
      <c r="F532" s="40">
        <v>7622</v>
      </c>
      <c r="G532" s="41" t="s">
        <v>1463</v>
      </c>
      <c r="H532" s="41" t="s">
        <v>248</v>
      </c>
    </row>
    <row r="533" spans="1:8" ht="27.6" x14ac:dyDescent="0.3">
      <c r="A533" s="38" t="s">
        <v>52</v>
      </c>
      <c r="B533" s="38" t="s">
        <v>1445</v>
      </c>
      <c r="C533" s="38" t="s">
        <v>1453</v>
      </c>
      <c r="D533" s="39" t="s">
        <v>245</v>
      </c>
      <c r="E533" s="39" t="s">
        <v>2143</v>
      </c>
      <c r="F533" s="40">
        <v>5642</v>
      </c>
      <c r="G533" s="41" t="s">
        <v>1465</v>
      </c>
      <c r="H533" s="41" t="s">
        <v>248</v>
      </c>
    </row>
    <row r="534" spans="1:8" ht="27.6" x14ac:dyDescent="0.3">
      <c r="A534" s="38" t="s">
        <v>52</v>
      </c>
      <c r="B534" s="38" t="s">
        <v>1445</v>
      </c>
      <c r="C534" s="38" t="s">
        <v>1453</v>
      </c>
      <c r="D534" s="39" t="s">
        <v>245</v>
      </c>
      <c r="E534" s="39" t="s">
        <v>2143</v>
      </c>
      <c r="F534" s="40">
        <v>1388</v>
      </c>
      <c r="G534" s="41" t="s">
        <v>1467</v>
      </c>
      <c r="H534" s="41" t="s">
        <v>248</v>
      </c>
    </row>
    <row r="535" spans="1:8" ht="27.6" x14ac:dyDescent="0.3">
      <c r="A535" s="38" t="s">
        <v>52</v>
      </c>
      <c r="B535" s="38" t="s">
        <v>1445</v>
      </c>
      <c r="C535" s="38" t="s">
        <v>1453</v>
      </c>
      <c r="D535" s="39" t="s">
        <v>121</v>
      </c>
      <c r="E535" s="39" t="s">
        <v>2143</v>
      </c>
      <c r="F535" s="40">
        <v>600</v>
      </c>
      <c r="G535" s="41" t="s">
        <v>1469</v>
      </c>
      <c r="H535" s="41" t="s">
        <v>248</v>
      </c>
    </row>
    <row r="536" spans="1:8" ht="27.6" x14ac:dyDescent="0.3">
      <c r="A536" s="38" t="s">
        <v>52</v>
      </c>
      <c r="B536" s="38" t="s">
        <v>1445</v>
      </c>
      <c r="C536" s="38" t="s">
        <v>1453</v>
      </c>
      <c r="D536" s="39" t="s">
        <v>141</v>
      </c>
      <c r="E536" s="39" t="s">
        <v>2159</v>
      </c>
      <c r="F536" s="40">
        <v>67</v>
      </c>
      <c r="G536" s="41" t="s">
        <v>1471</v>
      </c>
      <c r="H536" s="41" t="s">
        <v>1197</v>
      </c>
    </row>
    <row r="537" spans="1:8" ht="27.6" x14ac:dyDescent="0.3">
      <c r="A537" s="38" t="s">
        <v>52</v>
      </c>
      <c r="B537" s="38" t="s">
        <v>1445</v>
      </c>
      <c r="C537" s="38" t="s">
        <v>1453</v>
      </c>
      <c r="D537" s="39" t="s">
        <v>121</v>
      </c>
      <c r="E537" s="39" t="s">
        <v>2159</v>
      </c>
      <c r="F537" s="40">
        <v>3800</v>
      </c>
      <c r="G537" s="41" t="s">
        <v>1473</v>
      </c>
      <c r="H537" s="41" t="s">
        <v>842</v>
      </c>
    </row>
    <row r="538" spans="1:8" ht="27.6" x14ac:dyDescent="0.3">
      <c r="A538" s="38" t="s">
        <v>52</v>
      </c>
      <c r="B538" s="38" t="s">
        <v>1445</v>
      </c>
      <c r="C538" s="38" t="s">
        <v>1453</v>
      </c>
      <c r="D538" s="39" t="s">
        <v>62</v>
      </c>
      <c r="E538" s="39" t="s">
        <v>2163</v>
      </c>
      <c r="F538" s="40">
        <v>5000</v>
      </c>
      <c r="G538" s="41" t="s">
        <v>1475</v>
      </c>
      <c r="H538" s="41" t="s">
        <v>1476</v>
      </c>
    </row>
    <row r="539" spans="1:8" x14ac:dyDescent="0.3">
      <c r="A539" s="38" t="s">
        <v>52</v>
      </c>
      <c r="B539" s="38" t="s">
        <v>1445</v>
      </c>
      <c r="C539" s="38" t="s">
        <v>1453</v>
      </c>
      <c r="D539" s="39" t="s">
        <v>124</v>
      </c>
      <c r="E539" s="39" t="s">
        <v>2163</v>
      </c>
      <c r="F539" s="40">
        <v>80</v>
      </c>
      <c r="G539" s="41" t="s">
        <v>1478</v>
      </c>
      <c r="H539" s="41" t="s">
        <v>1122</v>
      </c>
    </row>
    <row r="540" spans="1:8" ht="27.6" x14ac:dyDescent="0.3">
      <c r="A540" s="38" t="s">
        <v>52</v>
      </c>
      <c r="B540" s="38" t="s">
        <v>1445</v>
      </c>
      <c r="C540" s="38" t="s">
        <v>1453</v>
      </c>
      <c r="D540" s="39" t="s">
        <v>216</v>
      </c>
      <c r="E540" s="39" t="s">
        <v>2163</v>
      </c>
      <c r="F540" s="40">
        <v>9500</v>
      </c>
      <c r="G540" s="41" t="s">
        <v>1480</v>
      </c>
      <c r="H540" s="41" t="s">
        <v>1122</v>
      </c>
    </row>
    <row r="541" spans="1:8" ht="27.6" x14ac:dyDescent="0.3">
      <c r="A541" s="38" t="s">
        <v>52</v>
      </c>
      <c r="B541" s="38" t="s">
        <v>1445</v>
      </c>
      <c r="C541" s="38" t="s">
        <v>1453</v>
      </c>
      <c r="D541" s="39" t="s">
        <v>141</v>
      </c>
      <c r="E541" s="39" t="s">
        <v>2217</v>
      </c>
      <c r="F541" s="40">
        <v>1395</v>
      </c>
      <c r="G541" s="41" t="s">
        <v>1482</v>
      </c>
      <c r="H541" s="41" t="s">
        <v>328</v>
      </c>
    </row>
    <row r="542" spans="1:8" ht="27.6" x14ac:dyDescent="0.3">
      <c r="A542" s="38" t="s">
        <v>52</v>
      </c>
      <c r="B542" s="38" t="s">
        <v>1445</v>
      </c>
      <c r="C542" s="38" t="s">
        <v>1483</v>
      </c>
      <c r="D542" s="39" t="s">
        <v>1484</v>
      </c>
      <c r="E542" s="39" t="s">
        <v>2211</v>
      </c>
      <c r="F542" s="40">
        <v>5565</v>
      </c>
      <c r="G542" s="41" t="s">
        <v>1486</v>
      </c>
      <c r="H542" s="41" t="s">
        <v>1487</v>
      </c>
    </row>
    <row r="543" spans="1:8" ht="27.6" x14ac:dyDescent="0.3">
      <c r="A543" s="38" t="s">
        <v>52</v>
      </c>
      <c r="B543" s="38" t="s">
        <v>1445</v>
      </c>
      <c r="C543" s="38" t="s">
        <v>1483</v>
      </c>
      <c r="D543" s="39" t="s">
        <v>216</v>
      </c>
      <c r="E543" s="39" t="s">
        <v>2168</v>
      </c>
      <c r="F543" s="40">
        <v>629</v>
      </c>
      <c r="G543" s="41" t="s">
        <v>1489</v>
      </c>
      <c r="H543" s="41" t="s">
        <v>133</v>
      </c>
    </row>
    <row r="544" spans="1:8" ht="27.6" x14ac:dyDescent="0.3">
      <c r="A544" s="38" t="s">
        <v>52</v>
      </c>
      <c r="B544" s="38" t="s">
        <v>1445</v>
      </c>
      <c r="C544" s="38" t="s">
        <v>1483</v>
      </c>
      <c r="D544" s="39" t="s">
        <v>245</v>
      </c>
      <c r="E544" s="39" t="s">
        <v>2154</v>
      </c>
      <c r="F544" s="40">
        <v>9800</v>
      </c>
      <c r="G544" s="41" t="s">
        <v>1491</v>
      </c>
      <c r="H544" s="41" t="s">
        <v>1412</v>
      </c>
    </row>
    <row r="545" spans="1:8" ht="27.6" x14ac:dyDescent="0.3">
      <c r="A545" s="38" t="s">
        <v>52</v>
      </c>
      <c r="B545" s="38" t="s">
        <v>1445</v>
      </c>
      <c r="C545" s="38" t="s">
        <v>1483</v>
      </c>
      <c r="D545" s="39" t="s">
        <v>216</v>
      </c>
      <c r="E545" s="39" t="s">
        <v>2146</v>
      </c>
      <c r="F545" s="40">
        <v>639</v>
      </c>
      <c r="G545" s="41" t="s">
        <v>1493</v>
      </c>
      <c r="H545" s="41" t="s">
        <v>49</v>
      </c>
    </row>
    <row r="546" spans="1:8" ht="27.6" x14ac:dyDescent="0.3">
      <c r="A546" s="38" t="s">
        <v>52</v>
      </c>
      <c r="B546" s="38" t="s">
        <v>1445</v>
      </c>
      <c r="C546" s="38" t="s">
        <v>1483</v>
      </c>
      <c r="D546" s="39" t="s">
        <v>141</v>
      </c>
      <c r="E546" s="39" t="s">
        <v>2182</v>
      </c>
      <c r="F546" s="40">
        <v>9900</v>
      </c>
      <c r="G546" s="41" t="s">
        <v>1495</v>
      </c>
      <c r="H546" s="41" t="s">
        <v>239</v>
      </c>
    </row>
    <row r="547" spans="1:8" ht="27.6" x14ac:dyDescent="0.3">
      <c r="A547" s="38" t="s">
        <v>52</v>
      </c>
      <c r="B547" s="38" t="s">
        <v>1445</v>
      </c>
      <c r="C547" s="38" t="s">
        <v>1483</v>
      </c>
      <c r="D547" s="39" t="s">
        <v>130</v>
      </c>
      <c r="E547" s="39" t="s">
        <v>2207</v>
      </c>
      <c r="F547" s="40">
        <v>1320</v>
      </c>
      <c r="G547" s="41" t="s">
        <v>1497</v>
      </c>
      <c r="H547" s="41" t="s">
        <v>168</v>
      </c>
    </row>
    <row r="548" spans="1:8" ht="27.6" x14ac:dyDescent="0.3">
      <c r="A548" s="38" t="s">
        <v>52</v>
      </c>
      <c r="B548" s="38" t="s">
        <v>1445</v>
      </c>
      <c r="C548" s="38" t="s">
        <v>1483</v>
      </c>
      <c r="D548" s="39" t="s">
        <v>121</v>
      </c>
      <c r="E548" s="39" t="s">
        <v>2207</v>
      </c>
      <c r="F548" s="40">
        <v>2716</v>
      </c>
      <c r="G548" s="41" t="s">
        <v>1499</v>
      </c>
      <c r="H548" s="41" t="s">
        <v>168</v>
      </c>
    </row>
    <row r="549" spans="1:8" x14ac:dyDescent="0.3">
      <c r="A549" s="38" t="s">
        <v>52</v>
      </c>
      <c r="B549" s="38" t="s">
        <v>1445</v>
      </c>
      <c r="C549" s="38" t="s">
        <v>1500</v>
      </c>
      <c r="D549" s="39" t="s">
        <v>62</v>
      </c>
      <c r="E549" s="39" t="s">
        <v>2182</v>
      </c>
      <c r="F549" s="40">
        <v>18000</v>
      </c>
      <c r="G549" s="41" t="s">
        <v>1502</v>
      </c>
      <c r="H549" s="41" t="s">
        <v>239</v>
      </c>
    </row>
    <row r="550" spans="1:8" ht="27.6" x14ac:dyDescent="0.3">
      <c r="A550" s="38" t="s">
        <v>52</v>
      </c>
      <c r="B550" s="38" t="s">
        <v>1445</v>
      </c>
      <c r="C550" s="38" t="s">
        <v>1503</v>
      </c>
      <c r="D550" s="39" t="s">
        <v>1504</v>
      </c>
      <c r="E550" s="39" t="s">
        <v>2189</v>
      </c>
      <c r="F550" s="40">
        <v>12500</v>
      </c>
      <c r="G550" s="41" t="s">
        <v>1506</v>
      </c>
      <c r="H550" s="41" t="s">
        <v>499</v>
      </c>
    </row>
    <row r="551" spans="1:8" ht="27.6" x14ac:dyDescent="0.3">
      <c r="A551" s="38" t="s">
        <v>52</v>
      </c>
      <c r="B551" s="38" t="s">
        <v>1445</v>
      </c>
      <c r="C551" s="38" t="s">
        <v>1507</v>
      </c>
      <c r="D551" s="39" t="s">
        <v>55</v>
      </c>
      <c r="E551" s="39" t="s">
        <v>2176</v>
      </c>
      <c r="F551" s="40">
        <v>2000</v>
      </c>
      <c r="G551" s="41" t="s">
        <v>1509</v>
      </c>
      <c r="H551" s="41" t="s">
        <v>58</v>
      </c>
    </row>
    <row r="552" spans="1:8" ht="27.6" x14ac:dyDescent="0.3">
      <c r="A552" s="38" t="s">
        <v>52</v>
      </c>
      <c r="B552" s="38" t="s">
        <v>1445</v>
      </c>
      <c r="C552" s="38" t="s">
        <v>1507</v>
      </c>
      <c r="D552" s="39" t="s">
        <v>55</v>
      </c>
      <c r="E552" s="39" t="s">
        <v>2205</v>
      </c>
      <c r="F552" s="40">
        <v>4000</v>
      </c>
      <c r="G552" s="41" t="s">
        <v>1511</v>
      </c>
      <c r="H552" s="41" t="s">
        <v>342</v>
      </c>
    </row>
    <row r="553" spans="1:8" ht="27.6" x14ac:dyDescent="0.3">
      <c r="A553" s="38" t="s">
        <v>52</v>
      </c>
      <c r="B553" s="38" t="s">
        <v>1445</v>
      </c>
      <c r="C553" s="38" t="s">
        <v>1507</v>
      </c>
      <c r="D553" s="39" t="s">
        <v>232</v>
      </c>
      <c r="E553" s="39" t="s">
        <v>2197</v>
      </c>
      <c r="F553" s="40">
        <v>2000</v>
      </c>
      <c r="G553" s="41" t="s">
        <v>1513</v>
      </c>
      <c r="H553" s="41" t="s">
        <v>98</v>
      </c>
    </row>
    <row r="554" spans="1:8" ht="27.6" x14ac:dyDescent="0.3">
      <c r="A554" s="38" t="s">
        <v>52</v>
      </c>
      <c r="B554" s="38" t="s">
        <v>1445</v>
      </c>
      <c r="C554" s="38" t="s">
        <v>1507</v>
      </c>
      <c r="D554" s="39" t="s">
        <v>232</v>
      </c>
      <c r="E554" s="39" t="s">
        <v>2197</v>
      </c>
      <c r="F554" s="40">
        <v>2000</v>
      </c>
      <c r="G554" s="41" t="s">
        <v>1515</v>
      </c>
      <c r="H554" s="41" t="s">
        <v>98</v>
      </c>
    </row>
    <row r="555" spans="1:8" ht="27.6" x14ac:dyDescent="0.3">
      <c r="A555" s="38" t="s">
        <v>52</v>
      </c>
      <c r="B555" s="38" t="s">
        <v>1516</v>
      </c>
      <c r="C555" s="38" t="s">
        <v>1517</v>
      </c>
      <c r="D555" s="39" t="s">
        <v>147</v>
      </c>
      <c r="E555" s="39" t="s">
        <v>2154</v>
      </c>
      <c r="F555" s="40">
        <v>10956</v>
      </c>
      <c r="G555" s="41" t="s">
        <v>1519</v>
      </c>
      <c r="H555" s="41" t="s">
        <v>1520</v>
      </c>
    </row>
    <row r="556" spans="1:8" ht="41.4" x14ac:dyDescent="0.3">
      <c r="A556" s="38" t="s">
        <v>52</v>
      </c>
      <c r="B556" s="38" t="s">
        <v>1516</v>
      </c>
      <c r="C556" s="38" t="s">
        <v>1521</v>
      </c>
      <c r="D556" s="39" t="s">
        <v>110</v>
      </c>
      <c r="E556" s="39" t="s">
        <v>2189</v>
      </c>
      <c r="F556" s="40">
        <v>6127</v>
      </c>
      <c r="G556" s="41" t="s">
        <v>1523</v>
      </c>
      <c r="H556" s="41" t="s">
        <v>499</v>
      </c>
    </row>
    <row r="557" spans="1:8" ht="27.6" x14ac:dyDescent="0.3">
      <c r="A557" s="38" t="s">
        <v>52</v>
      </c>
      <c r="B557" s="38" t="s">
        <v>1516</v>
      </c>
      <c r="C557" s="38" t="s">
        <v>1524</v>
      </c>
      <c r="D557" s="39" t="s">
        <v>81</v>
      </c>
      <c r="E557" s="39" t="s">
        <v>2146</v>
      </c>
      <c r="F557" s="40">
        <v>14100</v>
      </c>
      <c r="G557" s="41" t="s">
        <v>1526</v>
      </c>
      <c r="H557" s="41" t="s">
        <v>49</v>
      </c>
    </row>
    <row r="558" spans="1:8" ht="41.4" x14ac:dyDescent="0.3">
      <c r="A558" s="38" t="s">
        <v>52</v>
      </c>
      <c r="B558" s="38" t="s">
        <v>1516</v>
      </c>
      <c r="C558" s="38" t="s">
        <v>1527</v>
      </c>
      <c r="D558" s="39" t="s">
        <v>110</v>
      </c>
      <c r="E558" s="39" t="s">
        <v>2146</v>
      </c>
      <c r="F558" s="40">
        <v>6127</v>
      </c>
      <c r="G558" s="41" t="s">
        <v>1529</v>
      </c>
      <c r="H558" s="41" t="s">
        <v>49</v>
      </c>
    </row>
    <row r="559" spans="1:8" ht="27.6" x14ac:dyDescent="0.3">
      <c r="A559" s="38" t="s">
        <v>52</v>
      </c>
      <c r="B559" s="38" t="s">
        <v>1516</v>
      </c>
      <c r="C559" s="38" t="s">
        <v>1530</v>
      </c>
      <c r="D559" s="39" t="s">
        <v>81</v>
      </c>
      <c r="E559" s="39" t="s">
        <v>2168</v>
      </c>
      <c r="F559" s="40">
        <v>29505</v>
      </c>
      <c r="G559" s="41" t="s">
        <v>1532</v>
      </c>
      <c r="H559" s="41" t="s">
        <v>133</v>
      </c>
    </row>
    <row r="560" spans="1:8" ht="27.6" x14ac:dyDescent="0.3">
      <c r="A560" s="38" t="s">
        <v>52</v>
      </c>
      <c r="B560" s="38" t="s">
        <v>1516</v>
      </c>
      <c r="C560" s="38" t="s">
        <v>1533</v>
      </c>
      <c r="D560" s="39" t="s">
        <v>81</v>
      </c>
      <c r="E560" s="39" t="s">
        <v>2172</v>
      </c>
      <c r="F560" s="40">
        <v>61512</v>
      </c>
      <c r="G560" s="41" t="s">
        <v>1535</v>
      </c>
      <c r="H560" s="41" t="s">
        <v>163</v>
      </c>
    </row>
    <row r="561" spans="1:8" ht="27.6" x14ac:dyDescent="0.3">
      <c r="A561" s="38" t="s">
        <v>52</v>
      </c>
      <c r="B561" s="38" t="s">
        <v>1516</v>
      </c>
      <c r="C561" s="38" t="s">
        <v>1536</v>
      </c>
      <c r="D561" s="39" t="s">
        <v>81</v>
      </c>
      <c r="E561" s="39" t="s">
        <v>2172</v>
      </c>
      <c r="F561" s="40">
        <v>4157</v>
      </c>
      <c r="G561" s="41" t="s">
        <v>1538</v>
      </c>
      <c r="H561" s="41" t="s">
        <v>163</v>
      </c>
    </row>
    <row r="562" spans="1:8" ht="27.6" x14ac:dyDescent="0.3">
      <c r="A562" s="38" t="s">
        <v>52</v>
      </c>
      <c r="B562" s="38" t="s">
        <v>1516</v>
      </c>
      <c r="C562" s="38" t="s">
        <v>1539</v>
      </c>
      <c r="D562" s="39" t="s">
        <v>81</v>
      </c>
      <c r="E562" s="39" t="s">
        <v>2172</v>
      </c>
      <c r="F562" s="40">
        <v>12698</v>
      </c>
      <c r="G562" s="41" t="s">
        <v>1541</v>
      </c>
      <c r="H562" s="41" t="s">
        <v>163</v>
      </c>
    </row>
    <row r="563" spans="1:8" ht="27.6" x14ac:dyDescent="0.3">
      <c r="A563" s="38" t="s">
        <v>52</v>
      </c>
      <c r="B563" s="38" t="s">
        <v>1516</v>
      </c>
      <c r="C563" s="38" t="s">
        <v>1542</v>
      </c>
      <c r="D563" s="39" t="s">
        <v>208</v>
      </c>
      <c r="E563" s="39" t="s">
        <v>2172</v>
      </c>
      <c r="F563" s="40">
        <v>103829</v>
      </c>
      <c r="G563" s="41" t="s">
        <v>1544</v>
      </c>
      <c r="H563" s="41" t="s">
        <v>740</v>
      </c>
    </row>
    <row r="564" spans="1:8" ht="27.6" x14ac:dyDescent="0.3">
      <c r="A564" s="38" t="s">
        <v>1295</v>
      </c>
      <c r="B564" s="38" t="s">
        <v>1516</v>
      </c>
      <c r="C564" s="38" t="s">
        <v>1542</v>
      </c>
      <c r="D564" s="39" t="s">
        <v>737</v>
      </c>
      <c r="E564" s="39" t="s">
        <v>2172</v>
      </c>
      <c r="F564" s="40">
        <v>-103829</v>
      </c>
      <c r="G564" s="41" t="s">
        <v>1544</v>
      </c>
      <c r="H564" s="41" t="s">
        <v>740</v>
      </c>
    </row>
    <row r="565" spans="1:8" x14ac:dyDescent="0.3">
      <c r="A565" s="38" t="s">
        <v>44</v>
      </c>
      <c r="B565" s="38" t="s">
        <v>1516</v>
      </c>
      <c r="C565" s="38" t="s">
        <v>330</v>
      </c>
      <c r="D565" s="39" t="s">
        <v>7</v>
      </c>
      <c r="E565" s="39" t="s">
        <v>2193</v>
      </c>
      <c r="F565" s="40">
        <v>2042</v>
      </c>
      <c r="G565" s="41" t="s">
        <v>1546</v>
      </c>
      <c r="H565" s="41" t="s">
        <v>211</v>
      </c>
    </row>
    <row r="566" spans="1:8" ht="27.6" x14ac:dyDescent="0.3">
      <c r="A566" s="38" t="s">
        <v>44</v>
      </c>
      <c r="B566" s="38" t="s">
        <v>1516</v>
      </c>
      <c r="C566" s="38" t="s">
        <v>330</v>
      </c>
      <c r="D566" s="39" t="s">
        <v>7</v>
      </c>
      <c r="E566" s="39" t="s">
        <v>2173</v>
      </c>
      <c r="F566" s="40">
        <v>5106</v>
      </c>
      <c r="G566" s="41" t="s">
        <v>1548</v>
      </c>
      <c r="H566" s="41" t="s">
        <v>347</v>
      </c>
    </row>
    <row r="567" spans="1:8" x14ac:dyDescent="0.3">
      <c r="A567" s="38" t="s">
        <v>44</v>
      </c>
      <c r="B567" s="38" t="s">
        <v>1516</v>
      </c>
      <c r="C567" s="38" t="s">
        <v>46</v>
      </c>
      <c r="D567" s="39" t="s">
        <v>7</v>
      </c>
      <c r="E567" s="39" t="s">
        <v>2144</v>
      </c>
      <c r="F567" s="40">
        <v>1</v>
      </c>
      <c r="G567" s="41" t="s">
        <v>7</v>
      </c>
      <c r="H567" s="41" t="s">
        <v>1550</v>
      </c>
    </row>
    <row r="568" spans="1:8" x14ac:dyDescent="0.3">
      <c r="A568" s="38" t="s">
        <v>44</v>
      </c>
      <c r="B568" s="38" t="s">
        <v>1516</v>
      </c>
      <c r="C568" s="38" t="s">
        <v>46</v>
      </c>
      <c r="D568" s="39" t="s">
        <v>7</v>
      </c>
      <c r="E568" s="39" t="s">
        <v>2148</v>
      </c>
      <c r="F568" s="40">
        <v>500</v>
      </c>
      <c r="G568" s="41" t="s">
        <v>1552</v>
      </c>
      <c r="H568" s="41" t="s">
        <v>1553</v>
      </c>
    </row>
    <row r="569" spans="1:8" ht="27.6" x14ac:dyDescent="0.3">
      <c r="A569" s="38" t="s">
        <v>52</v>
      </c>
      <c r="B569" s="38" t="s">
        <v>1554</v>
      </c>
      <c r="C569" s="38" t="s">
        <v>1555</v>
      </c>
      <c r="D569" s="39" t="s">
        <v>121</v>
      </c>
      <c r="E569" s="39" t="s">
        <v>2168</v>
      </c>
      <c r="F569" s="40">
        <v>4523</v>
      </c>
      <c r="G569" s="41" t="s">
        <v>1557</v>
      </c>
      <c r="H569" s="41" t="s">
        <v>133</v>
      </c>
    </row>
    <row r="570" spans="1:8" ht="27.6" x14ac:dyDescent="0.3">
      <c r="A570" s="38" t="s">
        <v>52</v>
      </c>
      <c r="B570" s="38" t="s">
        <v>1554</v>
      </c>
      <c r="C570" s="38" t="s">
        <v>1555</v>
      </c>
      <c r="D570" s="39" t="s">
        <v>245</v>
      </c>
      <c r="E570" s="39" t="s">
        <v>2154</v>
      </c>
      <c r="F570" s="40">
        <v>903</v>
      </c>
      <c r="G570" s="41" t="s">
        <v>1559</v>
      </c>
      <c r="H570" s="41" t="s">
        <v>838</v>
      </c>
    </row>
    <row r="571" spans="1:8" ht="27.6" x14ac:dyDescent="0.3">
      <c r="A571" s="38" t="s">
        <v>52</v>
      </c>
      <c r="B571" s="38" t="s">
        <v>1554</v>
      </c>
      <c r="C571" s="38" t="s">
        <v>1555</v>
      </c>
      <c r="D571" s="39" t="s">
        <v>245</v>
      </c>
      <c r="E571" s="39" t="s">
        <v>2154</v>
      </c>
      <c r="F571" s="40">
        <v>998</v>
      </c>
      <c r="G571" s="41" t="s">
        <v>1561</v>
      </c>
      <c r="H571" s="41" t="s">
        <v>838</v>
      </c>
    </row>
    <row r="572" spans="1:8" ht="27.6" x14ac:dyDescent="0.3">
      <c r="A572" s="38" t="s">
        <v>52</v>
      </c>
      <c r="B572" s="38" t="s">
        <v>1554</v>
      </c>
      <c r="C572" s="38" t="s">
        <v>1555</v>
      </c>
      <c r="D572" s="39" t="s">
        <v>124</v>
      </c>
      <c r="E572" s="39" t="s">
        <v>2157</v>
      </c>
      <c r="F572" s="40">
        <v>28</v>
      </c>
      <c r="G572" s="41" t="s">
        <v>1563</v>
      </c>
      <c r="H572" s="41" t="s">
        <v>1279</v>
      </c>
    </row>
    <row r="573" spans="1:8" ht="27.6" x14ac:dyDescent="0.3">
      <c r="A573" s="38" t="s">
        <v>52</v>
      </c>
      <c r="B573" s="38" t="s">
        <v>1554</v>
      </c>
      <c r="C573" s="38" t="s">
        <v>1555</v>
      </c>
      <c r="D573" s="39" t="s">
        <v>245</v>
      </c>
      <c r="E573" s="39" t="s">
        <v>2157</v>
      </c>
      <c r="F573" s="40">
        <v>2160</v>
      </c>
      <c r="G573" s="41" t="s">
        <v>1563</v>
      </c>
      <c r="H573" s="41" t="s">
        <v>1279</v>
      </c>
    </row>
    <row r="574" spans="1:8" ht="27.6" x14ac:dyDescent="0.3">
      <c r="A574" s="38" t="s">
        <v>52</v>
      </c>
      <c r="B574" s="38" t="s">
        <v>1554</v>
      </c>
      <c r="C574" s="38" t="s">
        <v>1555</v>
      </c>
      <c r="D574" s="39" t="s">
        <v>141</v>
      </c>
      <c r="E574" s="39" t="s">
        <v>2186</v>
      </c>
      <c r="F574" s="40">
        <v>5000</v>
      </c>
      <c r="G574" s="41" t="s">
        <v>1565</v>
      </c>
      <c r="H574" s="41" t="s">
        <v>102</v>
      </c>
    </row>
    <row r="575" spans="1:8" ht="27.6" x14ac:dyDescent="0.3">
      <c r="A575" s="38" t="s">
        <v>52</v>
      </c>
      <c r="B575" s="38" t="s">
        <v>1554</v>
      </c>
      <c r="C575" s="38" t="s">
        <v>1555</v>
      </c>
      <c r="D575" s="39" t="s">
        <v>141</v>
      </c>
      <c r="E575" s="39" t="s">
        <v>2186</v>
      </c>
      <c r="F575" s="40">
        <v>5000</v>
      </c>
      <c r="G575" s="41" t="s">
        <v>1567</v>
      </c>
      <c r="H575" s="41" t="s">
        <v>102</v>
      </c>
    </row>
    <row r="576" spans="1:8" ht="27.6" x14ac:dyDescent="0.3">
      <c r="A576" s="38" t="s">
        <v>52</v>
      </c>
      <c r="B576" s="38" t="s">
        <v>1554</v>
      </c>
      <c r="C576" s="38" t="s">
        <v>1555</v>
      </c>
      <c r="D576" s="39" t="s">
        <v>115</v>
      </c>
      <c r="E576" s="39" t="s">
        <v>2209</v>
      </c>
      <c r="F576" s="40">
        <v>7011</v>
      </c>
      <c r="G576" s="41" t="s">
        <v>1569</v>
      </c>
      <c r="H576" s="41" t="s">
        <v>1012</v>
      </c>
    </row>
    <row r="577" spans="1:8" x14ac:dyDescent="0.3">
      <c r="A577" s="38" t="s">
        <v>52</v>
      </c>
      <c r="B577" s="38" t="s">
        <v>1554</v>
      </c>
      <c r="C577" s="38" t="s">
        <v>1570</v>
      </c>
      <c r="D577" s="39" t="s">
        <v>115</v>
      </c>
      <c r="E577" s="39" t="s">
        <v>2199</v>
      </c>
      <c r="F577" s="40">
        <v>500</v>
      </c>
      <c r="G577" s="41" t="s">
        <v>1572</v>
      </c>
      <c r="H577" s="41" t="s">
        <v>353</v>
      </c>
    </row>
    <row r="578" spans="1:8" x14ac:dyDescent="0.3">
      <c r="A578" s="38" t="s">
        <v>52</v>
      </c>
      <c r="B578" s="38" t="s">
        <v>1554</v>
      </c>
      <c r="C578" s="38" t="s">
        <v>1570</v>
      </c>
      <c r="D578" s="39" t="s">
        <v>62</v>
      </c>
      <c r="E578" s="39" t="s">
        <v>2146</v>
      </c>
      <c r="F578" s="40">
        <v>6499</v>
      </c>
      <c r="G578" s="41" t="s">
        <v>1574</v>
      </c>
      <c r="H578" s="41" t="s">
        <v>49</v>
      </c>
    </row>
    <row r="579" spans="1:8" ht="27.6" x14ac:dyDescent="0.3">
      <c r="A579" s="38" t="s">
        <v>52</v>
      </c>
      <c r="B579" s="38" t="s">
        <v>1554</v>
      </c>
      <c r="C579" s="38" t="s">
        <v>1570</v>
      </c>
      <c r="D579" s="39" t="s">
        <v>216</v>
      </c>
      <c r="E579" s="39" t="s">
        <v>2146</v>
      </c>
      <c r="F579" s="40">
        <v>2656</v>
      </c>
      <c r="G579" s="41" t="s">
        <v>1576</v>
      </c>
      <c r="H579" s="41" t="s">
        <v>49</v>
      </c>
    </row>
    <row r="580" spans="1:8" ht="27.6" x14ac:dyDescent="0.3">
      <c r="A580" s="38" t="s">
        <v>52</v>
      </c>
      <c r="B580" s="38" t="s">
        <v>1554</v>
      </c>
      <c r="C580" s="38" t="s">
        <v>1570</v>
      </c>
      <c r="D580" s="39" t="s">
        <v>216</v>
      </c>
      <c r="E580" s="39" t="s">
        <v>2146</v>
      </c>
      <c r="F580" s="40">
        <v>674</v>
      </c>
      <c r="G580" s="41" t="s">
        <v>1578</v>
      </c>
      <c r="H580" s="41" t="s">
        <v>49</v>
      </c>
    </row>
    <row r="581" spans="1:8" x14ac:dyDescent="0.3">
      <c r="A581" s="38" t="s">
        <v>52</v>
      </c>
      <c r="B581" s="38" t="s">
        <v>1554</v>
      </c>
      <c r="C581" s="38" t="s">
        <v>1570</v>
      </c>
      <c r="D581" s="39" t="s">
        <v>115</v>
      </c>
      <c r="E581" s="39" t="s">
        <v>2167</v>
      </c>
      <c r="F581" s="40">
        <v>1100</v>
      </c>
      <c r="G581" s="41" t="s">
        <v>1580</v>
      </c>
      <c r="H581" s="41" t="s">
        <v>70</v>
      </c>
    </row>
    <row r="582" spans="1:8" x14ac:dyDescent="0.3">
      <c r="A582" s="38" t="s">
        <v>52</v>
      </c>
      <c r="B582" s="38" t="s">
        <v>1554</v>
      </c>
      <c r="C582" s="38" t="s">
        <v>1570</v>
      </c>
      <c r="D582" s="39" t="s">
        <v>124</v>
      </c>
      <c r="E582" s="39" t="s">
        <v>2173</v>
      </c>
      <c r="F582" s="40">
        <v>390</v>
      </c>
      <c r="G582" s="41" t="s">
        <v>1582</v>
      </c>
      <c r="H582" s="41" t="s">
        <v>347</v>
      </c>
    </row>
    <row r="583" spans="1:8" ht="41.4" x14ac:dyDescent="0.3">
      <c r="A583" s="38" t="s">
        <v>52</v>
      </c>
      <c r="B583" s="38" t="s">
        <v>1554</v>
      </c>
      <c r="C583" s="38" t="s">
        <v>1583</v>
      </c>
      <c r="D583" s="39" t="s">
        <v>110</v>
      </c>
      <c r="E583" s="39" t="s">
        <v>2207</v>
      </c>
      <c r="F583" s="40">
        <v>2042</v>
      </c>
      <c r="G583" s="41" t="s">
        <v>1585</v>
      </c>
      <c r="H583" s="41" t="s">
        <v>168</v>
      </c>
    </row>
    <row r="584" spans="1:8" ht="27.6" x14ac:dyDescent="0.3">
      <c r="A584" s="38" t="s">
        <v>44</v>
      </c>
      <c r="B584" s="38" t="s">
        <v>1554</v>
      </c>
      <c r="C584" s="38" t="s">
        <v>330</v>
      </c>
      <c r="D584" s="39" t="s">
        <v>7</v>
      </c>
      <c r="E584" s="39" t="s">
        <v>2207</v>
      </c>
      <c r="F584" s="40">
        <v>2042</v>
      </c>
      <c r="G584" s="41" t="s">
        <v>1587</v>
      </c>
      <c r="H584" s="41" t="s">
        <v>168</v>
      </c>
    </row>
    <row r="585" spans="1:8" ht="27.6" x14ac:dyDescent="0.3">
      <c r="A585" s="38" t="s">
        <v>44</v>
      </c>
      <c r="B585" s="38" t="s">
        <v>1554</v>
      </c>
      <c r="C585" s="38" t="s">
        <v>330</v>
      </c>
      <c r="D585" s="39" t="s">
        <v>7</v>
      </c>
      <c r="E585" s="39" t="s">
        <v>2184</v>
      </c>
      <c r="F585" s="40">
        <v>1225</v>
      </c>
      <c r="G585" s="41" t="s">
        <v>1589</v>
      </c>
      <c r="H585" s="41" t="s">
        <v>150</v>
      </c>
    </row>
    <row r="586" spans="1:8" ht="41.4" x14ac:dyDescent="0.3">
      <c r="A586" s="38" t="s">
        <v>44</v>
      </c>
      <c r="B586" s="38" t="s">
        <v>1554</v>
      </c>
      <c r="C586" s="38" t="s">
        <v>330</v>
      </c>
      <c r="D586" s="39" t="s">
        <v>7</v>
      </c>
      <c r="E586" s="39" t="s">
        <v>2176</v>
      </c>
      <c r="F586" s="40">
        <v>1018</v>
      </c>
      <c r="G586" s="41" t="s">
        <v>1591</v>
      </c>
      <c r="H586" s="41" t="s">
        <v>58</v>
      </c>
    </row>
    <row r="587" spans="1:8" x14ac:dyDescent="0.3">
      <c r="A587" s="38" t="s">
        <v>44</v>
      </c>
      <c r="B587" s="38" t="s">
        <v>1554</v>
      </c>
      <c r="C587" s="38" t="s">
        <v>46</v>
      </c>
      <c r="D587" s="39" t="s">
        <v>7</v>
      </c>
      <c r="E587" s="39" t="s">
        <v>2159</v>
      </c>
      <c r="F587" s="40">
        <v>10000</v>
      </c>
      <c r="G587" s="41" t="s">
        <v>1593</v>
      </c>
      <c r="H587" s="41" t="s">
        <v>2224</v>
      </c>
    </row>
    <row r="588" spans="1:8" x14ac:dyDescent="0.3">
      <c r="A588" s="38" t="s">
        <v>44</v>
      </c>
      <c r="B588" s="38" t="s">
        <v>1554</v>
      </c>
      <c r="C588" s="38" t="s">
        <v>46</v>
      </c>
      <c r="D588" s="39" t="s">
        <v>7</v>
      </c>
      <c r="E588" s="39" t="s">
        <v>2148</v>
      </c>
      <c r="F588" s="40">
        <v>1160</v>
      </c>
      <c r="G588" s="41" t="s">
        <v>1596</v>
      </c>
      <c r="H588" s="41" t="s">
        <v>1553</v>
      </c>
    </row>
    <row r="589" spans="1:8" x14ac:dyDescent="0.3">
      <c r="A589" s="38" t="s">
        <v>44</v>
      </c>
      <c r="B589" s="38" t="s">
        <v>1554</v>
      </c>
      <c r="C589" s="38" t="s">
        <v>46</v>
      </c>
      <c r="D589" s="39" t="s">
        <v>7</v>
      </c>
      <c r="E589" s="39" t="s">
        <v>2148</v>
      </c>
      <c r="F589" s="40">
        <v>384</v>
      </c>
      <c r="G589" s="41" t="s">
        <v>1598</v>
      </c>
      <c r="H589" s="41" t="s">
        <v>1553</v>
      </c>
    </row>
    <row r="590" spans="1:8" x14ac:dyDescent="0.3">
      <c r="A590" s="38" t="s">
        <v>44</v>
      </c>
      <c r="B590" s="38" t="s">
        <v>1554</v>
      </c>
      <c r="C590" s="38" t="s">
        <v>46</v>
      </c>
      <c r="D590" s="39" t="s">
        <v>7</v>
      </c>
      <c r="E590" s="39" t="s">
        <v>2159</v>
      </c>
      <c r="F590" s="40">
        <v>3200</v>
      </c>
      <c r="G590" s="41" t="s">
        <v>1600</v>
      </c>
      <c r="H590" s="41" t="s">
        <v>1118</v>
      </c>
    </row>
    <row r="591" spans="1:8" ht="27.6" x14ac:dyDescent="0.3">
      <c r="A591" s="38" t="s">
        <v>44</v>
      </c>
      <c r="B591" s="38" t="s">
        <v>1554</v>
      </c>
      <c r="C591" s="38" t="s">
        <v>46</v>
      </c>
      <c r="D591" s="39" t="s">
        <v>7</v>
      </c>
      <c r="E591" s="39" t="s">
        <v>2172</v>
      </c>
      <c r="F591" s="40">
        <v>2342</v>
      </c>
      <c r="G591" s="41" t="s">
        <v>1602</v>
      </c>
      <c r="H591" s="41" t="s">
        <v>779</v>
      </c>
    </row>
    <row r="592" spans="1:8" ht="27.6" x14ac:dyDescent="0.3">
      <c r="A592" s="38" t="s">
        <v>44</v>
      </c>
      <c r="B592" s="38" t="s">
        <v>1554</v>
      </c>
      <c r="C592" s="38" t="s">
        <v>46</v>
      </c>
      <c r="D592" s="39" t="s">
        <v>7</v>
      </c>
      <c r="E592" s="39" t="s">
        <v>2186</v>
      </c>
      <c r="F592" s="40">
        <v>500</v>
      </c>
      <c r="G592" s="41" t="s">
        <v>1604</v>
      </c>
      <c r="H592" s="41" t="s">
        <v>102</v>
      </c>
    </row>
    <row r="593" spans="1:8" ht="27.6" x14ac:dyDescent="0.3">
      <c r="A593" s="38" t="s">
        <v>52</v>
      </c>
      <c r="B593" s="38" t="s">
        <v>1605</v>
      </c>
      <c r="C593" s="38" t="s">
        <v>1606</v>
      </c>
      <c r="D593" s="39" t="s">
        <v>55</v>
      </c>
      <c r="E593" s="39" t="s">
        <v>2186</v>
      </c>
      <c r="F593" s="40">
        <v>500</v>
      </c>
      <c r="G593" s="41" t="s">
        <v>1608</v>
      </c>
      <c r="H593" s="41" t="s">
        <v>102</v>
      </c>
    </row>
    <row r="594" spans="1:8" ht="27.6" x14ac:dyDescent="0.3">
      <c r="A594" s="38" t="s">
        <v>52</v>
      </c>
      <c r="B594" s="38" t="s">
        <v>1605</v>
      </c>
      <c r="C594" s="38" t="s">
        <v>1606</v>
      </c>
      <c r="D594" s="39" t="s">
        <v>208</v>
      </c>
      <c r="E594" s="39" t="s">
        <v>2189</v>
      </c>
      <c r="F594" s="40">
        <v>280</v>
      </c>
      <c r="G594" s="41" t="s">
        <v>1610</v>
      </c>
      <c r="H594" s="41" t="s">
        <v>499</v>
      </c>
    </row>
    <row r="595" spans="1:8" ht="27.6" x14ac:dyDescent="0.3">
      <c r="A595" s="38" t="s">
        <v>52</v>
      </c>
      <c r="B595" s="38" t="s">
        <v>1605</v>
      </c>
      <c r="C595" s="38" t="s">
        <v>1606</v>
      </c>
      <c r="D595" s="39" t="s">
        <v>55</v>
      </c>
      <c r="E595" s="39" t="s">
        <v>2176</v>
      </c>
      <c r="F595" s="40">
        <v>3795</v>
      </c>
      <c r="G595" s="41" t="s">
        <v>1612</v>
      </c>
      <c r="H595" s="41" t="s">
        <v>58</v>
      </c>
    </row>
    <row r="596" spans="1:8" ht="27.6" x14ac:dyDescent="0.3">
      <c r="A596" s="38" t="s">
        <v>52</v>
      </c>
      <c r="B596" s="38" t="s">
        <v>1605</v>
      </c>
      <c r="C596" s="38" t="s">
        <v>1606</v>
      </c>
      <c r="D596" s="39" t="s">
        <v>55</v>
      </c>
      <c r="E596" s="39" t="s">
        <v>2176</v>
      </c>
      <c r="F596" s="40">
        <v>5960</v>
      </c>
      <c r="G596" s="41" t="s">
        <v>1614</v>
      </c>
      <c r="H596" s="41" t="s">
        <v>58</v>
      </c>
    </row>
    <row r="597" spans="1:8" ht="27.6" x14ac:dyDescent="0.3">
      <c r="A597" s="38" t="s">
        <v>52</v>
      </c>
      <c r="B597" s="38" t="s">
        <v>1605</v>
      </c>
      <c r="C597" s="38" t="s">
        <v>1606</v>
      </c>
      <c r="D597" s="39" t="s">
        <v>55</v>
      </c>
      <c r="E597" s="39" t="s">
        <v>2176</v>
      </c>
      <c r="F597" s="40">
        <v>2950</v>
      </c>
      <c r="G597" s="41" t="s">
        <v>1616</v>
      </c>
      <c r="H597" s="41" t="s">
        <v>58</v>
      </c>
    </row>
    <row r="598" spans="1:8" ht="27.6" x14ac:dyDescent="0.3">
      <c r="A598" s="38" t="s">
        <v>52</v>
      </c>
      <c r="B598" s="38" t="s">
        <v>1605</v>
      </c>
      <c r="C598" s="38" t="s">
        <v>1606</v>
      </c>
      <c r="D598" s="39" t="s">
        <v>55</v>
      </c>
      <c r="E598" s="39" t="s">
        <v>2176</v>
      </c>
      <c r="F598" s="40">
        <v>1170</v>
      </c>
      <c r="G598" s="41" t="s">
        <v>1618</v>
      </c>
      <c r="H598" s="41" t="s">
        <v>58</v>
      </c>
    </row>
    <row r="599" spans="1:8" ht="27.6" x14ac:dyDescent="0.3">
      <c r="A599" s="38" t="s">
        <v>52</v>
      </c>
      <c r="B599" s="38" t="s">
        <v>1605</v>
      </c>
      <c r="C599" s="38" t="s">
        <v>1619</v>
      </c>
      <c r="D599" s="39" t="s">
        <v>245</v>
      </c>
      <c r="E599" s="39" t="s">
        <v>2155</v>
      </c>
      <c r="F599" s="40">
        <v>31520</v>
      </c>
      <c r="G599" s="41" t="s">
        <v>1621</v>
      </c>
      <c r="H599" s="41" t="s">
        <v>118</v>
      </c>
    </row>
    <row r="600" spans="1:8" x14ac:dyDescent="0.3">
      <c r="A600" s="38" t="s">
        <v>52</v>
      </c>
      <c r="B600" s="38" t="s">
        <v>1605</v>
      </c>
      <c r="C600" s="38" t="s">
        <v>1622</v>
      </c>
      <c r="D600" s="39" t="s">
        <v>130</v>
      </c>
      <c r="E600" s="39" t="s">
        <v>2167</v>
      </c>
      <c r="F600" s="40">
        <v>1200</v>
      </c>
      <c r="G600" s="41" t="s">
        <v>1624</v>
      </c>
      <c r="H600" s="41" t="s">
        <v>70</v>
      </c>
    </row>
    <row r="601" spans="1:8" ht="27.6" x14ac:dyDescent="0.3">
      <c r="A601" s="38" t="s">
        <v>52</v>
      </c>
      <c r="B601" s="38" t="s">
        <v>1605</v>
      </c>
      <c r="C601" s="38" t="s">
        <v>1622</v>
      </c>
      <c r="D601" s="39" t="s">
        <v>55</v>
      </c>
      <c r="E601" s="39" t="s">
        <v>2176</v>
      </c>
      <c r="F601" s="40">
        <v>3900</v>
      </c>
      <c r="G601" s="41" t="s">
        <v>1626</v>
      </c>
      <c r="H601" s="41" t="s">
        <v>58</v>
      </c>
    </row>
    <row r="602" spans="1:8" ht="27.6" x14ac:dyDescent="0.3">
      <c r="A602" s="38" t="s">
        <v>52</v>
      </c>
      <c r="B602" s="38" t="s">
        <v>1605</v>
      </c>
      <c r="C602" s="38" t="s">
        <v>1627</v>
      </c>
      <c r="D602" s="39" t="s">
        <v>232</v>
      </c>
      <c r="E602" s="39" t="s">
        <v>2197</v>
      </c>
      <c r="F602" s="40">
        <v>2000</v>
      </c>
      <c r="G602" s="41" t="s">
        <v>1629</v>
      </c>
      <c r="H602" s="41" t="s">
        <v>98</v>
      </c>
    </row>
    <row r="603" spans="1:8" ht="27.6" x14ac:dyDescent="0.3">
      <c r="A603" s="38" t="s">
        <v>52</v>
      </c>
      <c r="B603" s="38" t="s">
        <v>1605</v>
      </c>
      <c r="C603" s="38" t="s">
        <v>1630</v>
      </c>
      <c r="D603" s="39" t="s">
        <v>55</v>
      </c>
      <c r="E603" s="39" t="s">
        <v>2205</v>
      </c>
      <c r="F603" s="40">
        <v>4016</v>
      </c>
      <c r="G603" s="41" t="s">
        <v>1632</v>
      </c>
      <c r="H603" s="41" t="s">
        <v>342</v>
      </c>
    </row>
    <row r="604" spans="1:8" ht="27.6" x14ac:dyDescent="0.3">
      <c r="A604" s="38" t="s">
        <v>52</v>
      </c>
      <c r="B604" s="38" t="s">
        <v>1605</v>
      </c>
      <c r="C604" s="38" t="s">
        <v>1630</v>
      </c>
      <c r="D604" s="39" t="s">
        <v>55</v>
      </c>
      <c r="E604" s="39" t="s">
        <v>2205</v>
      </c>
      <c r="F604" s="40">
        <v>3887</v>
      </c>
      <c r="G604" s="41" t="s">
        <v>1634</v>
      </c>
      <c r="H604" s="41" t="s">
        <v>342</v>
      </c>
    </row>
    <row r="605" spans="1:8" ht="27.6" x14ac:dyDescent="0.3">
      <c r="A605" s="38" t="s">
        <v>52</v>
      </c>
      <c r="B605" s="38" t="s">
        <v>1605</v>
      </c>
      <c r="C605" s="38" t="s">
        <v>1630</v>
      </c>
      <c r="D605" s="39" t="s">
        <v>703</v>
      </c>
      <c r="E605" s="39" t="s">
        <v>2176</v>
      </c>
      <c r="F605" s="40">
        <v>4400</v>
      </c>
      <c r="G605" s="41" t="s">
        <v>1636</v>
      </c>
      <c r="H605" s="41" t="s">
        <v>58</v>
      </c>
    </row>
    <row r="606" spans="1:8" ht="27.6" x14ac:dyDescent="0.3">
      <c r="A606" s="38" t="s">
        <v>52</v>
      </c>
      <c r="B606" s="38" t="s">
        <v>1605</v>
      </c>
      <c r="C606" s="38" t="s">
        <v>1637</v>
      </c>
      <c r="D606" s="39" t="s">
        <v>115</v>
      </c>
      <c r="E606" s="39" t="s">
        <v>2148</v>
      </c>
      <c r="F606" s="40">
        <v>10517</v>
      </c>
      <c r="G606" s="41" t="s">
        <v>1639</v>
      </c>
      <c r="H606" s="41" t="s">
        <v>1320</v>
      </c>
    </row>
    <row r="607" spans="1:8" ht="27.6" x14ac:dyDescent="0.3">
      <c r="A607" s="38" t="s">
        <v>44</v>
      </c>
      <c r="B607" s="38" t="s">
        <v>1605</v>
      </c>
      <c r="C607" s="38" t="s">
        <v>46</v>
      </c>
      <c r="D607" s="39" t="s">
        <v>7</v>
      </c>
      <c r="E607" s="39" t="s">
        <v>2186</v>
      </c>
      <c r="F607" s="40">
        <v>500</v>
      </c>
      <c r="G607" s="41" t="s">
        <v>1641</v>
      </c>
      <c r="H607" s="41" t="s">
        <v>102</v>
      </c>
    </row>
    <row r="608" spans="1:8" x14ac:dyDescent="0.3">
      <c r="A608" s="38" t="s">
        <v>44</v>
      </c>
      <c r="B608" s="38" t="s">
        <v>1605</v>
      </c>
      <c r="C608" s="38" t="s">
        <v>46</v>
      </c>
      <c r="D608" s="39" t="s">
        <v>7</v>
      </c>
      <c r="E608" s="39" t="s">
        <v>2199</v>
      </c>
      <c r="F608" s="40">
        <v>18000</v>
      </c>
      <c r="G608" s="41" t="s">
        <v>1643</v>
      </c>
      <c r="H608" s="41" t="s">
        <v>353</v>
      </c>
    </row>
    <row r="609" spans="1:8" ht="69" x14ac:dyDescent="0.3">
      <c r="A609" s="38" t="s">
        <v>52</v>
      </c>
      <c r="B609" s="38" t="s">
        <v>1644</v>
      </c>
      <c r="C609" s="38" t="s">
        <v>1645</v>
      </c>
      <c r="D609" s="39" t="s">
        <v>216</v>
      </c>
      <c r="E609" s="39" t="s">
        <v>2163</v>
      </c>
      <c r="F609" s="40">
        <v>2931</v>
      </c>
      <c r="G609" s="41" t="s">
        <v>1647</v>
      </c>
      <c r="H609" s="41" t="s">
        <v>1122</v>
      </c>
    </row>
    <row r="610" spans="1:8" ht="27.6" x14ac:dyDescent="0.3">
      <c r="A610" s="38" t="s">
        <v>52</v>
      </c>
      <c r="B610" s="38" t="s">
        <v>1644</v>
      </c>
      <c r="C610" s="38" t="s">
        <v>1648</v>
      </c>
      <c r="D610" s="39" t="s">
        <v>703</v>
      </c>
      <c r="E610" s="39" t="s">
        <v>2195</v>
      </c>
      <c r="F610" s="40">
        <v>3290</v>
      </c>
      <c r="G610" s="41" t="s">
        <v>1650</v>
      </c>
      <c r="H610" s="41" t="s">
        <v>1232</v>
      </c>
    </row>
    <row r="611" spans="1:8" ht="27.6" x14ac:dyDescent="0.3">
      <c r="A611" s="38" t="s">
        <v>52</v>
      </c>
      <c r="B611" s="38" t="s">
        <v>1644</v>
      </c>
      <c r="C611" s="38" t="s">
        <v>1651</v>
      </c>
      <c r="D611" s="39" t="s">
        <v>1652</v>
      </c>
      <c r="E611" s="39" t="s">
        <v>2172</v>
      </c>
      <c r="F611" s="40">
        <v>6270</v>
      </c>
      <c r="G611" s="41" t="s">
        <v>1654</v>
      </c>
      <c r="H611" s="41" t="s">
        <v>740</v>
      </c>
    </row>
    <row r="612" spans="1:8" ht="27.6" x14ac:dyDescent="0.3">
      <c r="A612" s="38" t="s">
        <v>1295</v>
      </c>
      <c r="B612" s="38" t="s">
        <v>1644</v>
      </c>
      <c r="C612" s="38" t="s">
        <v>1651</v>
      </c>
      <c r="D612" s="39" t="s">
        <v>737</v>
      </c>
      <c r="E612" s="39" t="s">
        <v>2172</v>
      </c>
      <c r="F612" s="40">
        <v>-6270</v>
      </c>
      <c r="G612" s="41" t="s">
        <v>1654</v>
      </c>
      <c r="H612" s="41" t="s">
        <v>740</v>
      </c>
    </row>
    <row r="613" spans="1:8" x14ac:dyDescent="0.3">
      <c r="A613" s="38" t="s">
        <v>44</v>
      </c>
      <c r="B613" s="38" t="s">
        <v>1644</v>
      </c>
      <c r="C613" s="38" t="s">
        <v>330</v>
      </c>
      <c r="D613" s="39" t="s">
        <v>7</v>
      </c>
      <c r="E613" s="39" t="s">
        <v>2159</v>
      </c>
      <c r="F613" s="40">
        <v>4764</v>
      </c>
      <c r="G613" s="41" t="s">
        <v>1656</v>
      </c>
      <c r="H613" s="41" t="s">
        <v>1197</v>
      </c>
    </row>
    <row r="614" spans="1:8" ht="27.6" x14ac:dyDescent="0.3">
      <c r="A614" s="38" t="s">
        <v>44</v>
      </c>
      <c r="B614" s="38" t="s">
        <v>1644</v>
      </c>
      <c r="C614" s="38" t="s">
        <v>330</v>
      </c>
      <c r="D614" s="39" t="s">
        <v>7</v>
      </c>
      <c r="E614" s="39" t="s">
        <v>2184</v>
      </c>
      <c r="F614" s="40">
        <v>4084</v>
      </c>
      <c r="G614" s="41" t="s">
        <v>1658</v>
      </c>
      <c r="H614" s="41" t="s">
        <v>150</v>
      </c>
    </row>
    <row r="615" spans="1:8" ht="27.6" x14ac:dyDescent="0.3">
      <c r="A615" s="38" t="s">
        <v>44</v>
      </c>
      <c r="B615" s="38" t="s">
        <v>1644</v>
      </c>
      <c r="C615" s="38" t="s">
        <v>46</v>
      </c>
      <c r="D615" s="39" t="s">
        <v>7</v>
      </c>
      <c r="E615" s="39" t="s">
        <v>2143</v>
      </c>
      <c r="F615" s="40">
        <v>2085</v>
      </c>
      <c r="G615" s="41" t="s">
        <v>1660</v>
      </c>
      <c r="H615" s="41" t="s">
        <v>248</v>
      </c>
    </row>
    <row r="616" spans="1:8" x14ac:dyDescent="0.3">
      <c r="A616" s="38" t="s">
        <v>44</v>
      </c>
      <c r="B616" s="38" t="s">
        <v>1644</v>
      </c>
      <c r="C616" s="38" t="s">
        <v>46</v>
      </c>
      <c r="D616" s="39" t="s">
        <v>7</v>
      </c>
      <c r="E616" s="39" t="s">
        <v>2159</v>
      </c>
      <c r="F616" s="40">
        <v>3000</v>
      </c>
      <c r="G616" s="41" t="s">
        <v>1662</v>
      </c>
      <c r="H616" s="41" t="s">
        <v>1118</v>
      </c>
    </row>
    <row r="617" spans="1:8" ht="41.4" x14ac:dyDescent="0.3">
      <c r="A617" s="38" t="s">
        <v>44</v>
      </c>
      <c r="B617" s="38" t="s">
        <v>1644</v>
      </c>
      <c r="C617" s="38" t="s">
        <v>46</v>
      </c>
      <c r="D617" s="39" t="s">
        <v>7</v>
      </c>
      <c r="E617" s="39" t="s">
        <v>2161</v>
      </c>
      <c r="F617" s="40">
        <v>3173</v>
      </c>
      <c r="G617" s="41" t="s">
        <v>1664</v>
      </c>
      <c r="H617" s="41" t="s">
        <v>1665</v>
      </c>
    </row>
    <row r="618" spans="1:8" ht="27.6" x14ac:dyDescent="0.3">
      <c r="A618" s="38" t="s">
        <v>44</v>
      </c>
      <c r="B618" s="38" t="s">
        <v>1644</v>
      </c>
      <c r="C618" s="38" t="s">
        <v>46</v>
      </c>
      <c r="D618" s="39" t="s">
        <v>7</v>
      </c>
      <c r="E618" s="39" t="s">
        <v>2161</v>
      </c>
      <c r="F618" s="40">
        <v>305</v>
      </c>
      <c r="G618" s="41" t="s">
        <v>1667</v>
      </c>
      <c r="H618" s="41" t="s">
        <v>1665</v>
      </c>
    </row>
    <row r="619" spans="1:8" ht="27.6" x14ac:dyDescent="0.3">
      <c r="A619" s="38" t="s">
        <v>44</v>
      </c>
      <c r="B619" s="38" t="s">
        <v>1644</v>
      </c>
      <c r="C619" s="38" t="s">
        <v>46</v>
      </c>
      <c r="D619" s="39" t="s">
        <v>7</v>
      </c>
      <c r="E619" s="39" t="s">
        <v>2170</v>
      </c>
      <c r="F619" s="40">
        <v>5684</v>
      </c>
      <c r="G619" s="41" t="s">
        <v>1669</v>
      </c>
      <c r="H619" s="41" t="s">
        <v>84</v>
      </c>
    </row>
    <row r="620" spans="1:8" ht="27.6" x14ac:dyDescent="0.3">
      <c r="A620" s="38" t="s">
        <v>44</v>
      </c>
      <c r="B620" s="38" t="s">
        <v>1644</v>
      </c>
      <c r="C620" s="38" t="s">
        <v>46</v>
      </c>
      <c r="D620" s="39" t="s">
        <v>7</v>
      </c>
      <c r="E620" s="39" t="s">
        <v>2174</v>
      </c>
      <c r="F620" s="40">
        <v>1000</v>
      </c>
      <c r="G620" s="41" t="s">
        <v>1671</v>
      </c>
      <c r="H620" s="41" t="s">
        <v>74</v>
      </c>
    </row>
    <row r="621" spans="1:8" ht="27.6" x14ac:dyDescent="0.3">
      <c r="A621" s="38" t="s">
        <v>44</v>
      </c>
      <c r="B621" s="38" t="s">
        <v>1644</v>
      </c>
      <c r="C621" s="38" t="s">
        <v>46</v>
      </c>
      <c r="D621" s="39" t="s">
        <v>7</v>
      </c>
      <c r="E621" s="39" t="s">
        <v>2178</v>
      </c>
      <c r="F621" s="40">
        <v>4901</v>
      </c>
      <c r="G621" s="41" t="s">
        <v>1673</v>
      </c>
      <c r="H621" s="41" t="s">
        <v>337</v>
      </c>
    </row>
    <row r="622" spans="1:8" ht="27.6" x14ac:dyDescent="0.3">
      <c r="A622" s="38" t="s">
        <v>44</v>
      </c>
      <c r="B622" s="38" t="s">
        <v>1644</v>
      </c>
      <c r="C622" s="38" t="s">
        <v>46</v>
      </c>
      <c r="D622" s="39" t="s">
        <v>7</v>
      </c>
      <c r="E622" s="39" t="s">
        <v>2178</v>
      </c>
      <c r="F622" s="40">
        <v>2660</v>
      </c>
      <c r="G622" s="41" t="s">
        <v>1675</v>
      </c>
      <c r="H622" s="41" t="s">
        <v>337</v>
      </c>
    </row>
    <row r="623" spans="1:8" ht="27.6" x14ac:dyDescent="0.3">
      <c r="A623" s="38" t="s">
        <v>44</v>
      </c>
      <c r="B623" s="38" t="s">
        <v>1644</v>
      </c>
      <c r="C623" s="38" t="s">
        <v>46</v>
      </c>
      <c r="D623" s="39" t="s">
        <v>7</v>
      </c>
      <c r="E623" s="39" t="s">
        <v>2186</v>
      </c>
      <c r="F623" s="40">
        <v>500</v>
      </c>
      <c r="G623" s="41" t="s">
        <v>1677</v>
      </c>
      <c r="H623" s="41" t="s">
        <v>102</v>
      </c>
    </row>
    <row r="624" spans="1:8" ht="27.6" x14ac:dyDescent="0.3">
      <c r="A624" s="38" t="s">
        <v>44</v>
      </c>
      <c r="B624" s="38" t="s">
        <v>1678</v>
      </c>
      <c r="C624" s="38" t="s">
        <v>46</v>
      </c>
      <c r="D624" s="39" t="s">
        <v>7</v>
      </c>
      <c r="E624" s="39" t="s">
        <v>2159</v>
      </c>
      <c r="F624" s="40">
        <v>685</v>
      </c>
      <c r="G624" s="41" t="s">
        <v>1680</v>
      </c>
      <c r="H624" s="41" t="s">
        <v>1352</v>
      </c>
    </row>
    <row r="625" spans="1:8" x14ac:dyDescent="0.3">
      <c r="A625" s="38" t="s">
        <v>44</v>
      </c>
      <c r="B625" s="38" t="s">
        <v>1681</v>
      </c>
      <c r="C625" s="38" t="s">
        <v>46</v>
      </c>
      <c r="D625" s="39" t="s">
        <v>7</v>
      </c>
      <c r="E625" s="39" t="s">
        <v>2148</v>
      </c>
      <c r="F625" s="40">
        <v>23000</v>
      </c>
      <c r="G625" s="41" t="s">
        <v>1683</v>
      </c>
      <c r="H625" s="41" t="s">
        <v>1684</v>
      </c>
    </row>
    <row r="626" spans="1:8" ht="27.6" x14ac:dyDescent="0.3">
      <c r="A626" s="38" t="s">
        <v>52</v>
      </c>
      <c r="B626" s="38" t="s">
        <v>1685</v>
      </c>
      <c r="C626" s="38" t="s">
        <v>1686</v>
      </c>
      <c r="D626" s="39" t="s">
        <v>141</v>
      </c>
      <c r="E626" s="39" t="s">
        <v>2173</v>
      </c>
      <c r="F626" s="40">
        <v>7276</v>
      </c>
      <c r="G626" s="41" t="s">
        <v>1688</v>
      </c>
      <c r="H626" s="41" t="s">
        <v>347</v>
      </c>
    </row>
    <row r="627" spans="1:8" ht="27.6" x14ac:dyDescent="0.3">
      <c r="A627" s="38" t="s">
        <v>52</v>
      </c>
      <c r="B627" s="38" t="s">
        <v>1685</v>
      </c>
      <c r="C627" s="38" t="s">
        <v>1686</v>
      </c>
      <c r="D627" s="39" t="s">
        <v>216</v>
      </c>
      <c r="E627" s="39" t="s">
        <v>2168</v>
      </c>
      <c r="F627" s="40">
        <v>2760</v>
      </c>
      <c r="G627" s="41" t="s">
        <v>1690</v>
      </c>
      <c r="H627" s="41" t="s">
        <v>133</v>
      </c>
    </row>
    <row r="628" spans="1:8" ht="27.6" x14ac:dyDescent="0.3">
      <c r="A628" s="38" t="s">
        <v>52</v>
      </c>
      <c r="B628" s="38" t="s">
        <v>1685</v>
      </c>
      <c r="C628" s="38" t="s">
        <v>1686</v>
      </c>
      <c r="D628" s="39" t="s">
        <v>121</v>
      </c>
      <c r="E628" s="39" t="s">
        <v>2199</v>
      </c>
      <c r="F628" s="40">
        <v>300</v>
      </c>
      <c r="G628" s="41" t="s">
        <v>1692</v>
      </c>
      <c r="H628" s="41" t="s">
        <v>353</v>
      </c>
    </row>
    <row r="629" spans="1:8" ht="27.6" x14ac:dyDescent="0.3">
      <c r="A629" s="38" t="s">
        <v>52</v>
      </c>
      <c r="B629" s="38" t="s">
        <v>1685</v>
      </c>
      <c r="C629" s="38" t="s">
        <v>1686</v>
      </c>
      <c r="D629" s="39" t="s">
        <v>115</v>
      </c>
      <c r="E629" s="39" t="s">
        <v>2199</v>
      </c>
      <c r="F629" s="40">
        <v>840</v>
      </c>
      <c r="G629" s="41" t="s">
        <v>1694</v>
      </c>
      <c r="H629" s="41" t="s">
        <v>353</v>
      </c>
    </row>
    <row r="630" spans="1:8" ht="27.6" x14ac:dyDescent="0.3">
      <c r="A630" s="38" t="s">
        <v>52</v>
      </c>
      <c r="B630" s="38" t="s">
        <v>1685</v>
      </c>
      <c r="C630" s="38" t="s">
        <v>1686</v>
      </c>
      <c r="D630" s="39" t="s">
        <v>141</v>
      </c>
      <c r="E630" s="39" t="s">
        <v>2186</v>
      </c>
      <c r="F630" s="40">
        <v>5000</v>
      </c>
      <c r="G630" s="41" t="s">
        <v>1696</v>
      </c>
      <c r="H630" s="41" t="s">
        <v>102</v>
      </c>
    </row>
    <row r="631" spans="1:8" ht="27.6" x14ac:dyDescent="0.3">
      <c r="A631" s="38" t="s">
        <v>52</v>
      </c>
      <c r="B631" s="38" t="s">
        <v>1685</v>
      </c>
      <c r="C631" s="38" t="s">
        <v>1697</v>
      </c>
      <c r="D631" s="39" t="s">
        <v>121</v>
      </c>
      <c r="E631" s="39" t="s">
        <v>2152</v>
      </c>
      <c r="F631" s="40">
        <v>21986</v>
      </c>
      <c r="G631" s="41" t="s">
        <v>1699</v>
      </c>
      <c r="H631" s="41" t="s">
        <v>1700</v>
      </c>
    </row>
    <row r="632" spans="1:8" ht="27.6" x14ac:dyDescent="0.3">
      <c r="A632" s="38" t="s">
        <v>52</v>
      </c>
      <c r="B632" s="38" t="s">
        <v>1685</v>
      </c>
      <c r="C632" s="38" t="s">
        <v>1701</v>
      </c>
      <c r="D632" s="39" t="s">
        <v>1053</v>
      </c>
      <c r="E632" s="39" t="s">
        <v>2184</v>
      </c>
      <c r="F632" s="40">
        <v>12575</v>
      </c>
      <c r="G632" s="41" t="s">
        <v>1703</v>
      </c>
      <c r="H632" s="41" t="s">
        <v>150</v>
      </c>
    </row>
    <row r="633" spans="1:8" ht="41.4" x14ac:dyDescent="0.3">
      <c r="A633" s="38" t="s">
        <v>52</v>
      </c>
      <c r="B633" s="38" t="s">
        <v>1685</v>
      </c>
      <c r="C633" s="38" t="s">
        <v>1704</v>
      </c>
      <c r="D633" s="39" t="s">
        <v>110</v>
      </c>
      <c r="E633" s="39" t="s">
        <v>2184</v>
      </c>
      <c r="F633" s="40">
        <v>4084</v>
      </c>
      <c r="G633" s="41" t="s">
        <v>1706</v>
      </c>
      <c r="H633" s="41" t="s">
        <v>150</v>
      </c>
    </row>
    <row r="634" spans="1:8" ht="41.4" x14ac:dyDescent="0.3">
      <c r="A634" s="38" t="s">
        <v>52</v>
      </c>
      <c r="B634" s="38" t="s">
        <v>1685</v>
      </c>
      <c r="C634" s="38" t="s">
        <v>1707</v>
      </c>
      <c r="D634" s="39" t="s">
        <v>110</v>
      </c>
      <c r="E634" s="39" t="s">
        <v>2189</v>
      </c>
      <c r="F634" s="40">
        <v>6127</v>
      </c>
      <c r="G634" s="41" t="s">
        <v>1709</v>
      </c>
      <c r="H634" s="41" t="s">
        <v>499</v>
      </c>
    </row>
    <row r="635" spans="1:8" x14ac:dyDescent="0.3">
      <c r="A635" s="38" t="s">
        <v>44</v>
      </c>
      <c r="B635" s="38" t="s">
        <v>1685</v>
      </c>
      <c r="C635" s="38" t="s">
        <v>330</v>
      </c>
      <c r="D635" s="39" t="s">
        <v>7</v>
      </c>
      <c r="E635" s="39" t="s">
        <v>2146</v>
      </c>
      <c r="F635" s="40">
        <v>700</v>
      </c>
      <c r="G635" s="41" t="s">
        <v>1711</v>
      </c>
      <c r="H635" s="41" t="s">
        <v>49</v>
      </c>
    </row>
    <row r="636" spans="1:8" ht="27.6" x14ac:dyDescent="0.3">
      <c r="A636" s="38" t="s">
        <v>44</v>
      </c>
      <c r="B636" s="38" t="s">
        <v>1685</v>
      </c>
      <c r="C636" s="38" t="s">
        <v>330</v>
      </c>
      <c r="D636" s="39" t="s">
        <v>7</v>
      </c>
      <c r="E636" s="39" t="s">
        <v>2154</v>
      </c>
      <c r="F636" s="40">
        <v>27044</v>
      </c>
      <c r="G636" s="41" t="s">
        <v>1713</v>
      </c>
      <c r="H636" s="41" t="s">
        <v>1520</v>
      </c>
    </row>
    <row r="637" spans="1:8" x14ac:dyDescent="0.3">
      <c r="A637" s="38" t="s">
        <v>44</v>
      </c>
      <c r="B637" s="38" t="s">
        <v>1685</v>
      </c>
      <c r="C637" s="38" t="s">
        <v>330</v>
      </c>
      <c r="D637" s="39" t="s">
        <v>7</v>
      </c>
      <c r="E637" s="39" t="s">
        <v>2159</v>
      </c>
      <c r="F637" s="40">
        <v>4460</v>
      </c>
      <c r="G637" s="41" t="s">
        <v>1715</v>
      </c>
      <c r="H637" s="41" t="s">
        <v>1716</v>
      </c>
    </row>
    <row r="638" spans="1:8" ht="27.6" x14ac:dyDescent="0.3">
      <c r="A638" s="38" t="s">
        <v>44</v>
      </c>
      <c r="B638" s="38" t="s">
        <v>1685</v>
      </c>
      <c r="C638" s="38" t="s">
        <v>46</v>
      </c>
      <c r="D638" s="39" t="s">
        <v>7</v>
      </c>
      <c r="E638" s="39" t="s">
        <v>2157</v>
      </c>
      <c r="F638" s="40">
        <v>933</v>
      </c>
      <c r="G638" s="41" t="s">
        <v>1718</v>
      </c>
      <c r="H638" s="41" t="s">
        <v>1223</v>
      </c>
    </row>
    <row r="639" spans="1:8" ht="41.4" x14ac:dyDescent="0.3">
      <c r="A639" s="38" t="s">
        <v>44</v>
      </c>
      <c r="B639" s="38" t="s">
        <v>1685</v>
      </c>
      <c r="C639" s="38" t="s">
        <v>46</v>
      </c>
      <c r="D639" s="39" t="s">
        <v>7</v>
      </c>
      <c r="E639" s="39" t="s">
        <v>2163</v>
      </c>
      <c r="F639" s="40">
        <v>100721</v>
      </c>
      <c r="G639" s="41" t="s">
        <v>1720</v>
      </c>
      <c r="H639" s="41" t="s">
        <v>1476</v>
      </c>
    </row>
    <row r="640" spans="1:8" x14ac:dyDescent="0.3">
      <c r="A640" s="38" t="s">
        <v>44</v>
      </c>
      <c r="B640" s="38" t="s">
        <v>1685</v>
      </c>
      <c r="C640" s="38" t="s">
        <v>46</v>
      </c>
      <c r="D640" s="39" t="s">
        <v>7</v>
      </c>
      <c r="E640" s="39" t="s">
        <v>2199</v>
      </c>
      <c r="F640" s="40">
        <v>239</v>
      </c>
      <c r="G640" s="41" t="s">
        <v>1722</v>
      </c>
      <c r="H640" s="41" t="s">
        <v>353</v>
      </c>
    </row>
    <row r="641" spans="1:8" ht="27.6" x14ac:dyDescent="0.3">
      <c r="A641" s="38" t="s">
        <v>52</v>
      </c>
      <c r="B641" s="38" t="s">
        <v>1723</v>
      </c>
      <c r="C641" s="38" t="s">
        <v>1724</v>
      </c>
      <c r="D641" s="39" t="s">
        <v>81</v>
      </c>
      <c r="E641" s="39" t="s">
        <v>2215</v>
      </c>
      <c r="F641" s="40">
        <v>31315</v>
      </c>
      <c r="G641" s="41" t="s">
        <v>1726</v>
      </c>
      <c r="H641" s="41" t="s">
        <v>183</v>
      </c>
    </row>
    <row r="642" spans="1:8" ht="41.4" x14ac:dyDescent="0.3">
      <c r="A642" s="38" t="s">
        <v>52</v>
      </c>
      <c r="B642" s="38" t="s">
        <v>1723</v>
      </c>
      <c r="C642" s="38" t="s">
        <v>1727</v>
      </c>
      <c r="D642" s="39" t="s">
        <v>110</v>
      </c>
      <c r="E642" s="39" t="s">
        <v>2167</v>
      </c>
      <c r="F642" s="40">
        <v>3063</v>
      </c>
      <c r="G642" s="41" t="s">
        <v>1729</v>
      </c>
      <c r="H642" s="41" t="s">
        <v>70</v>
      </c>
    </row>
    <row r="643" spans="1:8" ht="27.6" x14ac:dyDescent="0.3">
      <c r="A643" s="38" t="s">
        <v>44</v>
      </c>
      <c r="B643" s="38" t="s">
        <v>1723</v>
      </c>
      <c r="C643" s="38" t="s">
        <v>330</v>
      </c>
      <c r="D643" s="39" t="s">
        <v>7</v>
      </c>
      <c r="E643" s="39" t="s">
        <v>2184</v>
      </c>
      <c r="F643" s="40">
        <v>684</v>
      </c>
      <c r="G643" s="41" t="s">
        <v>1731</v>
      </c>
      <c r="H643" s="41" t="s">
        <v>150</v>
      </c>
    </row>
    <row r="644" spans="1:8" ht="27.6" x14ac:dyDescent="0.3">
      <c r="A644" s="38" t="s">
        <v>44</v>
      </c>
      <c r="B644" s="38" t="s">
        <v>1723</v>
      </c>
      <c r="C644" s="38" t="s">
        <v>330</v>
      </c>
      <c r="D644" s="39" t="s">
        <v>7</v>
      </c>
      <c r="E644" s="39" t="s">
        <v>2176</v>
      </c>
      <c r="F644" s="40">
        <v>2980</v>
      </c>
      <c r="G644" s="41" t="s">
        <v>1733</v>
      </c>
      <c r="H644" s="41" t="s">
        <v>58</v>
      </c>
    </row>
    <row r="645" spans="1:8" ht="27.6" x14ac:dyDescent="0.3">
      <c r="A645" s="38" t="s">
        <v>44</v>
      </c>
      <c r="B645" s="38" t="s">
        <v>1723</v>
      </c>
      <c r="C645" s="38" t="s">
        <v>46</v>
      </c>
      <c r="D645" s="39" t="s">
        <v>7</v>
      </c>
      <c r="E645" s="39" t="s">
        <v>2150</v>
      </c>
      <c r="F645" s="40">
        <v>97633</v>
      </c>
      <c r="G645" s="41" t="s">
        <v>1735</v>
      </c>
      <c r="H645" s="41" t="s">
        <v>478</v>
      </c>
    </row>
    <row r="646" spans="1:8" x14ac:dyDescent="0.3">
      <c r="A646" s="38" t="s">
        <v>44</v>
      </c>
      <c r="B646" s="38" t="s">
        <v>1723</v>
      </c>
      <c r="C646" s="38" t="s">
        <v>46</v>
      </c>
      <c r="D646" s="39" t="s">
        <v>7</v>
      </c>
      <c r="E646" s="39" t="s">
        <v>2182</v>
      </c>
      <c r="F646" s="40">
        <v>6968</v>
      </c>
      <c r="G646" s="41" t="s">
        <v>1737</v>
      </c>
      <c r="H646" s="41" t="s">
        <v>239</v>
      </c>
    </row>
    <row r="647" spans="1:8" ht="27.6" x14ac:dyDescent="0.3">
      <c r="A647" s="38" t="s">
        <v>44</v>
      </c>
      <c r="B647" s="38" t="s">
        <v>1723</v>
      </c>
      <c r="C647" s="38" t="s">
        <v>46</v>
      </c>
      <c r="D647" s="39" t="s">
        <v>7</v>
      </c>
      <c r="E647" s="39" t="s">
        <v>2186</v>
      </c>
      <c r="F647" s="40">
        <v>500</v>
      </c>
      <c r="G647" s="41" t="s">
        <v>1739</v>
      </c>
      <c r="H647" s="41" t="s">
        <v>102</v>
      </c>
    </row>
    <row r="648" spans="1:8" ht="27.6" x14ac:dyDescent="0.3">
      <c r="A648" s="38" t="s">
        <v>44</v>
      </c>
      <c r="B648" s="38" t="s">
        <v>1723</v>
      </c>
      <c r="C648" s="38" t="s">
        <v>46</v>
      </c>
      <c r="D648" s="39" t="s">
        <v>7</v>
      </c>
      <c r="E648" s="39" t="s">
        <v>2186</v>
      </c>
      <c r="F648" s="40">
        <v>7368</v>
      </c>
      <c r="G648" s="41" t="s">
        <v>1741</v>
      </c>
      <c r="H648" s="41" t="s">
        <v>102</v>
      </c>
    </row>
    <row r="649" spans="1:8" x14ac:dyDescent="0.3">
      <c r="A649" s="38" t="s">
        <v>44</v>
      </c>
      <c r="B649" s="38" t="s">
        <v>1723</v>
      </c>
      <c r="C649" s="38" t="s">
        <v>46</v>
      </c>
      <c r="D649" s="39" t="s">
        <v>7</v>
      </c>
      <c r="E649" s="39" t="s">
        <v>2213</v>
      </c>
      <c r="F649" s="40">
        <v>81300</v>
      </c>
      <c r="G649" s="41" t="s">
        <v>1743</v>
      </c>
      <c r="H649" s="41" t="s">
        <v>1744</v>
      </c>
    </row>
    <row r="650" spans="1:8" ht="27.6" x14ac:dyDescent="0.3">
      <c r="A650" s="38" t="s">
        <v>52</v>
      </c>
      <c r="B650" s="38" t="s">
        <v>1745</v>
      </c>
      <c r="C650" s="38" t="s">
        <v>1746</v>
      </c>
      <c r="D650" s="39" t="s">
        <v>208</v>
      </c>
      <c r="E650" s="39" t="s">
        <v>2173</v>
      </c>
      <c r="F650" s="40">
        <v>1580</v>
      </c>
      <c r="G650" s="41" t="s">
        <v>1748</v>
      </c>
      <c r="H650" s="41" t="s">
        <v>347</v>
      </c>
    </row>
    <row r="651" spans="1:8" ht="27.6" x14ac:dyDescent="0.3">
      <c r="A651" s="38" t="s">
        <v>52</v>
      </c>
      <c r="B651" s="38" t="s">
        <v>1745</v>
      </c>
      <c r="C651" s="38" t="s">
        <v>1746</v>
      </c>
      <c r="D651" s="39" t="s">
        <v>208</v>
      </c>
      <c r="E651" s="39" t="s">
        <v>2189</v>
      </c>
      <c r="F651" s="40">
        <v>2980</v>
      </c>
      <c r="G651" s="41" t="s">
        <v>1750</v>
      </c>
      <c r="H651" s="41" t="s">
        <v>499</v>
      </c>
    </row>
    <row r="652" spans="1:8" ht="27.6" x14ac:dyDescent="0.3">
      <c r="A652" s="38" t="s">
        <v>52</v>
      </c>
      <c r="B652" s="38" t="s">
        <v>1745</v>
      </c>
      <c r="C652" s="38" t="s">
        <v>1751</v>
      </c>
      <c r="D652" s="39" t="s">
        <v>703</v>
      </c>
      <c r="E652" s="39" t="s">
        <v>2195</v>
      </c>
      <c r="F652" s="40">
        <v>3290</v>
      </c>
      <c r="G652" s="41" t="s">
        <v>1753</v>
      </c>
      <c r="H652" s="41" t="s">
        <v>1232</v>
      </c>
    </row>
    <row r="653" spans="1:8" ht="27.6" x14ac:dyDescent="0.3">
      <c r="A653" s="38" t="s">
        <v>52</v>
      </c>
      <c r="B653" s="38" t="s">
        <v>1745</v>
      </c>
      <c r="C653" s="38" t="s">
        <v>1754</v>
      </c>
      <c r="D653" s="39" t="s">
        <v>81</v>
      </c>
      <c r="E653" s="39" t="s">
        <v>2191</v>
      </c>
      <c r="F653" s="40">
        <v>17516</v>
      </c>
      <c r="G653" s="41" t="s">
        <v>1756</v>
      </c>
      <c r="H653" s="41" t="s">
        <v>1757</v>
      </c>
    </row>
    <row r="654" spans="1:8" ht="27.6" x14ac:dyDescent="0.3">
      <c r="A654" s="38" t="s">
        <v>52</v>
      </c>
      <c r="B654" s="38" t="s">
        <v>1745</v>
      </c>
      <c r="C654" s="38" t="s">
        <v>1758</v>
      </c>
      <c r="D654" s="39" t="s">
        <v>81</v>
      </c>
      <c r="E654" s="39" t="s">
        <v>2191</v>
      </c>
      <c r="F654" s="40">
        <v>19987</v>
      </c>
      <c r="G654" s="41" t="s">
        <v>1760</v>
      </c>
      <c r="H654" s="41" t="s">
        <v>1757</v>
      </c>
    </row>
    <row r="655" spans="1:8" ht="27.6" x14ac:dyDescent="0.3">
      <c r="A655" s="38" t="s">
        <v>52</v>
      </c>
      <c r="B655" s="38" t="s">
        <v>1745</v>
      </c>
      <c r="C655" s="38" t="s">
        <v>1761</v>
      </c>
      <c r="D655" s="39" t="s">
        <v>81</v>
      </c>
      <c r="E655" s="39" t="s">
        <v>2219</v>
      </c>
      <c r="F655" s="40">
        <v>32261</v>
      </c>
      <c r="G655" s="41" t="s">
        <v>1763</v>
      </c>
      <c r="H655" s="41" t="s">
        <v>223</v>
      </c>
    </row>
    <row r="656" spans="1:8" ht="41.4" x14ac:dyDescent="0.3">
      <c r="A656" s="38" t="s">
        <v>52</v>
      </c>
      <c r="B656" s="38" t="s">
        <v>1745</v>
      </c>
      <c r="C656" s="38" t="s">
        <v>1764</v>
      </c>
      <c r="D656" s="39" t="s">
        <v>110</v>
      </c>
      <c r="E656" s="39" t="s">
        <v>2184</v>
      </c>
      <c r="F656" s="40">
        <v>4084</v>
      </c>
      <c r="G656" s="41" t="s">
        <v>1766</v>
      </c>
      <c r="H656" s="41" t="s">
        <v>150</v>
      </c>
    </row>
    <row r="657" spans="1:8" x14ac:dyDescent="0.3">
      <c r="A657" s="38" t="s">
        <v>44</v>
      </c>
      <c r="B657" s="38" t="s">
        <v>1745</v>
      </c>
      <c r="C657" s="38" t="s">
        <v>330</v>
      </c>
      <c r="D657" s="39" t="s">
        <v>7</v>
      </c>
      <c r="E657" s="39" t="s">
        <v>2215</v>
      </c>
      <c r="F657" s="40">
        <v>1500</v>
      </c>
      <c r="G657" s="41" t="s">
        <v>1768</v>
      </c>
      <c r="H657" s="41" t="s">
        <v>183</v>
      </c>
    </row>
    <row r="658" spans="1:8" ht="27.6" x14ac:dyDescent="0.3">
      <c r="A658" s="38" t="s">
        <v>44</v>
      </c>
      <c r="B658" s="38" t="s">
        <v>1745</v>
      </c>
      <c r="C658" s="38" t="s">
        <v>330</v>
      </c>
      <c r="D658" s="39" t="s">
        <v>7</v>
      </c>
      <c r="E658" s="39" t="s">
        <v>2176</v>
      </c>
      <c r="F658" s="40">
        <v>2980</v>
      </c>
      <c r="G658" s="41" t="s">
        <v>1770</v>
      </c>
      <c r="H658" s="41" t="s">
        <v>58</v>
      </c>
    </row>
    <row r="659" spans="1:8" x14ac:dyDescent="0.3">
      <c r="A659" s="38" t="s">
        <v>44</v>
      </c>
      <c r="B659" s="38" t="s">
        <v>1745</v>
      </c>
      <c r="C659" s="38" t="s">
        <v>46</v>
      </c>
      <c r="D659" s="39" t="s">
        <v>7</v>
      </c>
      <c r="E659" s="39" t="s">
        <v>2144</v>
      </c>
      <c r="F659" s="40">
        <v>4084</v>
      </c>
      <c r="G659" s="41" t="s">
        <v>1772</v>
      </c>
      <c r="H659" s="41" t="s">
        <v>1550</v>
      </c>
    </row>
    <row r="660" spans="1:8" x14ac:dyDescent="0.3">
      <c r="A660" s="38" t="s">
        <v>44</v>
      </c>
      <c r="B660" s="38" t="s">
        <v>1745</v>
      </c>
      <c r="C660" s="38" t="s">
        <v>46</v>
      </c>
      <c r="D660" s="39" t="s">
        <v>7</v>
      </c>
      <c r="E660" s="39" t="s">
        <v>2144</v>
      </c>
      <c r="F660" s="40">
        <v>4084</v>
      </c>
      <c r="G660" s="41" t="s">
        <v>1774</v>
      </c>
      <c r="H660" s="41" t="s">
        <v>1550</v>
      </c>
    </row>
    <row r="661" spans="1:8" x14ac:dyDescent="0.3">
      <c r="A661" s="38" t="s">
        <v>44</v>
      </c>
      <c r="B661" s="38" t="s">
        <v>1745</v>
      </c>
      <c r="C661" s="38" t="s">
        <v>46</v>
      </c>
      <c r="D661" s="39" t="s">
        <v>7</v>
      </c>
      <c r="E661" s="39" t="s">
        <v>2154</v>
      </c>
      <c r="F661" s="40">
        <v>1089</v>
      </c>
      <c r="G661" s="41" t="s">
        <v>1776</v>
      </c>
      <c r="H661" s="41" t="s">
        <v>838</v>
      </c>
    </row>
    <row r="662" spans="1:8" ht="27.6" x14ac:dyDescent="0.3">
      <c r="A662" s="38" t="s">
        <v>44</v>
      </c>
      <c r="B662" s="38" t="s">
        <v>1745</v>
      </c>
      <c r="C662" s="38" t="s">
        <v>46</v>
      </c>
      <c r="D662" s="39" t="s">
        <v>7</v>
      </c>
      <c r="E662" s="39" t="s">
        <v>2161</v>
      </c>
      <c r="F662" s="40">
        <v>11340</v>
      </c>
      <c r="G662" s="41" t="s">
        <v>1778</v>
      </c>
      <c r="H662" s="41" t="s">
        <v>1207</v>
      </c>
    </row>
    <row r="663" spans="1:8" ht="27.6" x14ac:dyDescent="0.3">
      <c r="A663" s="38" t="s">
        <v>44</v>
      </c>
      <c r="B663" s="38" t="s">
        <v>1745</v>
      </c>
      <c r="C663" s="38" t="s">
        <v>46</v>
      </c>
      <c r="D663" s="39" t="s">
        <v>7</v>
      </c>
      <c r="E663" s="39" t="s">
        <v>2165</v>
      </c>
      <c r="F663" s="40">
        <v>14700</v>
      </c>
      <c r="G663" s="41" t="s">
        <v>1780</v>
      </c>
      <c r="H663" s="41" t="s">
        <v>1306</v>
      </c>
    </row>
    <row r="664" spans="1:8" x14ac:dyDescent="0.3">
      <c r="A664" s="38" t="s">
        <v>44</v>
      </c>
      <c r="B664" s="38" t="s">
        <v>1745</v>
      </c>
      <c r="C664" s="38" t="s">
        <v>46</v>
      </c>
      <c r="D664" s="39" t="s">
        <v>7</v>
      </c>
      <c r="E664" s="39" t="s">
        <v>2167</v>
      </c>
      <c r="F664" s="40">
        <v>3063</v>
      </c>
      <c r="G664" s="41" t="s">
        <v>1782</v>
      </c>
      <c r="H664" s="41" t="s">
        <v>70</v>
      </c>
    </row>
    <row r="665" spans="1:8" ht="27.6" x14ac:dyDescent="0.3">
      <c r="A665" s="38" t="s">
        <v>44</v>
      </c>
      <c r="B665" s="38" t="s">
        <v>1745</v>
      </c>
      <c r="C665" s="38" t="s">
        <v>46</v>
      </c>
      <c r="D665" s="39" t="s">
        <v>7</v>
      </c>
      <c r="E665" s="39" t="s">
        <v>2167</v>
      </c>
      <c r="F665" s="40">
        <v>1580</v>
      </c>
      <c r="G665" s="41" t="s">
        <v>1784</v>
      </c>
      <c r="H665" s="41" t="s">
        <v>70</v>
      </c>
    </row>
    <row r="666" spans="1:8" ht="55.2" x14ac:dyDescent="0.3">
      <c r="A666" s="38" t="s">
        <v>44</v>
      </c>
      <c r="B666" s="38" t="s">
        <v>1745</v>
      </c>
      <c r="C666" s="38" t="s">
        <v>46</v>
      </c>
      <c r="D666" s="39" t="s">
        <v>7</v>
      </c>
      <c r="E666" s="39" t="s">
        <v>2213</v>
      </c>
      <c r="F666" s="40">
        <v>9949</v>
      </c>
      <c r="G666" s="41" t="s">
        <v>1786</v>
      </c>
      <c r="H666" s="41" t="s">
        <v>1787</v>
      </c>
    </row>
    <row r="667" spans="1:8" ht="69" x14ac:dyDescent="0.3">
      <c r="A667" s="38" t="s">
        <v>44</v>
      </c>
      <c r="B667" s="38" t="s">
        <v>1745</v>
      </c>
      <c r="C667" s="38" t="s">
        <v>46</v>
      </c>
      <c r="D667" s="39" t="s">
        <v>7</v>
      </c>
      <c r="E667" s="39" t="s">
        <v>2213</v>
      </c>
      <c r="F667" s="40">
        <v>9848</v>
      </c>
      <c r="G667" s="41" t="s">
        <v>1789</v>
      </c>
      <c r="H667" s="41" t="s">
        <v>1787</v>
      </c>
    </row>
    <row r="668" spans="1:8" ht="27.6" x14ac:dyDescent="0.3">
      <c r="A668" s="38" t="s">
        <v>52</v>
      </c>
      <c r="B668" s="38" t="s">
        <v>1790</v>
      </c>
      <c r="C668" s="38" t="s">
        <v>1791</v>
      </c>
      <c r="D668" s="39" t="s">
        <v>245</v>
      </c>
      <c r="E668" s="39" t="s">
        <v>2154</v>
      </c>
      <c r="F668" s="40">
        <v>3658</v>
      </c>
      <c r="G668" s="41" t="s">
        <v>1793</v>
      </c>
      <c r="H668" s="41" t="s">
        <v>1412</v>
      </c>
    </row>
    <row r="669" spans="1:8" ht="27.6" x14ac:dyDescent="0.3">
      <c r="A669" s="38" t="s">
        <v>52</v>
      </c>
      <c r="B669" s="38" t="s">
        <v>1790</v>
      </c>
      <c r="C669" s="38" t="s">
        <v>1791</v>
      </c>
      <c r="D669" s="39" t="s">
        <v>124</v>
      </c>
      <c r="E669" s="39" t="s">
        <v>2157</v>
      </c>
      <c r="F669" s="40">
        <v>32</v>
      </c>
      <c r="G669" s="41" t="s">
        <v>1795</v>
      </c>
      <c r="H669" s="41" t="s">
        <v>1223</v>
      </c>
    </row>
    <row r="670" spans="1:8" ht="27.6" x14ac:dyDescent="0.3">
      <c r="A670" s="38" t="s">
        <v>52</v>
      </c>
      <c r="B670" s="38" t="s">
        <v>1790</v>
      </c>
      <c r="C670" s="38" t="s">
        <v>1791</v>
      </c>
      <c r="D670" s="39" t="s">
        <v>141</v>
      </c>
      <c r="E670" s="39" t="s">
        <v>2157</v>
      </c>
      <c r="F670" s="40">
        <v>1708</v>
      </c>
      <c r="G670" s="41" t="s">
        <v>1795</v>
      </c>
      <c r="H670" s="41" t="s">
        <v>1223</v>
      </c>
    </row>
    <row r="671" spans="1:8" ht="27.6" x14ac:dyDescent="0.3">
      <c r="A671" s="38" t="s">
        <v>52</v>
      </c>
      <c r="B671" s="38" t="s">
        <v>1790</v>
      </c>
      <c r="C671" s="38" t="s">
        <v>1791</v>
      </c>
      <c r="D671" s="39" t="s">
        <v>115</v>
      </c>
      <c r="E671" s="39" t="s">
        <v>2157</v>
      </c>
      <c r="F671" s="40">
        <v>525</v>
      </c>
      <c r="G671" s="41" t="s">
        <v>1795</v>
      </c>
      <c r="H671" s="41" t="s">
        <v>1223</v>
      </c>
    </row>
    <row r="672" spans="1:8" ht="27.6" x14ac:dyDescent="0.3">
      <c r="A672" s="38" t="s">
        <v>52</v>
      </c>
      <c r="B672" s="38" t="s">
        <v>1790</v>
      </c>
      <c r="C672" s="38" t="s">
        <v>1796</v>
      </c>
      <c r="D672" s="39" t="s">
        <v>121</v>
      </c>
      <c r="E672" s="39" t="s">
        <v>2148</v>
      </c>
      <c r="F672" s="40">
        <v>8524</v>
      </c>
      <c r="G672" s="41" t="s">
        <v>1798</v>
      </c>
      <c r="H672" s="41" t="s">
        <v>1799</v>
      </c>
    </row>
    <row r="673" spans="1:8" ht="27.6" x14ac:dyDescent="0.3">
      <c r="A673" s="38" t="s">
        <v>52</v>
      </c>
      <c r="B673" s="38" t="s">
        <v>1790</v>
      </c>
      <c r="C673" s="38" t="s">
        <v>1800</v>
      </c>
      <c r="D673" s="39" t="s">
        <v>121</v>
      </c>
      <c r="E673" s="39" t="s">
        <v>2154</v>
      </c>
      <c r="F673" s="40">
        <v>130</v>
      </c>
      <c r="G673" s="41" t="s">
        <v>1802</v>
      </c>
      <c r="H673" s="41" t="s">
        <v>1412</v>
      </c>
    </row>
    <row r="674" spans="1:8" ht="27.6" x14ac:dyDescent="0.3">
      <c r="A674" s="38" t="s">
        <v>52</v>
      </c>
      <c r="B674" s="38" t="s">
        <v>1790</v>
      </c>
      <c r="C674" s="38" t="s">
        <v>1800</v>
      </c>
      <c r="D674" s="39" t="s">
        <v>1314</v>
      </c>
      <c r="E674" s="39" t="s">
        <v>2154</v>
      </c>
      <c r="F674" s="40">
        <v>7410</v>
      </c>
      <c r="G674" s="41" t="s">
        <v>1802</v>
      </c>
      <c r="H674" s="41" t="s">
        <v>1412</v>
      </c>
    </row>
    <row r="675" spans="1:8" ht="27.6" x14ac:dyDescent="0.3">
      <c r="A675" s="38" t="s">
        <v>52</v>
      </c>
      <c r="B675" s="38" t="s">
        <v>1790</v>
      </c>
      <c r="C675" s="38" t="s">
        <v>1800</v>
      </c>
      <c r="D675" s="39" t="s">
        <v>245</v>
      </c>
      <c r="E675" s="39" t="s">
        <v>2154</v>
      </c>
      <c r="F675" s="40">
        <v>5117</v>
      </c>
      <c r="G675" s="41" t="s">
        <v>1802</v>
      </c>
      <c r="H675" s="41" t="s">
        <v>1412</v>
      </c>
    </row>
    <row r="676" spans="1:8" ht="27.6" x14ac:dyDescent="0.3">
      <c r="A676" s="38" t="s">
        <v>52</v>
      </c>
      <c r="B676" s="38" t="s">
        <v>1790</v>
      </c>
      <c r="C676" s="38" t="s">
        <v>1803</v>
      </c>
      <c r="D676" s="39" t="s">
        <v>232</v>
      </c>
      <c r="E676" s="39" t="s">
        <v>2195</v>
      </c>
      <c r="F676" s="40">
        <v>2000</v>
      </c>
      <c r="G676" s="41" t="s">
        <v>1805</v>
      </c>
      <c r="H676" s="41" t="s">
        <v>1806</v>
      </c>
    </row>
    <row r="677" spans="1:8" ht="55.2" x14ac:dyDescent="0.3">
      <c r="A677" s="38" t="s">
        <v>52</v>
      </c>
      <c r="B677" s="38" t="s">
        <v>1790</v>
      </c>
      <c r="C677" s="38" t="s">
        <v>1803</v>
      </c>
      <c r="D677" s="39" t="s">
        <v>141</v>
      </c>
      <c r="E677" s="39" t="s">
        <v>2201</v>
      </c>
      <c r="F677" s="40">
        <v>1107</v>
      </c>
      <c r="G677" s="41" t="s">
        <v>1808</v>
      </c>
      <c r="H677" s="41" t="s">
        <v>925</v>
      </c>
    </row>
    <row r="678" spans="1:8" ht="27.6" x14ac:dyDescent="0.3">
      <c r="A678" s="38" t="s">
        <v>52</v>
      </c>
      <c r="B678" s="38" t="s">
        <v>1790</v>
      </c>
      <c r="C678" s="38" t="s">
        <v>1803</v>
      </c>
      <c r="D678" s="39" t="s">
        <v>195</v>
      </c>
      <c r="E678" s="39" t="s">
        <v>2211</v>
      </c>
      <c r="F678" s="40">
        <v>2000</v>
      </c>
      <c r="G678" s="41" t="s">
        <v>1810</v>
      </c>
      <c r="H678" s="41" t="s">
        <v>1487</v>
      </c>
    </row>
    <row r="679" spans="1:8" x14ac:dyDescent="0.3">
      <c r="A679" s="38" t="s">
        <v>44</v>
      </c>
      <c r="B679" s="38" t="s">
        <v>1790</v>
      </c>
      <c r="C679" s="38" t="s">
        <v>46</v>
      </c>
      <c r="D679" s="39" t="s">
        <v>7</v>
      </c>
      <c r="E679" s="39" t="s">
        <v>2146</v>
      </c>
      <c r="F679" s="40">
        <v>664</v>
      </c>
      <c r="G679" s="41" t="s">
        <v>1812</v>
      </c>
      <c r="H679" s="41" t="s">
        <v>49</v>
      </c>
    </row>
    <row r="680" spans="1:8" x14ac:dyDescent="0.3">
      <c r="A680" s="38" t="s">
        <v>44</v>
      </c>
      <c r="B680" s="38" t="s">
        <v>1790</v>
      </c>
      <c r="C680" s="38" t="s">
        <v>46</v>
      </c>
      <c r="D680" s="39" t="s">
        <v>7</v>
      </c>
      <c r="E680" s="39" t="s">
        <v>2159</v>
      </c>
      <c r="F680" s="40">
        <v>820</v>
      </c>
      <c r="G680" s="41" t="s">
        <v>1814</v>
      </c>
      <c r="H680" s="41" t="s">
        <v>1118</v>
      </c>
    </row>
    <row r="681" spans="1:8" x14ac:dyDescent="0.3">
      <c r="A681" s="38" t="s">
        <v>44</v>
      </c>
      <c r="B681" s="38" t="s">
        <v>1790</v>
      </c>
      <c r="C681" s="38" t="s">
        <v>46</v>
      </c>
      <c r="D681" s="39" t="s">
        <v>7</v>
      </c>
      <c r="E681" s="39" t="s">
        <v>2159</v>
      </c>
      <c r="F681" s="40">
        <v>457</v>
      </c>
      <c r="G681" s="41" t="s">
        <v>1816</v>
      </c>
      <c r="H681" s="41" t="s">
        <v>842</v>
      </c>
    </row>
    <row r="682" spans="1:8" x14ac:dyDescent="0.3">
      <c r="A682" s="38" t="s">
        <v>44</v>
      </c>
      <c r="B682" s="38" t="s">
        <v>1790</v>
      </c>
      <c r="C682" s="38" t="s">
        <v>46</v>
      </c>
      <c r="D682" s="39" t="s">
        <v>7</v>
      </c>
      <c r="E682" s="39" t="s">
        <v>2167</v>
      </c>
      <c r="F682" s="40">
        <v>2920</v>
      </c>
      <c r="G682" s="41" t="s">
        <v>1818</v>
      </c>
      <c r="H682" s="41" t="s">
        <v>70</v>
      </c>
    </row>
    <row r="683" spans="1:8" x14ac:dyDescent="0.3">
      <c r="A683" s="38" t="s">
        <v>44</v>
      </c>
      <c r="B683" s="38" t="s">
        <v>1790</v>
      </c>
      <c r="C683" s="38" t="s">
        <v>46</v>
      </c>
      <c r="D683" s="39" t="s">
        <v>7</v>
      </c>
      <c r="E683" s="39" t="s">
        <v>2167</v>
      </c>
      <c r="F683" s="40">
        <v>1200</v>
      </c>
      <c r="G683" s="41" t="s">
        <v>1820</v>
      </c>
      <c r="H683" s="41" t="s">
        <v>70</v>
      </c>
    </row>
    <row r="684" spans="1:8" ht="27.6" x14ac:dyDescent="0.3">
      <c r="A684" s="38" t="s">
        <v>44</v>
      </c>
      <c r="B684" s="38" t="s">
        <v>1790</v>
      </c>
      <c r="C684" s="38" t="s">
        <v>46</v>
      </c>
      <c r="D684" s="39" t="s">
        <v>7</v>
      </c>
      <c r="E684" s="39" t="s">
        <v>2176</v>
      </c>
      <c r="F684" s="40">
        <v>2000</v>
      </c>
      <c r="G684" s="41" t="s">
        <v>1822</v>
      </c>
      <c r="H684" s="41" t="s">
        <v>58</v>
      </c>
    </row>
    <row r="685" spans="1:8" ht="27.6" x14ac:dyDescent="0.3">
      <c r="A685" s="38" t="s">
        <v>44</v>
      </c>
      <c r="B685" s="38" t="s">
        <v>1790</v>
      </c>
      <c r="C685" s="38" t="s">
        <v>46</v>
      </c>
      <c r="D685" s="39" t="s">
        <v>7</v>
      </c>
      <c r="E685" s="39" t="s">
        <v>2176</v>
      </c>
      <c r="F685" s="40">
        <v>2980</v>
      </c>
      <c r="G685" s="41" t="s">
        <v>1824</v>
      </c>
      <c r="H685" s="41" t="s">
        <v>58</v>
      </c>
    </row>
    <row r="686" spans="1:8" ht="27.6" x14ac:dyDescent="0.3">
      <c r="A686" s="38" t="s">
        <v>44</v>
      </c>
      <c r="B686" s="38" t="s">
        <v>1790</v>
      </c>
      <c r="C686" s="38" t="s">
        <v>46</v>
      </c>
      <c r="D686" s="39" t="s">
        <v>7</v>
      </c>
      <c r="E686" s="39" t="s">
        <v>2176</v>
      </c>
      <c r="F686" s="40">
        <v>2000</v>
      </c>
      <c r="G686" s="41" t="s">
        <v>1826</v>
      </c>
      <c r="H686" s="41" t="s">
        <v>58</v>
      </c>
    </row>
    <row r="687" spans="1:8" ht="27.6" x14ac:dyDescent="0.3">
      <c r="A687" s="38" t="s">
        <v>44</v>
      </c>
      <c r="B687" s="38" t="s">
        <v>1790</v>
      </c>
      <c r="C687" s="38" t="s">
        <v>46</v>
      </c>
      <c r="D687" s="39" t="s">
        <v>7</v>
      </c>
      <c r="E687" s="39" t="s">
        <v>2176</v>
      </c>
      <c r="F687" s="40">
        <v>2980</v>
      </c>
      <c r="G687" s="41" t="s">
        <v>1828</v>
      </c>
      <c r="H687" s="41" t="s">
        <v>58</v>
      </c>
    </row>
    <row r="688" spans="1:8" ht="27.6" x14ac:dyDescent="0.3">
      <c r="A688" s="38" t="s">
        <v>44</v>
      </c>
      <c r="B688" s="38" t="s">
        <v>1790</v>
      </c>
      <c r="C688" s="38" t="s">
        <v>46</v>
      </c>
      <c r="D688" s="39" t="s">
        <v>7</v>
      </c>
      <c r="E688" s="39" t="s">
        <v>2180</v>
      </c>
      <c r="F688" s="40">
        <v>10000</v>
      </c>
      <c r="G688" s="41" t="s">
        <v>1830</v>
      </c>
      <c r="H688" s="41" t="s">
        <v>325</v>
      </c>
    </row>
    <row r="689" spans="1:8" ht="27.6" x14ac:dyDescent="0.3">
      <c r="A689" s="38" t="s">
        <v>44</v>
      </c>
      <c r="B689" s="38" t="s">
        <v>1790</v>
      </c>
      <c r="C689" s="38" t="s">
        <v>46</v>
      </c>
      <c r="D689" s="39" t="s">
        <v>7</v>
      </c>
      <c r="E689" s="39" t="s">
        <v>2184</v>
      </c>
      <c r="F689" s="40">
        <v>3696</v>
      </c>
      <c r="G689" s="41" t="s">
        <v>1832</v>
      </c>
      <c r="H689" s="41" t="s">
        <v>150</v>
      </c>
    </row>
    <row r="690" spans="1:8" ht="27.6" x14ac:dyDescent="0.3">
      <c r="A690" s="38" t="s">
        <v>44</v>
      </c>
      <c r="B690" s="38" t="s">
        <v>1790</v>
      </c>
      <c r="C690" s="38" t="s">
        <v>46</v>
      </c>
      <c r="D690" s="39" t="s">
        <v>7</v>
      </c>
      <c r="E690" s="39" t="s">
        <v>2184</v>
      </c>
      <c r="F690" s="40">
        <v>1836</v>
      </c>
      <c r="G690" s="41" t="s">
        <v>1834</v>
      </c>
      <c r="H690" s="41" t="s">
        <v>150</v>
      </c>
    </row>
    <row r="691" spans="1:8" ht="27.6" x14ac:dyDescent="0.3">
      <c r="A691" s="38" t="s">
        <v>52</v>
      </c>
      <c r="B691" s="38" t="s">
        <v>1835</v>
      </c>
      <c r="C691" s="38" t="s">
        <v>1836</v>
      </c>
      <c r="D691" s="39" t="s">
        <v>245</v>
      </c>
      <c r="E691" s="39" t="s">
        <v>2154</v>
      </c>
      <c r="F691" s="40">
        <v>9000</v>
      </c>
      <c r="G691" s="41" t="s">
        <v>1838</v>
      </c>
      <c r="H691" s="41" t="s">
        <v>1839</v>
      </c>
    </row>
    <row r="692" spans="1:8" ht="27.6" x14ac:dyDescent="0.3">
      <c r="A692" s="38" t="s">
        <v>52</v>
      </c>
      <c r="B692" s="38" t="s">
        <v>1835</v>
      </c>
      <c r="C692" s="38" t="s">
        <v>1836</v>
      </c>
      <c r="D692" s="39" t="s">
        <v>121</v>
      </c>
      <c r="E692" s="39" t="s">
        <v>2146</v>
      </c>
      <c r="F692" s="40">
        <v>4500</v>
      </c>
      <c r="G692" s="41" t="s">
        <v>835</v>
      </c>
      <c r="H692" s="41" t="s">
        <v>49</v>
      </c>
    </row>
    <row r="693" spans="1:8" ht="27.6" x14ac:dyDescent="0.3">
      <c r="A693" s="38" t="s">
        <v>52</v>
      </c>
      <c r="B693" s="38" t="s">
        <v>1835</v>
      </c>
      <c r="C693" s="38" t="s">
        <v>1836</v>
      </c>
      <c r="D693" s="39" t="s">
        <v>216</v>
      </c>
      <c r="E693" s="39" t="s">
        <v>2146</v>
      </c>
      <c r="F693" s="40">
        <v>630</v>
      </c>
      <c r="G693" s="41" t="s">
        <v>1842</v>
      </c>
      <c r="H693" s="41" t="s">
        <v>49</v>
      </c>
    </row>
    <row r="694" spans="1:8" ht="27.6" x14ac:dyDescent="0.3">
      <c r="A694" s="38" t="s">
        <v>44</v>
      </c>
      <c r="B694" s="38" t="s">
        <v>1835</v>
      </c>
      <c r="C694" s="38" t="s">
        <v>46</v>
      </c>
      <c r="D694" s="39" t="s">
        <v>7</v>
      </c>
      <c r="E694" s="39" t="s">
        <v>2154</v>
      </c>
      <c r="F694" s="40">
        <v>1835</v>
      </c>
      <c r="G694" s="41" t="s">
        <v>1844</v>
      </c>
      <c r="H694" s="41" t="s">
        <v>1412</v>
      </c>
    </row>
    <row r="695" spans="1:8" ht="27.6" x14ac:dyDescent="0.3">
      <c r="A695" s="38" t="s">
        <v>44</v>
      </c>
      <c r="B695" s="38" t="s">
        <v>1835</v>
      </c>
      <c r="C695" s="38" t="s">
        <v>46</v>
      </c>
      <c r="D695" s="39" t="s">
        <v>7</v>
      </c>
      <c r="E695" s="39" t="s">
        <v>2178</v>
      </c>
      <c r="F695" s="40">
        <v>7137</v>
      </c>
      <c r="G695" s="41" t="s">
        <v>1846</v>
      </c>
      <c r="H695" s="41" t="s">
        <v>337</v>
      </c>
    </row>
    <row r="696" spans="1:8" ht="27.6" x14ac:dyDescent="0.3">
      <c r="A696" s="38" t="s">
        <v>44</v>
      </c>
      <c r="B696" s="38" t="s">
        <v>1835</v>
      </c>
      <c r="C696" s="38" t="s">
        <v>46</v>
      </c>
      <c r="D696" s="39" t="s">
        <v>7</v>
      </c>
      <c r="E696" s="39" t="s">
        <v>2184</v>
      </c>
      <c r="F696" s="40">
        <v>1160</v>
      </c>
      <c r="G696" s="41" t="s">
        <v>1848</v>
      </c>
      <c r="H696" s="41" t="s">
        <v>150</v>
      </c>
    </row>
    <row r="697" spans="1:8" ht="27.6" x14ac:dyDescent="0.3">
      <c r="A697" s="38" t="s">
        <v>44</v>
      </c>
      <c r="B697" s="38" t="s">
        <v>1835</v>
      </c>
      <c r="C697" s="38" t="s">
        <v>46</v>
      </c>
      <c r="D697" s="39" t="s">
        <v>7</v>
      </c>
      <c r="E697" s="39" t="s">
        <v>2184</v>
      </c>
      <c r="F697" s="40">
        <v>3115</v>
      </c>
      <c r="G697" s="41" t="s">
        <v>1850</v>
      </c>
      <c r="H697" s="41" t="s">
        <v>150</v>
      </c>
    </row>
    <row r="698" spans="1:8" x14ac:dyDescent="0.3">
      <c r="A698" s="38" t="s">
        <v>44</v>
      </c>
      <c r="B698" s="38" t="s">
        <v>1835</v>
      </c>
      <c r="C698" s="38" t="s">
        <v>46</v>
      </c>
      <c r="D698" s="39" t="s">
        <v>7</v>
      </c>
      <c r="E698" s="39" t="s">
        <v>2188</v>
      </c>
      <c r="F698" s="40">
        <v>4084</v>
      </c>
      <c r="G698" s="41" t="s">
        <v>1852</v>
      </c>
      <c r="H698" s="41" t="s">
        <v>1853</v>
      </c>
    </row>
    <row r="699" spans="1:8" x14ac:dyDescent="0.3">
      <c r="A699" s="38" t="s">
        <v>44</v>
      </c>
      <c r="B699" s="38" t="s">
        <v>1835</v>
      </c>
      <c r="C699" s="38" t="s">
        <v>46</v>
      </c>
      <c r="D699" s="39" t="s">
        <v>7</v>
      </c>
      <c r="E699" s="39" t="s">
        <v>2193</v>
      </c>
      <c r="F699" s="40">
        <v>6126</v>
      </c>
      <c r="G699" s="41" t="s">
        <v>1855</v>
      </c>
      <c r="H699" s="41" t="s">
        <v>211</v>
      </c>
    </row>
    <row r="700" spans="1:8" ht="27.6" x14ac:dyDescent="0.3">
      <c r="A700" s="38" t="s">
        <v>44</v>
      </c>
      <c r="B700" s="38" t="s">
        <v>1856</v>
      </c>
      <c r="C700" s="38" t="s">
        <v>46</v>
      </c>
      <c r="D700" s="39" t="s">
        <v>7</v>
      </c>
      <c r="E700" s="39" t="s">
        <v>2141</v>
      </c>
      <c r="F700" s="40">
        <v>6000</v>
      </c>
      <c r="G700" s="41" t="s">
        <v>1858</v>
      </c>
      <c r="H700" s="41" t="s">
        <v>235</v>
      </c>
    </row>
    <row r="701" spans="1:8" ht="27.6" x14ac:dyDescent="0.3">
      <c r="A701" s="38" t="s">
        <v>52</v>
      </c>
      <c r="B701" s="38" t="s">
        <v>1859</v>
      </c>
      <c r="C701" s="38" t="s">
        <v>1860</v>
      </c>
      <c r="D701" s="39" t="s">
        <v>141</v>
      </c>
      <c r="E701" s="39" t="s">
        <v>2193</v>
      </c>
      <c r="F701" s="40">
        <v>12000</v>
      </c>
      <c r="G701" s="41" t="s">
        <v>1862</v>
      </c>
      <c r="H701" s="41" t="s">
        <v>211</v>
      </c>
    </row>
    <row r="702" spans="1:8" ht="27.6" x14ac:dyDescent="0.3">
      <c r="A702" s="38" t="s">
        <v>52</v>
      </c>
      <c r="B702" s="38" t="s">
        <v>1859</v>
      </c>
      <c r="C702" s="38" t="s">
        <v>1863</v>
      </c>
      <c r="D702" s="39" t="s">
        <v>1053</v>
      </c>
      <c r="E702" s="39" t="s">
        <v>2184</v>
      </c>
      <c r="F702" s="40">
        <v>32100</v>
      </c>
      <c r="G702" s="41" t="s">
        <v>1865</v>
      </c>
      <c r="H702" s="41" t="s">
        <v>150</v>
      </c>
    </row>
    <row r="703" spans="1:8" ht="27.6" x14ac:dyDescent="0.3">
      <c r="A703" s="38" t="s">
        <v>52</v>
      </c>
      <c r="B703" s="38" t="s">
        <v>1859</v>
      </c>
      <c r="C703" s="38" t="s">
        <v>1866</v>
      </c>
      <c r="D703" s="39" t="s">
        <v>141</v>
      </c>
      <c r="E703" s="39" t="s">
        <v>2201</v>
      </c>
      <c r="F703" s="40">
        <v>14513</v>
      </c>
      <c r="G703" s="41" t="s">
        <v>1868</v>
      </c>
      <c r="H703" s="41" t="s">
        <v>1042</v>
      </c>
    </row>
    <row r="704" spans="1:8" ht="41.4" x14ac:dyDescent="0.3">
      <c r="A704" s="38" t="s">
        <v>52</v>
      </c>
      <c r="B704" s="38" t="s">
        <v>1859</v>
      </c>
      <c r="C704" s="38" t="s">
        <v>1869</v>
      </c>
      <c r="D704" s="39" t="s">
        <v>110</v>
      </c>
      <c r="E704" s="39" t="s">
        <v>2207</v>
      </c>
      <c r="F704" s="40">
        <v>2042</v>
      </c>
      <c r="G704" s="41" t="s">
        <v>1871</v>
      </c>
      <c r="H704" s="41" t="s">
        <v>168</v>
      </c>
    </row>
    <row r="705" spans="1:8" ht="27.6" x14ac:dyDescent="0.3">
      <c r="A705" s="38" t="s">
        <v>52</v>
      </c>
      <c r="B705" s="38" t="s">
        <v>1859</v>
      </c>
      <c r="C705" s="38" t="s">
        <v>1869</v>
      </c>
      <c r="D705" s="39" t="s">
        <v>471</v>
      </c>
      <c r="E705" s="39" t="s">
        <v>2193</v>
      </c>
      <c r="F705" s="40">
        <v>6126</v>
      </c>
      <c r="G705" s="41" t="s">
        <v>1873</v>
      </c>
      <c r="H705" s="41" t="s">
        <v>211</v>
      </c>
    </row>
    <row r="706" spans="1:8" ht="41.4" x14ac:dyDescent="0.3">
      <c r="A706" s="38" t="s">
        <v>52</v>
      </c>
      <c r="B706" s="38" t="s">
        <v>1859</v>
      </c>
      <c r="C706" s="38" t="s">
        <v>1869</v>
      </c>
      <c r="D706" s="39" t="s">
        <v>110</v>
      </c>
      <c r="E706" s="39" t="s">
        <v>2146</v>
      </c>
      <c r="F706" s="40">
        <v>6127</v>
      </c>
      <c r="G706" s="41" t="s">
        <v>1875</v>
      </c>
      <c r="H706" s="41" t="s">
        <v>49</v>
      </c>
    </row>
    <row r="707" spans="1:8" ht="41.4" x14ac:dyDescent="0.3">
      <c r="A707" s="38" t="s">
        <v>52</v>
      </c>
      <c r="B707" s="38" t="s">
        <v>1859</v>
      </c>
      <c r="C707" s="38" t="s">
        <v>1869</v>
      </c>
      <c r="D707" s="39" t="s">
        <v>110</v>
      </c>
      <c r="E707" s="39" t="s">
        <v>2146</v>
      </c>
      <c r="F707" s="40">
        <v>6127</v>
      </c>
      <c r="G707" s="41" t="s">
        <v>1877</v>
      </c>
      <c r="H707" s="41" t="s">
        <v>49</v>
      </c>
    </row>
    <row r="708" spans="1:8" ht="27.6" x14ac:dyDescent="0.3">
      <c r="A708" s="38" t="s">
        <v>44</v>
      </c>
      <c r="B708" s="38" t="s">
        <v>1859</v>
      </c>
      <c r="C708" s="38" t="s">
        <v>46</v>
      </c>
      <c r="D708" s="39" t="s">
        <v>7</v>
      </c>
      <c r="E708" s="39" t="s">
        <v>2143</v>
      </c>
      <c r="F708" s="40">
        <v>1399</v>
      </c>
      <c r="G708" s="41" t="s">
        <v>1879</v>
      </c>
      <c r="H708" s="41" t="s">
        <v>248</v>
      </c>
    </row>
    <row r="709" spans="1:8" ht="27.6" x14ac:dyDescent="0.3">
      <c r="A709" s="38" t="s">
        <v>44</v>
      </c>
      <c r="B709" s="38" t="s">
        <v>1859</v>
      </c>
      <c r="C709" s="38" t="s">
        <v>46</v>
      </c>
      <c r="D709" s="39" t="s">
        <v>7</v>
      </c>
      <c r="E709" s="39" t="s">
        <v>2170</v>
      </c>
      <c r="F709" s="40">
        <v>6000</v>
      </c>
      <c r="G709" s="41" t="s">
        <v>1881</v>
      </c>
      <c r="H709" s="41" t="s">
        <v>84</v>
      </c>
    </row>
    <row r="710" spans="1:8" ht="27.6" x14ac:dyDescent="0.3">
      <c r="A710" s="38" t="s">
        <v>44</v>
      </c>
      <c r="B710" s="38" t="s">
        <v>1859</v>
      </c>
      <c r="C710" s="38" t="s">
        <v>46</v>
      </c>
      <c r="D710" s="39" t="s">
        <v>7</v>
      </c>
      <c r="E710" s="39" t="s">
        <v>2176</v>
      </c>
      <c r="F710" s="40">
        <v>7980</v>
      </c>
      <c r="G710" s="41" t="s">
        <v>1883</v>
      </c>
      <c r="H710" s="41" t="s">
        <v>58</v>
      </c>
    </row>
    <row r="711" spans="1:8" ht="27.6" x14ac:dyDescent="0.3">
      <c r="A711" s="38" t="s">
        <v>44</v>
      </c>
      <c r="B711" s="38" t="s">
        <v>1859</v>
      </c>
      <c r="C711" s="38" t="s">
        <v>46</v>
      </c>
      <c r="D711" s="39" t="s">
        <v>7</v>
      </c>
      <c r="E711" s="39" t="s">
        <v>2176</v>
      </c>
      <c r="F711" s="40">
        <v>2020</v>
      </c>
      <c r="G711" s="41" t="s">
        <v>1885</v>
      </c>
      <c r="H711" s="41" t="s">
        <v>58</v>
      </c>
    </row>
    <row r="712" spans="1:8" ht="27.6" x14ac:dyDescent="0.3">
      <c r="A712" s="38" t="s">
        <v>44</v>
      </c>
      <c r="B712" s="38" t="s">
        <v>1859</v>
      </c>
      <c r="C712" s="38" t="s">
        <v>46</v>
      </c>
      <c r="D712" s="39" t="s">
        <v>7</v>
      </c>
      <c r="E712" s="39" t="s">
        <v>2178</v>
      </c>
      <c r="F712" s="40">
        <v>15860</v>
      </c>
      <c r="G712" s="41" t="s">
        <v>1887</v>
      </c>
      <c r="H712" s="41" t="s">
        <v>337</v>
      </c>
    </row>
    <row r="713" spans="1:8" ht="41.4" x14ac:dyDescent="0.3">
      <c r="A713" s="38" t="s">
        <v>44</v>
      </c>
      <c r="B713" s="38" t="s">
        <v>1859</v>
      </c>
      <c r="C713" s="38" t="s">
        <v>46</v>
      </c>
      <c r="D713" s="39" t="s">
        <v>7</v>
      </c>
      <c r="E713" s="39" t="s">
        <v>2186</v>
      </c>
      <c r="F713" s="40">
        <v>5830</v>
      </c>
      <c r="G713" s="41" t="s">
        <v>1889</v>
      </c>
      <c r="H713" s="41" t="s">
        <v>102</v>
      </c>
    </row>
    <row r="714" spans="1:8" x14ac:dyDescent="0.3">
      <c r="A714" s="38" t="s">
        <v>44</v>
      </c>
      <c r="B714" s="38" t="s">
        <v>1859</v>
      </c>
      <c r="C714" s="38" t="s">
        <v>46</v>
      </c>
      <c r="D714" s="39" t="s">
        <v>7</v>
      </c>
      <c r="E714" s="39" t="s">
        <v>2189</v>
      </c>
      <c r="F714" s="40">
        <v>2640</v>
      </c>
      <c r="G714" s="41" t="s">
        <v>1891</v>
      </c>
      <c r="H714" s="41" t="s">
        <v>499</v>
      </c>
    </row>
    <row r="715" spans="1:8" ht="27.6" x14ac:dyDescent="0.3">
      <c r="A715" s="38" t="s">
        <v>44</v>
      </c>
      <c r="B715" s="38" t="s">
        <v>1859</v>
      </c>
      <c r="C715" s="38" t="s">
        <v>46</v>
      </c>
      <c r="D715" s="39" t="s">
        <v>7</v>
      </c>
      <c r="E715" s="39" t="s">
        <v>2205</v>
      </c>
      <c r="F715" s="40">
        <v>4000</v>
      </c>
      <c r="G715" s="41" t="s">
        <v>1893</v>
      </c>
      <c r="H715" s="41" t="s">
        <v>342</v>
      </c>
    </row>
    <row r="716" spans="1:8" ht="27.6" x14ac:dyDescent="0.3">
      <c r="A716" s="38" t="s">
        <v>52</v>
      </c>
      <c r="B716" s="38" t="s">
        <v>1894</v>
      </c>
      <c r="C716" s="38" t="s">
        <v>1895</v>
      </c>
      <c r="D716" s="39" t="s">
        <v>703</v>
      </c>
      <c r="E716" s="39" t="s">
        <v>2172</v>
      </c>
      <c r="F716" s="40">
        <v>2980</v>
      </c>
      <c r="G716" s="41" t="s">
        <v>1897</v>
      </c>
      <c r="H716" s="41" t="s">
        <v>163</v>
      </c>
    </row>
    <row r="717" spans="1:8" ht="27.6" x14ac:dyDescent="0.3">
      <c r="A717" s="38" t="s">
        <v>52</v>
      </c>
      <c r="B717" s="38" t="s">
        <v>1894</v>
      </c>
      <c r="C717" s="38" t="s">
        <v>1898</v>
      </c>
      <c r="D717" s="39" t="s">
        <v>141</v>
      </c>
      <c r="E717" s="39" t="s">
        <v>2163</v>
      </c>
      <c r="F717" s="40">
        <v>748</v>
      </c>
      <c r="G717" s="41" t="s">
        <v>1900</v>
      </c>
      <c r="H717" s="41" t="s">
        <v>1122</v>
      </c>
    </row>
    <row r="718" spans="1:8" ht="27.6" x14ac:dyDescent="0.3">
      <c r="A718" s="38" t="s">
        <v>52</v>
      </c>
      <c r="B718" s="38" t="s">
        <v>1894</v>
      </c>
      <c r="C718" s="38" t="s">
        <v>1898</v>
      </c>
      <c r="D718" s="39" t="s">
        <v>422</v>
      </c>
      <c r="E718" s="39" t="s">
        <v>2163</v>
      </c>
      <c r="F718" s="40">
        <v>1674</v>
      </c>
      <c r="G718" s="41" t="s">
        <v>1902</v>
      </c>
      <c r="H718" s="41" t="s">
        <v>1122</v>
      </c>
    </row>
    <row r="719" spans="1:8" ht="27.6" x14ac:dyDescent="0.3">
      <c r="A719" s="38" t="s">
        <v>52</v>
      </c>
      <c r="B719" s="38" t="s">
        <v>1894</v>
      </c>
      <c r="C719" s="38" t="s">
        <v>1898</v>
      </c>
      <c r="D719" s="39" t="s">
        <v>232</v>
      </c>
      <c r="E719" s="39" t="s">
        <v>2163</v>
      </c>
      <c r="F719" s="40">
        <v>2800</v>
      </c>
      <c r="G719" s="41" t="s">
        <v>1904</v>
      </c>
      <c r="H719" s="41" t="s">
        <v>1122</v>
      </c>
    </row>
    <row r="720" spans="1:8" ht="27.6" x14ac:dyDescent="0.3">
      <c r="A720" s="38" t="s">
        <v>52</v>
      </c>
      <c r="B720" s="38" t="s">
        <v>1894</v>
      </c>
      <c r="C720" s="38" t="s">
        <v>1898</v>
      </c>
      <c r="D720" s="39" t="s">
        <v>141</v>
      </c>
      <c r="E720" s="39" t="s">
        <v>2159</v>
      </c>
      <c r="F720" s="40">
        <v>233</v>
      </c>
      <c r="G720" s="41" t="s">
        <v>1906</v>
      </c>
      <c r="H720" s="41" t="s">
        <v>1165</v>
      </c>
    </row>
    <row r="721" spans="1:8" ht="27.6" x14ac:dyDescent="0.3">
      <c r="A721" s="38" t="s">
        <v>52</v>
      </c>
      <c r="B721" s="38" t="s">
        <v>1894</v>
      </c>
      <c r="C721" s="38" t="s">
        <v>1898</v>
      </c>
      <c r="D721" s="39" t="s">
        <v>216</v>
      </c>
      <c r="E721" s="39" t="s">
        <v>2148</v>
      </c>
      <c r="F721" s="40">
        <v>6507</v>
      </c>
      <c r="G721" s="41" t="s">
        <v>1908</v>
      </c>
      <c r="H721" s="41" t="s">
        <v>1320</v>
      </c>
    </row>
    <row r="722" spans="1:8" ht="27.6" x14ac:dyDescent="0.3">
      <c r="A722" s="38" t="s">
        <v>52</v>
      </c>
      <c r="B722" s="38" t="s">
        <v>1894</v>
      </c>
      <c r="C722" s="38" t="s">
        <v>1898</v>
      </c>
      <c r="D722" s="39" t="s">
        <v>141</v>
      </c>
      <c r="E722" s="39" t="s">
        <v>2148</v>
      </c>
      <c r="F722" s="40">
        <v>999</v>
      </c>
      <c r="G722" s="41" t="s">
        <v>1910</v>
      </c>
      <c r="H722" s="41" t="s">
        <v>902</v>
      </c>
    </row>
    <row r="723" spans="1:8" ht="27.6" x14ac:dyDescent="0.3">
      <c r="A723" s="38" t="s">
        <v>52</v>
      </c>
      <c r="B723" s="38" t="s">
        <v>1894</v>
      </c>
      <c r="C723" s="38" t="s">
        <v>1898</v>
      </c>
      <c r="D723" s="39" t="s">
        <v>245</v>
      </c>
      <c r="E723" s="39" t="s">
        <v>2143</v>
      </c>
      <c r="F723" s="40">
        <v>6000</v>
      </c>
      <c r="G723" s="41" t="s">
        <v>1459</v>
      </c>
      <c r="H723" s="41" t="s">
        <v>248</v>
      </c>
    </row>
    <row r="724" spans="1:8" ht="27.6" x14ac:dyDescent="0.3">
      <c r="A724" s="38" t="s">
        <v>52</v>
      </c>
      <c r="B724" s="38" t="s">
        <v>1894</v>
      </c>
      <c r="C724" s="38" t="s">
        <v>1898</v>
      </c>
      <c r="D724" s="39" t="s">
        <v>245</v>
      </c>
      <c r="E724" s="39" t="s">
        <v>2143</v>
      </c>
      <c r="F724" s="40">
        <v>3200</v>
      </c>
      <c r="G724" s="41" t="s">
        <v>1913</v>
      </c>
      <c r="H724" s="41" t="s">
        <v>248</v>
      </c>
    </row>
    <row r="725" spans="1:8" ht="27.6" x14ac:dyDescent="0.3">
      <c r="A725" s="38" t="s">
        <v>52</v>
      </c>
      <c r="B725" s="38" t="s">
        <v>1894</v>
      </c>
      <c r="C725" s="38" t="s">
        <v>1898</v>
      </c>
      <c r="D725" s="39" t="s">
        <v>245</v>
      </c>
      <c r="E725" s="39" t="s">
        <v>2143</v>
      </c>
      <c r="F725" s="40">
        <v>5975</v>
      </c>
      <c r="G725" s="41" t="s">
        <v>1915</v>
      </c>
      <c r="H725" s="41" t="s">
        <v>248</v>
      </c>
    </row>
    <row r="726" spans="1:8" ht="41.4" x14ac:dyDescent="0.3">
      <c r="A726" s="38" t="s">
        <v>52</v>
      </c>
      <c r="B726" s="38" t="s">
        <v>1894</v>
      </c>
      <c r="C726" s="38" t="s">
        <v>1898</v>
      </c>
      <c r="D726" s="39" t="s">
        <v>926</v>
      </c>
      <c r="E726" s="39" t="s">
        <v>2143</v>
      </c>
      <c r="F726" s="40">
        <v>3150</v>
      </c>
      <c r="G726" s="41" t="s">
        <v>1917</v>
      </c>
      <c r="H726" s="41" t="s">
        <v>248</v>
      </c>
    </row>
    <row r="727" spans="1:8" ht="27.6" x14ac:dyDescent="0.3">
      <c r="A727" s="38" t="s">
        <v>52</v>
      </c>
      <c r="B727" s="38" t="s">
        <v>1894</v>
      </c>
      <c r="C727" s="38" t="s">
        <v>1898</v>
      </c>
      <c r="D727" s="39" t="s">
        <v>245</v>
      </c>
      <c r="E727" s="39" t="s">
        <v>2157</v>
      </c>
      <c r="F727" s="40">
        <v>5930</v>
      </c>
      <c r="G727" s="41" t="s">
        <v>1919</v>
      </c>
      <c r="H727" s="41" t="s">
        <v>1223</v>
      </c>
    </row>
    <row r="728" spans="1:8" ht="27.6" x14ac:dyDescent="0.3">
      <c r="A728" s="38" t="s">
        <v>52</v>
      </c>
      <c r="B728" s="38" t="s">
        <v>1894</v>
      </c>
      <c r="C728" s="38" t="s">
        <v>1898</v>
      </c>
      <c r="D728" s="39" t="s">
        <v>245</v>
      </c>
      <c r="E728" s="39" t="s">
        <v>2157</v>
      </c>
      <c r="F728" s="40">
        <v>5360</v>
      </c>
      <c r="G728" s="41" t="s">
        <v>1921</v>
      </c>
      <c r="H728" s="41" t="s">
        <v>1223</v>
      </c>
    </row>
    <row r="729" spans="1:8" ht="27.6" x14ac:dyDescent="0.3">
      <c r="A729" s="38" t="s">
        <v>52</v>
      </c>
      <c r="B729" s="38" t="s">
        <v>1894</v>
      </c>
      <c r="C729" s="38" t="s">
        <v>1898</v>
      </c>
      <c r="D729" s="39" t="s">
        <v>245</v>
      </c>
      <c r="E729" s="39" t="s">
        <v>2159</v>
      </c>
      <c r="F729" s="40">
        <v>1020</v>
      </c>
      <c r="G729" s="41" t="s">
        <v>1923</v>
      </c>
      <c r="H729" s="41" t="s">
        <v>1165</v>
      </c>
    </row>
    <row r="730" spans="1:8" x14ac:dyDescent="0.3">
      <c r="A730" s="38" t="s">
        <v>52</v>
      </c>
      <c r="B730" s="38" t="s">
        <v>1894</v>
      </c>
      <c r="C730" s="38" t="s">
        <v>1924</v>
      </c>
      <c r="D730" s="39" t="s">
        <v>62</v>
      </c>
      <c r="E730" s="39" t="s">
        <v>2146</v>
      </c>
      <c r="F730" s="40">
        <v>83855</v>
      </c>
      <c r="G730" s="41" t="s">
        <v>1926</v>
      </c>
      <c r="H730" s="41" t="s">
        <v>49</v>
      </c>
    </row>
    <row r="731" spans="1:8" x14ac:dyDescent="0.3">
      <c r="A731" s="38" t="s">
        <v>52</v>
      </c>
      <c r="B731" s="38" t="s">
        <v>1894</v>
      </c>
      <c r="C731" s="38" t="s">
        <v>1927</v>
      </c>
      <c r="D731" s="39" t="s">
        <v>62</v>
      </c>
      <c r="E731" s="39" t="s">
        <v>2201</v>
      </c>
      <c r="F731" s="40">
        <v>94948</v>
      </c>
      <c r="G731" s="41" t="s">
        <v>1929</v>
      </c>
      <c r="H731" s="41" t="s">
        <v>1930</v>
      </c>
    </row>
    <row r="732" spans="1:8" ht="41.4" x14ac:dyDescent="0.3">
      <c r="A732" s="38" t="s">
        <v>52</v>
      </c>
      <c r="B732" s="38" t="s">
        <v>1894</v>
      </c>
      <c r="C732" s="38" t="s">
        <v>1927</v>
      </c>
      <c r="D732" s="39" t="s">
        <v>213</v>
      </c>
      <c r="E732" s="39" t="s">
        <v>2201</v>
      </c>
      <c r="F732" s="40">
        <v>1424</v>
      </c>
      <c r="G732" s="41" t="s">
        <v>1929</v>
      </c>
      <c r="H732" s="41" t="s">
        <v>1930</v>
      </c>
    </row>
    <row r="733" spans="1:8" ht="27.6" x14ac:dyDescent="0.3">
      <c r="A733" s="38" t="s">
        <v>52</v>
      </c>
      <c r="B733" s="38" t="s">
        <v>1894</v>
      </c>
      <c r="C733" s="38" t="s">
        <v>1931</v>
      </c>
      <c r="D733" s="39" t="s">
        <v>141</v>
      </c>
      <c r="E733" s="39" t="s">
        <v>2163</v>
      </c>
      <c r="F733" s="40">
        <v>6865</v>
      </c>
      <c r="G733" s="41" t="s">
        <v>1933</v>
      </c>
      <c r="H733" s="41" t="s">
        <v>1934</v>
      </c>
    </row>
    <row r="734" spans="1:8" ht="27.6" x14ac:dyDescent="0.3">
      <c r="A734" s="38" t="s">
        <v>52</v>
      </c>
      <c r="B734" s="38" t="s">
        <v>1894</v>
      </c>
      <c r="C734" s="38" t="s">
        <v>1935</v>
      </c>
      <c r="D734" s="39" t="s">
        <v>81</v>
      </c>
      <c r="E734" s="39" t="s">
        <v>2184</v>
      </c>
      <c r="F734" s="40">
        <v>2556</v>
      </c>
      <c r="G734" s="41" t="s">
        <v>1937</v>
      </c>
      <c r="H734" s="41" t="s">
        <v>150</v>
      </c>
    </row>
    <row r="735" spans="1:8" x14ac:dyDescent="0.3">
      <c r="A735" s="38" t="s">
        <v>44</v>
      </c>
      <c r="B735" s="38" t="s">
        <v>1894</v>
      </c>
      <c r="C735" s="38" t="s">
        <v>46</v>
      </c>
      <c r="D735" s="39" t="s">
        <v>7</v>
      </c>
      <c r="E735" s="39" t="s">
        <v>2146</v>
      </c>
      <c r="F735" s="40">
        <v>3380</v>
      </c>
      <c r="G735" s="41" t="s">
        <v>1939</v>
      </c>
      <c r="H735" s="41" t="s">
        <v>49</v>
      </c>
    </row>
    <row r="736" spans="1:8" x14ac:dyDescent="0.3">
      <c r="A736" s="38" t="s">
        <v>44</v>
      </c>
      <c r="B736" s="38" t="s">
        <v>1894</v>
      </c>
      <c r="C736" s="38" t="s">
        <v>46</v>
      </c>
      <c r="D736" s="39" t="s">
        <v>7</v>
      </c>
      <c r="E736" s="39" t="s">
        <v>2146</v>
      </c>
      <c r="F736" s="40">
        <v>3380</v>
      </c>
      <c r="G736" s="41" t="s">
        <v>1941</v>
      </c>
      <c r="H736" s="41" t="s">
        <v>49</v>
      </c>
    </row>
    <row r="737" spans="1:8" ht="27.6" x14ac:dyDescent="0.3">
      <c r="A737" s="38" t="s">
        <v>44</v>
      </c>
      <c r="B737" s="38" t="s">
        <v>1894</v>
      </c>
      <c r="C737" s="38" t="s">
        <v>46</v>
      </c>
      <c r="D737" s="39" t="s">
        <v>7</v>
      </c>
      <c r="E737" s="39" t="s">
        <v>2152</v>
      </c>
      <c r="F737" s="40">
        <v>28805</v>
      </c>
      <c r="G737" s="41" t="s">
        <v>1943</v>
      </c>
      <c r="H737" s="41" t="s">
        <v>272</v>
      </c>
    </row>
    <row r="738" spans="1:8" ht="27.6" x14ac:dyDescent="0.3">
      <c r="A738" s="38" t="s">
        <v>44</v>
      </c>
      <c r="B738" s="38" t="s">
        <v>1894</v>
      </c>
      <c r="C738" s="38" t="s">
        <v>46</v>
      </c>
      <c r="D738" s="39" t="s">
        <v>7</v>
      </c>
      <c r="E738" s="39" t="s">
        <v>2154</v>
      </c>
      <c r="F738" s="40">
        <v>13000</v>
      </c>
      <c r="G738" s="41" t="s">
        <v>1945</v>
      </c>
      <c r="H738" s="41" t="s">
        <v>1946</v>
      </c>
    </row>
    <row r="739" spans="1:8" x14ac:dyDescent="0.3">
      <c r="A739" s="38" t="s">
        <v>44</v>
      </c>
      <c r="B739" s="38" t="s">
        <v>1894</v>
      </c>
      <c r="C739" s="38" t="s">
        <v>46</v>
      </c>
      <c r="D739" s="39" t="s">
        <v>7</v>
      </c>
      <c r="E739" s="39" t="s">
        <v>2159</v>
      </c>
      <c r="F739" s="40">
        <v>2000</v>
      </c>
      <c r="G739" s="41" t="s">
        <v>1948</v>
      </c>
      <c r="H739" s="41" t="s">
        <v>1949</v>
      </c>
    </row>
    <row r="740" spans="1:8" ht="27.6" x14ac:dyDescent="0.3">
      <c r="A740" s="38" t="s">
        <v>44</v>
      </c>
      <c r="B740" s="38" t="s">
        <v>1894</v>
      </c>
      <c r="C740" s="38" t="s">
        <v>46</v>
      </c>
      <c r="D740" s="39" t="s">
        <v>7</v>
      </c>
      <c r="E740" s="39" t="s">
        <v>2159</v>
      </c>
      <c r="F740" s="40">
        <v>3000</v>
      </c>
      <c r="G740" s="41" t="s">
        <v>1951</v>
      </c>
      <c r="H740" s="41" t="s">
        <v>1949</v>
      </c>
    </row>
    <row r="741" spans="1:8" ht="27.6" x14ac:dyDescent="0.3">
      <c r="A741" s="38" t="s">
        <v>44</v>
      </c>
      <c r="B741" s="38" t="s">
        <v>1894</v>
      </c>
      <c r="C741" s="38" t="s">
        <v>46</v>
      </c>
      <c r="D741" s="39" t="s">
        <v>7</v>
      </c>
      <c r="E741" s="39" t="s">
        <v>2161</v>
      </c>
      <c r="F741" s="40">
        <v>15000</v>
      </c>
      <c r="G741" s="41" t="s">
        <v>1953</v>
      </c>
      <c r="H741" s="41" t="s">
        <v>1954</v>
      </c>
    </row>
    <row r="742" spans="1:8" ht="27.6" x14ac:dyDescent="0.3">
      <c r="A742" s="38" t="s">
        <v>44</v>
      </c>
      <c r="B742" s="38" t="s">
        <v>1894</v>
      </c>
      <c r="C742" s="38" t="s">
        <v>46</v>
      </c>
      <c r="D742" s="39" t="s">
        <v>7</v>
      </c>
      <c r="E742" s="39" t="s">
        <v>2170</v>
      </c>
      <c r="F742" s="40">
        <v>6000</v>
      </c>
      <c r="G742" s="41" t="s">
        <v>1956</v>
      </c>
      <c r="H742" s="41" t="s">
        <v>84</v>
      </c>
    </row>
    <row r="743" spans="1:8" x14ac:dyDescent="0.3">
      <c r="A743" s="38" t="s">
        <v>44</v>
      </c>
      <c r="B743" s="38" t="s">
        <v>1894</v>
      </c>
      <c r="C743" s="38" t="s">
        <v>46</v>
      </c>
      <c r="D743" s="39" t="s">
        <v>7</v>
      </c>
      <c r="E743" s="39" t="s">
        <v>2193</v>
      </c>
      <c r="F743" s="40">
        <v>2480</v>
      </c>
      <c r="G743" s="41" t="s">
        <v>1958</v>
      </c>
      <c r="H743" s="41" t="s">
        <v>211</v>
      </c>
    </row>
    <row r="744" spans="1:8" x14ac:dyDescent="0.3">
      <c r="A744" s="38" t="s">
        <v>44</v>
      </c>
      <c r="B744" s="38" t="s">
        <v>1894</v>
      </c>
      <c r="C744" s="38" t="s">
        <v>46</v>
      </c>
      <c r="D744" s="39" t="s">
        <v>7</v>
      </c>
      <c r="E744" s="39" t="s">
        <v>2193</v>
      </c>
      <c r="F744" s="40">
        <v>16418</v>
      </c>
      <c r="G744" s="41" t="s">
        <v>1960</v>
      </c>
      <c r="H744" s="41" t="s">
        <v>211</v>
      </c>
    </row>
    <row r="745" spans="1:8" ht="27.6" x14ac:dyDescent="0.3">
      <c r="A745" s="38" t="s">
        <v>44</v>
      </c>
      <c r="B745" s="38" t="s">
        <v>1894</v>
      </c>
      <c r="C745" s="38" t="s">
        <v>46</v>
      </c>
      <c r="D745" s="39" t="s">
        <v>7</v>
      </c>
      <c r="E745" s="39" t="s">
        <v>2213</v>
      </c>
      <c r="F745" s="40">
        <v>3980</v>
      </c>
      <c r="G745" s="41" t="s">
        <v>1962</v>
      </c>
      <c r="H745" s="41" t="s">
        <v>1744</v>
      </c>
    </row>
    <row r="746" spans="1:8" ht="27.6" x14ac:dyDescent="0.3">
      <c r="A746" s="38" t="s">
        <v>44</v>
      </c>
      <c r="B746" s="38" t="s">
        <v>1894</v>
      </c>
      <c r="C746" s="38" t="s">
        <v>46</v>
      </c>
      <c r="D746" s="39" t="s">
        <v>7</v>
      </c>
      <c r="E746" s="39" t="s">
        <v>2141</v>
      </c>
      <c r="F746" s="40">
        <v>4904</v>
      </c>
      <c r="G746" s="41" t="s">
        <v>1964</v>
      </c>
      <c r="H746" s="41" t="s">
        <v>235</v>
      </c>
    </row>
    <row r="747" spans="1:8" ht="27.6" x14ac:dyDescent="0.3">
      <c r="A747" s="38" t="s">
        <v>52</v>
      </c>
      <c r="B747" s="38" t="s">
        <v>1965</v>
      </c>
      <c r="C747" s="38" t="s">
        <v>1966</v>
      </c>
      <c r="D747" s="39" t="s">
        <v>147</v>
      </c>
      <c r="E747" s="39" t="s">
        <v>2184</v>
      </c>
      <c r="F747" s="40">
        <v>3605</v>
      </c>
      <c r="G747" s="41" t="s">
        <v>1968</v>
      </c>
      <c r="H747" s="41" t="s">
        <v>150</v>
      </c>
    </row>
    <row r="748" spans="1:8" ht="27.6" x14ac:dyDescent="0.3">
      <c r="A748" s="38" t="s">
        <v>52</v>
      </c>
      <c r="B748" s="38" t="s">
        <v>1965</v>
      </c>
      <c r="C748" s="38" t="s">
        <v>1966</v>
      </c>
      <c r="D748" s="39" t="s">
        <v>147</v>
      </c>
      <c r="E748" s="39" t="s">
        <v>2184</v>
      </c>
      <c r="F748" s="40">
        <v>1715</v>
      </c>
      <c r="G748" s="41" t="s">
        <v>1970</v>
      </c>
      <c r="H748" s="41" t="s">
        <v>150</v>
      </c>
    </row>
    <row r="749" spans="1:8" ht="27.6" x14ac:dyDescent="0.3">
      <c r="A749" s="38" t="s">
        <v>52</v>
      </c>
      <c r="B749" s="38" t="s">
        <v>1965</v>
      </c>
      <c r="C749" s="38" t="s">
        <v>1966</v>
      </c>
      <c r="D749" s="39" t="s">
        <v>1053</v>
      </c>
      <c r="E749" s="39" t="s">
        <v>2184</v>
      </c>
      <c r="F749" s="40">
        <v>3740</v>
      </c>
      <c r="G749" s="41" t="s">
        <v>1972</v>
      </c>
      <c r="H749" s="41" t="s">
        <v>150</v>
      </c>
    </row>
    <row r="750" spans="1:8" ht="27.6" x14ac:dyDescent="0.3">
      <c r="A750" s="38" t="s">
        <v>52</v>
      </c>
      <c r="B750" s="38" t="s">
        <v>1965</v>
      </c>
      <c r="C750" s="38" t="s">
        <v>1966</v>
      </c>
      <c r="D750" s="39" t="s">
        <v>147</v>
      </c>
      <c r="E750" s="39" t="s">
        <v>2184</v>
      </c>
      <c r="F750" s="40">
        <v>840</v>
      </c>
      <c r="G750" s="41" t="s">
        <v>1974</v>
      </c>
      <c r="H750" s="41" t="s">
        <v>150</v>
      </c>
    </row>
    <row r="751" spans="1:8" ht="27.6" x14ac:dyDescent="0.3">
      <c r="A751" s="38" t="s">
        <v>52</v>
      </c>
      <c r="B751" s="38" t="s">
        <v>1965</v>
      </c>
      <c r="C751" s="38" t="s">
        <v>1966</v>
      </c>
      <c r="D751" s="39" t="s">
        <v>635</v>
      </c>
      <c r="E751" s="39" t="s">
        <v>2189</v>
      </c>
      <c r="F751" s="40">
        <v>6150</v>
      </c>
      <c r="G751" s="41" t="s">
        <v>1976</v>
      </c>
      <c r="H751" s="41" t="s">
        <v>499</v>
      </c>
    </row>
    <row r="752" spans="1:8" x14ac:dyDescent="0.3">
      <c r="A752" s="38" t="s">
        <v>52</v>
      </c>
      <c r="B752" s="38" t="s">
        <v>1965</v>
      </c>
      <c r="C752" s="38" t="s">
        <v>1966</v>
      </c>
      <c r="D752" s="39" t="s">
        <v>130</v>
      </c>
      <c r="E752" s="39" t="s">
        <v>2189</v>
      </c>
      <c r="F752" s="40">
        <v>2640</v>
      </c>
      <c r="G752" s="41" t="s">
        <v>1978</v>
      </c>
      <c r="H752" s="41" t="s">
        <v>499</v>
      </c>
    </row>
    <row r="753" spans="1:8" ht="27.6" x14ac:dyDescent="0.3">
      <c r="A753" s="38" t="s">
        <v>52</v>
      </c>
      <c r="B753" s="38" t="s">
        <v>1965</v>
      </c>
      <c r="C753" s="38" t="s">
        <v>1966</v>
      </c>
      <c r="D753" s="39" t="s">
        <v>55</v>
      </c>
      <c r="E753" s="39" t="s">
        <v>2176</v>
      </c>
      <c r="F753" s="40">
        <v>2000</v>
      </c>
      <c r="G753" s="41" t="s">
        <v>1980</v>
      </c>
      <c r="H753" s="41" t="s">
        <v>58</v>
      </c>
    </row>
    <row r="754" spans="1:8" ht="27.6" x14ac:dyDescent="0.3">
      <c r="A754" s="38" t="s">
        <v>52</v>
      </c>
      <c r="B754" s="38" t="s">
        <v>1965</v>
      </c>
      <c r="C754" s="38" t="s">
        <v>1966</v>
      </c>
      <c r="D754" s="39" t="s">
        <v>141</v>
      </c>
      <c r="E754" s="39" t="s">
        <v>2207</v>
      </c>
      <c r="F754" s="40">
        <v>1836</v>
      </c>
      <c r="G754" s="41" t="s">
        <v>309</v>
      </c>
      <c r="H754" s="41" t="s">
        <v>168</v>
      </c>
    </row>
    <row r="755" spans="1:8" x14ac:dyDescent="0.3">
      <c r="A755" s="38" t="s">
        <v>52</v>
      </c>
      <c r="B755" s="38" t="s">
        <v>1965</v>
      </c>
      <c r="C755" s="38" t="s">
        <v>1966</v>
      </c>
      <c r="D755" s="39" t="s">
        <v>62</v>
      </c>
      <c r="E755" s="39" t="s">
        <v>2193</v>
      </c>
      <c r="F755" s="40">
        <v>7986</v>
      </c>
      <c r="G755" s="41" t="s">
        <v>1983</v>
      </c>
      <c r="H755" s="41" t="s">
        <v>211</v>
      </c>
    </row>
    <row r="756" spans="1:8" ht="27.6" x14ac:dyDescent="0.3">
      <c r="A756" s="38" t="s">
        <v>52</v>
      </c>
      <c r="B756" s="38" t="s">
        <v>1965</v>
      </c>
      <c r="C756" s="38" t="s">
        <v>1966</v>
      </c>
      <c r="D756" s="39" t="s">
        <v>115</v>
      </c>
      <c r="E756" s="39" t="s">
        <v>2199</v>
      </c>
      <c r="F756" s="40">
        <v>2077</v>
      </c>
      <c r="G756" s="41" t="s">
        <v>1985</v>
      </c>
      <c r="H756" s="41" t="s">
        <v>353</v>
      </c>
    </row>
    <row r="757" spans="1:8" ht="27.6" x14ac:dyDescent="0.3">
      <c r="A757" s="38" t="s">
        <v>52</v>
      </c>
      <c r="B757" s="38" t="s">
        <v>1965</v>
      </c>
      <c r="C757" s="38" t="s">
        <v>1966</v>
      </c>
      <c r="D757" s="39" t="s">
        <v>115</v>
      </c>
      <c r="E757" s="39" t="s">
        <v>2167</v>
      </c>
      <c r="F757" s="40">
        <v>6000</v>
      </c>
      <c r="G757" s="41" t="s">
        <v>1987</v>
      </c>
      <c r="H757" s="41" t="s">
        <v>70</v>
      </c>
    </row>
    <row r="758" spans="1:8" ht="27.6" x14ac:dyDescent="0.3">
      <c r="A758" s="38" t="s">
        <v>52</v>
      </c>
      <c r="B758" s="38" t="s">
        <v>1965</v>
      </c>
      <c r="C758" s="38" t="s">
        <v>1966</v>
      </c>
      <c r="D758" s="39" t="s">
        <v>141</v>
      </c>
      <c r="E758" s="39" t="s">
        <v>2215</v>
      </c>
      <c r="F758" s="40">
        <v>3870</v>
      </c>
      <c r="G758" s="41" t="s">
        <v>1989</v>
      </c>
      <c r="H758" s="41" t="s">
        <v>183</v>
      </c>
    </row>
    <row r="759" spans="1:8" ht="27.6" x14ac:dyDescent="0.3">
      <c r="A759" s="38" t="s">
        <v>52</v>
      </c>
      <c r="B759" s="38" t="s">
        <v>1965</v>
      </c>
      <c r="C759" s="38" t="s">
        <v>1990</v>
      </c>
      <c r="D759" s="39" t="s">
        <v>130</v>
      </c>
      <c r="E759" s="39" t="s">
        <v>2168</v>
      </c>
      <c r="F759" s="40">
        <v>1320</v>
      </c>
      <c r="G759" s="41" t="s">
        <v>1992</v>
      </c>
      <c r="H759" s="41" t="s">
        <v>133</v>
      </c>
    </row>
    <row r="760" spans="1:8" ht="27.6" x14ac:dyDescent="0.3">
      <c r="A760" s="38" t="s">
        <v>52</v>
      </c>
      <c r="B760" s="38" t="s">
        <v>1965</v>
      </c>
      <c r="C760" s="38" t="s">
        <v>1990</v>
      </c>
      <c r="D760" s="39" t="s">
        <v>141</v>
      </c>
      <c r="E760" s="39" t="s">
        <v>2159</v>
      </c>
      <c r="F760" s="40">
        <v>2500</v>
      </c>
      <c r="G760" s="41" t="s">
        <v>1994</v>
      </c>
      <c r="H760" s="41" t="s">
        <v>1197</v>
      </c>
    </row>
    <row r="761" spans="1:8" ht="27.6" x14ac:dyDescent="0.3">
      <c r="A761" s="38" t="s">
        <v>52</v>
      </c>
      <c r="B761" s="38" t="s">
        <v>1965</v>
      </c>
      <c r="C761" s="38" t="s">
        <v>1990</v>
      </c>
      <c r="D761" s="39" t="s">
        <v>147</v>
      </c>
      <c r="E761" s="39" t="s">
        <v>2172</v>
      </c>
      <c r="F761" s="40">
        <v>300</v>
      </c>
      <c r="G761" s="41" t="s">
        <v>1996</v>
      </c>
      <c r="H761" s="41" t="s">
        <v>740</v>
      </c>
    </row>
    <row r="762" spans="1:8" ht="27.6" x14ac:dyDescent="0.3">
      <c r="A762" s="38" t="s">
        <v>52</v>
      </c>
      <c r="B762" s="38" t="s">
        <v>1965</v>
      </c>
      <c r="C762" s="38" t="s">
        <v>1990</v>
      </c>
      <c r="D762" s="39" t="s">
        <v>1053</v>
      </c>
      <c r="E762" s="39" t="s">
        <v>2184</v>
      </c>
      <c r="F762" s="40">
        <v>3500</v>
      </c>
      <c r="G762" s="41" t="s">
        <v>1998</v>
      </c>
      <c r="H762" s="41" t="s">
        <v>150</v>
      </c>
    </row>
    <row r="763" spans="1:8" ht="41.4" x14ac:dyDescent="0.3">
      <c r="A763" s="38" t="s">
        <v>52</v>
      </c>
      <c r="B763" s="38" t="s">
        <v>1965</v>
      </c>
      <c r="C763" s="38" t="s">
        <v>1990</v>
      </c>
      <c r="D763" s="39" t="s">
        <v>1086</v>
      </c>
      <c r="E763" s="39" t="s">
        <v>2184</v>
      </c>
      <c r="F763" s="40">
        <v>3000</v>
      </c>
      <c r="G763" s="41" t="s">
        <v>2000</v>
      </c>
      <c r="H763" s="41" t="s">
        <v>150</v>
      </c>
    </row>
    <row r="764" spans="1:8" ht="41.4" x14ac:dyDescent="0.3">
      <c r="A764" s="38" t="s">
        <v>52</v>
      </c>
      <c r="B764" s="38" t="s">
        <v>1965</v>
      </c>
      <c r="C764" s="38" t="s">
        <v>1990</v>
      </c>
      <c r="D764" s="39" t="s">
        <v>1086</v>
      </c>
      <c r="E764" s="39" t="s">
        <v>2184</v>
      </c>
      <c r="F764" s="40">
        <v>3000</v>
      </c>
      <c r="G764" s="41" t="s">
        <v>2002</v>
      </c>
      <c r="H764" s="41" t="s">
        <v>150</v>
      </c>
    </row>
    <row r="765" spans="1:8" ht="27.6" x14ac:dyDescent="0.3">
      <c r="A765" s="38" t="s">
        <v>52</v>
      </c>
      <c r="B765" s="38" t="s">
        <v>1965</v>
      </c>
      <c r="C765" s="38" t="s">
        <v>2003</v>
      </c>
      <c r="D765" s="39" t="s">
        <v>141</v>
      </c>
      <c r="E765" s="39" t="s">
        <v>2186</v>
      </c>
      <c r="F765" s="40">
        <v>1290</v>
      </c>
      <c r="G765" s="41" t="s">
        <v>2005</v>
      </c>
      <c r="H765" s="41" t="s">
        <v>102</v>
      </c>
    </row>
    <row r="766" spans="1:8" ht="27.6" x14ac:dyDescent="0.3">
      <c r="A766" s="38" t="s">
        <v>52</v>
      </c>
      <c r="B766" s="38" t="s">
        <v>1965</v>
      </c>
      <c r="C766" s="38" t="s">
        <v>2003</v>
      </c>
      <c r="D766" s="39" t="s">
        <v>1053</v>
      </c>
      <c r="E766" s="39" t="s">
        <v>2174</v>
      </c>
      <c r="F766" s="40">
        <v>7350</v>
      </c>
      <c r="G766" s="41" t="s">
        <v>2007</v>
      </c>
      <c r="H766" s="41" t="s">
        <v>74</v>
      </c>
    </row>
    <row r="767" spans="1:8" ht="27.6" x14ac:dyDescent="0.3">
      <c r="A767" s="38" t="s">
        <v>52</v>
      </c>
      <c r="B767" s="38" t="s">
        <v>1965</v>
      </c>
      <c r="C767" s="38" t="s">
        <v>2003</v>
      </c>
      <c r="D767" s="39" t="s">
        <v>62</v>
      </c>
      <c r="E767" s="39" t="s">
        <v>2176</v>
      </c>
      <c r="F767" s="40">
        <v>2000</v>
      </c>
      <c r="G767" s="41" t="s">
        <v>2009</v>
      </c>
      <c r="H767" s="41" t="s">
        <v>58</v>
      </c>
    </row>
    <row r="768" spans="1:8" ht="27.6" x14ac:dyDescent="0.3">
      <c r="A768" s="38" t="s">
        <v>52</v>
      </c>
      <c r="B768" s="38" t="s">
        <v>1965</v>
      </c>
      <c r="C768" s="38" t="s">
        <v>2003</v>
      </c>
      <c r="D768" s="39" t="s">
        <v>62</v>
      </c>
      <c r="E768" s="39" t="s">
        <v>2176</v>
      </c>
      <c r="F768" s="40">
        <v>2000</v>
      </c>
      <c r="G768" s="41" t="s">
        <v>2011</v>
      </c>
      <c r="H768" s="41" t="s">
        <v>58</v>
      </c>
    </row>
    <row r="769" spans="1:8" ht="27.6" x14ac:dyDescent="0.3">
      <c r="A769" s="38" t="s">
        <v>52</v>
      </c>
      <c r="B769" s="38" t="s">
        <v>1965</v>
      </c>
      <c r="C769" s="38" t="s">
        <v>2003</v>
      </c>
      <c r="D769" s="39" t="s">
        <v>62</v>
      </c>
      <c r="E769" s="39" t="s">
        <v>2176</v>
      </c>
      <c r="F769" s="40">
        <v>2000</v>
      </c>
      <c r="G769" s="41" t="s">
        <v>2013</v>
      </c>
      <c r="H769" s="41" t="s">
        <v>58</v>
      </c>
    </row>
    <row r="770" spans="1:8" ht="27.6" x14ac:dyDescent="0.3">
      <c r="A770" s="38" t="s">
        <v>52</v>
      </c>
      <c r="B770" s="38" t="s">
        <v>1965</v>
      </c>
      <c r="C770" s="38" t="s">
        <v>2003</v>
      </c>
      <c r="D770" s="39" t="s">
        <v>62</v>
      </c>
      <c r="E770" s="39" t="s">
        <v>2176</v>
      </c>
      <c r="F770" s="40">
        <v>2000</v>
      </c>
      <c r="G770" s="41" t="s">
        <v>2015</v>
      </c>
      <c r="H770" s="41" t="s">
        <v>58</v>
      </c>
    </row>
    <row r="771" spans="1:8" ht="27.6" x14ac:dyDescent="0.3">
      <c r="A771" s="38" t="s">
        <v>52</v>
      </c>
      <c r="B771" s="38" t="s">
        <v>1965</v>
      </c>
      <c r="C771" s="38" t="s">
        <v>2003</v>
      </c>
      <c r="D771" s="39" t="s">
        <v>62</v>
      </c>
      <c r="E771" s="39" t="s">
        <v>2176</v>
      </c>
      <c r="F771" s="40">
        <v>2000</v>
      </c>
      <c r="G771" s="41" t="s">
        <v>2017</v>
      </c>
      <c r="H771" s="41" t="s">
        <v>58</v>
      </c>
    </row>
    <row r="772" spans="1:8" ht="27.6" x14ac:dyDescent="0.3">
      <c r="A772" s="38" t="s">
        <v>52</v>
      </c>
      <c r="B772" s="38" t="s">
        <v>1965</v>
      </c>
      <c r="C772" s="38" t="s">
        <v>2003</v>
      </c>
      <c r="D772" s="39" t="s">
        <v>62</v>
      </c>
      <c r="E772" s="39" t="s">
        <v>2176</v>
      </c>
      <c r="F772" s="40">
        <v>2000</v>
      </c>
      <c r="G772" s="41" t="s">
        <v>2019</v>
      </c>
      <c r="H772" s="41" t="s">
        <v>58</v>
      </c>
    </row>
    <row r="773" spans="1:8" ht="27.6" x14ac:dyDescent="0.3">
      <c r="A773" s="38" t="s">
        <v>52</v>
      </c>
      <c r="B773" s="38" t="s">
        <v>1965</v>
      </c>
      <c r="C773" s="38" t="s">
        <v>2003</v>
      </c>
      <c r="D773" s="39" t="s">
        <v>121</v>
      </c>
      <c r="E773" s="39" t="s">
        <v>2199</v>
      </c>
      <c r="F773" s="40">
        <v>2150</v>
      </c>
      <c r="G773" s="41" t="s">
        <v>2021</v>
      </c>
      <c r="H773" s="41" t="s">
        <v>353</v>
      </c>
    </row>
    <row r="774" spans="1:8" ht="27.6" x14ac:dyDescent="0.3">
      <c r="A774" s="38" t="s">
        <v>52</v>
      </c>
      <c r="B774" s="38" t="s">
        <v>1965</v>
      </c>
      <c r="C774" s="38" t="s">
        <v>2003</v>
      </c>
      <c r="D774" s="39" t="s">
        <v>141</v>
      </c>
      <c r="E774" s="39" t="s">
        <v>2193</v>
      </c>
      <c r="F774" s="40">
        <v>4000</v>
      </c>
      <c r="G774" s="41" t="s">
        <v>2023</v>
      </c>
      <c r="H774" s="41" t="s">
        <v>211</v>
      </c>
    </row>
    <row r="775" spans="1:8" ht="27.6" x14ac:dyDescent="0.3">
      <c r="A775" s="38" t="s">
        <v>52</v>
      </c>
      <c r="B775" s="38" t="s">
        <v>1965</v>
      </c>
      <c r="C775" s="38" t="s">
        <v>2003</v>
      </c>
      <c r="D775" s="39" t="s">
        <v>141</v>
      </c>
      <c r="E775" s="39" t="s">
        <v>2195</v>
      </c>
      <c r="F775" s="40">
        <v>6474</v>
      </c>
      <c r="G775" s="41" t="s">
        <v>2025</v>
      </c>
      <c r="H775" s="41" t="s">
        <v>202</v>
      </c>
    </row>
    <row r="776" spans="1:8" ht="27.6" x14ac:dyDescent="0.3">
      <c r="A776" s="38" t="s">
        <v>52</v>
      </c>
      <c r="B776" s="38" t="s">
        <v>1965</v>
      </c>
      <c r="C776" s="38" t="s">
        <v>2003</v>
      </c>
      <c r="D776" s="39" t="s">
        <v>141</v>
      </c>
      <c r="E776" s="39" t="s">
        <v>2159</v>
      </c>
      <c r="F776" s="40">
        <v>10000</v>
      </c>
      <c r="G776" s="41" t="s">
        <v>2027</v>
      </c>
      <c r="H776" s="41" t="s">
        <v>2028</v>
      </c>
    </row>
    <row r="777" spans="1:8" ht="27.6" x14ac:dyDescent="0.3">
      <c r="A777" s="38" t="s">
        <v>52</v>
      </c>
      <c r="B777" s="38" t="s">
        <v>1965</v>
      </c>
      <c r="C777" s="38" t="s">
        <v>2003</v>
      </c>
      <c r="D777" s="39" t="s">
        <v>141</v>
      </c>
      <c r="E777" s="39" t="s">
        <v>2159</v>
      </c>
      <c r="F777" s="40">
        <v>1390</v>
      </c>
      <c r="G777" s="41" t="s">
        <v>2030</v>
      </c>
      <c r="H777" s="41" t="s">
        <v>1197</v>
      </c>
    </row>
    <row r="778" spans="1:8" ht="27.6" x14ac:dyDescent="0.3">
      <c r="A778" s="38" t="s">
        <v>52</v>
      </c>
      <c r="B778" s="38" t="s">
        <v>1965</v>
      </c>
      <c r="C778" s="38" t="s">
        <v>2003</v>
      </c>
      <c r="D778" s="39" t="s">
        <v>216</v>
      </c>
      <c r="E778" s="39" t="s">
        <v>2146</v>
      </c>
      <c r="F778" s="40">
        <v>630</v>
      </c>
      <c r="G778" s="41" t="s">
        <v>2032</v>
      </c>
      <c r="H778" s="41" t="s">
        <v>49</v>
      </c>
    </row>
    <row r="779" spans="1:8" ht="27.6" x14ac:dyDescent="0.3">
      <c r="A779" s="38" t="s">
        <v>52</v>
      </c>
      <c r="B779" s="38" t="s">
        <v>1965</v>
      </c>
      <c r="C779" s="38" t="s">
        <v>2003</v>
      </c>
      <c r="D779" s="39" t="s">
        <v>245</v>
      </c>
      <c r="E779" s="39" t="s">
        <v>2143</v>
      </c>
      <c r="F779" s="40">
        <v>650</v>
      </c>
      <c r="G779" s="41" t="s">
        <v>2034</v>
      </c>
      <c r="H779" s="41" t="s">
        <v>248</v>
      </c>
    </row>
    <row r="780" spans="1:8" ht="27.6" x14ac:dyDescent="0.3">
      <c r="A780" s="38" t="s">
        <v>52</v>
      </c>
      <c r="B780" s="38" t="s">
        <v>1965</v>
      </c>
      <c r="C780" s="38" t="s">
        <v>2003</v>
      </c>
      <c r="D780" s="39" t="s">
        <v>121</v>
      </c>
      <c r="E780" s="39" t="s">
        <v>2143</v>
      </c>
      <c r="F780" s="40">
        <v>360</v>
      </c>
      <c r="G780" s="41" t="s">
        <v>2036</v>
      </c>
      <c r="H780" s="41" t="s">
        <v>248</v>
      </c>
    </row>
    <row r="781" spans="1:8" ht="27.6" x14ac:dyDescent="0.3">
      <c r="A781" s="38" t="s">
        <v>52</v>
      </c>
      <c r="B781" s="38" t="s">
        <v>1965</v>
      </c>
      <c r="C781" s="38" t="s">
        <v>2003</v>
      </c>
      <c r="D781" s="39" t="s">
        <v>115</v>
      </c>
      <c r="E781" s="39" t="s">
        <v>2143</v>
      </c>
      <c r="F781" s="40">
        <v>521</v>
      </c>
      <c r="G781" s="41" t="s">
        <v>2036</v>
      </c>
      <c r="H781" s="41" t="s">
        <v>248</v>
      </c>
    </row>
    <row r="782" spans="1:8" ht="27.6" x14ac:dyDescent="0.3">
      <c r="A782" s="38" t="s">
        <v>52</v>
      </c>
      <c r="B782" s="38" t="s">
        <v>1965</v>
      </c>
      <c r="C782" s="38" t="s">
        <v>2003</v>
      </c>
      <c r="D782" s="39" t="s">
        <v>245</v>
      </c>
      <c r="E782" s="39" t="s">
        <v>2143</v>
      </c>
      <c r="F782" s="40">
        <v>883</v>
      </c>
      <c r="G782" s="41" t="s">
        <v>2038</v>
      </c>
      <c r="H782" s="41" t="s">
        <v>248</v>
      </c>
    </row>
    <row r="783" spans="1:8" ht="41.4" x14ac:dyDescent="0.3">
      <c r="A783" s="38" t="s">
        <v>52</v>
      </c>
      <c r="B783" s="38" t="s">
        <v>1965</v>
      </c>
      <c r="C783" s="38" t="s">
        <v>2003</v>
      </c>
      <c r="D783" s="39" t="s">
        <v>245</v>
      </c>
      <c r="E783" s="39" t="s">
        <v>2143</v>
      </c>
      <c r="F783" s="40">
        <v>766</v>
      </c>
      <c r="G783" s="41" t="s">
        <v>2040</v>
      </c>
      <c r="H783" s="41" t="s">
        <v>248</v>
      </c>
    </row>
    <row r="784" spans="1:8" ht="27.6" x14ac:dyDescent="0.3">
      <c r="A784" s="38" t="s">
        <v>52</v>
      </c>
      <c r="B784" s="38" t="s">
        <v>1965</v>
      </c>
      <c r="C784" s="38" t="s">
        <v>2003</v>
      </c>
      <c r="D784" s="39" t="s">
        <v>121</v>
      </c>
      <c r="E784" s="39" t="s">
        <v>2143</v>
      </c>
      <c r="F784" s="40">
        <v>886</v>
      </c>
      <c r="G784" s="41" t="s">
        <v>2042</v>
      </c>
      <c r="H784" s="41" t="s">
        <v>248</v>
      </c>
    </row>
    <row r="785" spans="1:8" ht="27.6" x14ac:dyDescent="0.3">
      <c r="A785" s="38" t="s">
        <v>52</v>
      </c>
      <c r="B785" s="38" t="s">
        <v>1965</v>
      </c>
      <c r="C785" s="38" t="s">
        <v>2003</v>
      </c>
      <c r="D785" s="39" t="s">
        <v>245</v>
      </c>
      <c r="E785" s="39" t="s">
        <v>2143</v>
      </c>
      <c r="F785" s="40">
        <v>995</v>
      </c>
      <c r="G785" s="41" t="s">
        <v>2042</v>
      </c>
      <c r="H785" s="41" t="s">
        <v>248</v>
      </c>
    </row>
    <row r="786" spans="1:8" ht="27.6" x14ac:dyDescent="0.3">
      <c r="A786" s="38" t="s">
        <v>52</v>
      </c>
      <c r="B786" s="38" t="s">
        <v>1965</v>
      </c>
      <c r="C786" s="38" t="s">
        <v>2003</v>
      </c>
      <c r="D786" s="39" t="s">
        <v>141</v>
      </c>
      <c r="E786" s="39" t="s">
        <v>2143</v>
      </c>
      <c r="F786" s="40">
        <v>1200</v>
      </c>
      <c r="G786" s="41" t="s">
        <v>2044</v>
      </c>
      <c r="H786" s="41" t="s">
        <v>248</v>
      </c>
    </row>
    <row r="787" spans="1:8" ht="27.6" x14ac:dyDescent="0.3">
      <c r="A787" s="38" t="s">
        <v>52</v>
      </c>
      <c r="B787" s="38" t="s">
        <v>1965</v>
      </c>
      <c r="C787" s="38" t="s">
        <v>2003</v>
      </c>
      <c r="D787" s="39" t="s">
        <v>216</v>
      </c>
      <c r="E787" s="39" t="s">
        <v>2168</v>
      </c>
      <c r="F787" s="40">
        <v>690</v>
      </c>
      <c r="G787" s="41" t="s">
        <v>2046</v>
      </c>
      <c r="H787" s="41" t="s">
        <v>133</v>
      </c>
    </row>
    <row r="788" spans="1:8" ht="27.6" x14ac:dyDescent="0.3">
      <c r="A788" s="38" t="s">
        <v>52</v>
      </c>
      <c r="B788" s="38" t="s">
        <v>1965</v>
      </c>
      <c r="C788" s="38" t="s">
        <v>2003</v>
      </c>
      <c r="D788" s="39" t="s">
        <v>141</v>
      </c>
      <c r="E788" s="39" t="s">
        <v>2173</v>
      </c>
      <c r="F788" s="40">
        <v>3476</v>
      </c>
      <c r="G788" s="41" t="s">
        <v>2048</v>
      </c>
      <c r="H788" s="41" t="s">
        <v>347</v>
      </c>
    </row>
    <row r="789" spans="1:8" ht="27.6" x14ac:dyDescent="0.3">
      <c r="A789" s="38" t="s">
        <v>52</v>
      </c>
      <c r="B789" s="38" t="s">
        <v>1965</v>
      </c>
      <c r="C789" s="38" t="s">
        <v>2049</v>
      </c>
      <c r="D789" s="39" t="s">
        <v>141</v>
      </c>
      <c r="E789" s="39" t="s">
        <v>2168</v>
      </c>
      <c r="F789" s="40">
        <v>545</v>
      </c>
      <c r="G789" s="41" t="s">
        <v>2051</v>
      </c>
      <c r="H789" s="41" t="s">
        <v>133</v>
      </c>
    </row>
    <row r="790" spans="1:8" ht="27.6" x14ac:dyDescent="0.3">
      <c r="A790" s="38" t="s">
        <v>52</v>
      </c>
      <c r="B790" s="38" t="s">
        <v>1965</v>
      </c>
      <c r="C790" s="38" t="s">
        <v>2049</v>
      </c>
      <c r="D790" s="39" t="s">
        <v>141</v>
      </c>
      <c r="E790" s="39" t="s">
        <v>2178</v>
      </c>
      <c r="F790" s="40">
        <v>1699</v>
      </c>
      <c r="G790" s="41" t="s">
        <v>2053</v>
      </c>
      <c r="H790" s="41" t="s">
        <v>337</v>
      </c>
    </row>
    <row r="791" spans="1:8" ht="27.6" x14ac:dyDescent="0.3">
      <c r="A791" s="38" t="s">
        <v>52</v>
      </c>
      <c r="B791" s="38" t="s">
        <v>1965</v>
      </c>
      <c r="C791" s="38" t="s">
        <v>2054</v>
      </c>
      <c r="D791" s="39" t="s">
        <v>55</v>
      </c>
      <c r="E791" s="39" t="s">
        <v>2176</v>
      </c>
      <c r="F791" s="40">
        <v>2935</v>
      </c>
      <c r="G791" s="41" t="s">
        <v>2056</v>
      </c>
      <c r="H791" s="41" t="s">
        <v>58</v>
      </c>
    </row>
    <row r="792" spans="1:8" ht="27.6" x14ac:dyDescent="0.3">
      <c r="A792" s="38" t="s">
        <v>52</v>
      </c>
      <c r="B792" s="38" t="s">
        <v>1965</v>
      </c>
      <c r="C792" s="38" t="s">
        <v>2054</v>
      </c>
      <c r="D792" s="39" t="s">
        <v>55</v>
      </c>
      <c r="E792" s="39" t="s">
        <v>2176</v>
      </c>
      <c r="F792" s="40">
        <v>2980</v>
      </c>
      <c r="G792" s="41" t="s">
        <v>2058</v>
      </c>
      <c r="H792" s="41" t="s">
        <v>58</v>
      </c>
    </row>
    <row r="793" spans="1:8" ht="27.6" x14ac:dyDescent="0.3">
      <c r="A793" s="38" t="s">
        <v>52</v>
      </c>
      <c r="B793" s="38" t="s">
        <v>1965</v>
      </c>
      <c r="C793" s="38" t="s">
        <v>2054</v>
      </c>
      <c r="D793" s="39" t="s">
        <v>55</v>
      </c>
      <c r="E793" s="39" t="s">
        <v>2176</v>
      </c>
      <c r="F793" s="40">
        <v>2980</v>
      </c>
      <c r="G793" s="41" t="s">
        <v>2060</v>
      </c>
      <c r="H793" s="41" t="s">
        <v>58</v>
      </c>
    </row>
    <row r="794" spans="1:8" ht="27.6" x14ac:dyDescent="0.3">
      <c r="A794" s="38" t="s">
        <v>52</v>
      </c>
      <c r="B794" s="38" t="s">
        <v>1965</v>
      </c>
      <c r="C794" s="38" t="s">
        <v>2054</v>
      </c>
      <c r="D794" s="39" t="s">
        <v>55</v>
      </c>
      <c r="E794" s="39" t="s">
        <v>2176</v>
      </c>
      <c r="F794" s="40">
        <v>2980</v>
      </c>
      <c r="G794" s="41" t="s">
        <v>2062</v>
      </c>
      <c r="H794" s="41" t="s">
        <v>58</v>
      </c>
    </row>
    <row r="795" spans="1:8" ht="27.6" x14ac:dyDescent="0.3">
      <c r="A795" s="38" t="s">
        <v>52</v>
      </c>
      <c r="B795" s="38" t="s">
        <v>1965</v>
      </c>
      <c r="C795" s="38" t="s">
        <v>2054</v>
      </c>
      <c r="D795" s="39" t="s">
        <v>55</v>
      </c>
      <c r="E795" s="39" t="s">
        <v>2176</v>
      </c>
      <c r="F795" s="40">
        <v>2980</v>
      </c>
      <c r="G795" s="41" t="s">
        <v>2064</v>
      </c>
      <c r="H795" s="41" t="s">
        <v>58</v>
      </c>
    </row>
    <row r="796" spans="1:8" ht="27.6" x14ac:dyDescent="0.3">
      <c r="A796" s="38" t="s">
        <v>52</v>
      </c>
      <c r="B796" s="38" t="s">
        <v>1965</v>
      </c>
      <c r="C796" s="38" t="s">
        <v>2054</v>
      </c>
      <c r="D796" s="39" t="s">
        <v>55</v>
      </c>
      <c r="E796" s="39" t="s">
        <v>2176</v>
      </c>
      <c r="F796" s="40">
        <v>2980</v>
      </c>
      <c r="G796" s="41" t="s">
        <v>2066</v>
      </c>
      <c r="H796" s="41" t="s">
        <v>58</v>
      </c>
    </row>
    <row r="797" spans="1:8" ht="27.6" x14ac:dyDescent="0.3">
      <c r="A797" s="38" t="s">
        <v>52</v>
      </c>
      <c r="B797" s="38" t="s">
        <v>1965</v>
      </c>
      <c r="C797" s="38" t="s">
        <v>2054</v>
      </c>
      <c r="D797" s="39" t="s">
        <v>1053</v>
      </c>
      <c r="E797" s="39" t="s">
        <v>2184</v>
      </c>
      <c r="F797" s="40">
        <v>2337</v>
      </c>
      <c r="G797" s="41" t="s">
        <v>2068</v>
      </c>
      <c r="H797" s="41" t="s">
        <v>150</v>
      </c>
    </row>
    <row r="798" spans="1:8" ht="27.6" x14ac:dyDescent="0.3">
      <c r="A798" s="38" t="s">
        <v>52</v>
      </c>
      <c r="B798" s="38" t="s">
        <v>1965</v>
      </c>
      <c r="C798" s="38" t="s">
        <v>2054</v>
      </c>
      <c r="D798" s="39" t="s">
        <v>141</v>
      </c>
      <c r="E798" s="39" t="s">
        <v>2195</v>
      </c>
      <c r="F798" s="40">
        <v>1646</v>
      </c>
      <c r="G798" s="41" t="s">
        <v>2070</v>
      </c>
      <c r="H798" s="41" t="s">
        <v>1232</v>
      </c>
    </row>
    <row r="799" spans="1:8" ht="27.6" x14ac:dyDescent="0.3">
      <c r="A799" s="38" t="s">
        <v>52</v>
      </c>
      <c r="B799" s="38" t="s">
        <v>1965</v>
      </c>
      <c r="C799" s="38" t="s">
        <v>2054</v>
      </c>
      <c r="D799" s="39" t="s">
        <v>141</v>
      </c>
      <c r="E799" s="39" t="s">
        <v>2146</v>
      </c>
      <c r="F799" s="40">
        <v>5390</v>
      </c>
      <c r="G799" s="41" t="s">
        <v>2072</v>
      </c>
      <c r="H799" s="41" t="s">
        <v>49</v>
      </c>
    </row>
    <row r="800" spans="1:8" ht="41.4" x14ac:dyDescent="0.3">
      <c r="A800" s="38" t="s">
        <v>52</v>
      </c>
      <c r="B800" s="38" t="s">
        <v>1965</v>
      </c>
      <c r="C800" s="38" t="s">
        <v>2073</v>
      </c>
      <c r="D800" s="39" t="s">
        <v>2074</v>
      </c>
      <c r="E800" s="39" t="s">
        <v>2213</v>
      </c>
      <c r="F800" s="40">
        <v>19003</v>
      </c>
      <c r="G800" s="41" t="s">
        <v>2076</v>
      </c>
      <c r="H800" s="41" t="s">
        <v>393</v>
      </c>
    </row>
    <row r="801" spans="1:8" ht="27.6" x14ac:dyDescent="0.3">
      <c r="A801" s="38" t="s">
        <v>52</v>
      </c>
      <c r="B801" s="38" t="s">
        <v>1965</v>
      </c>
      <c r="C801" s="38" t="s">
        <v>2077</v>
      </c>
      <c r="D801" s="39" t="s">
        <v>703</v>
      </c>
      <c r="E801" s="39" t="s">
        <v>2152</v>
      </c>
      <c r="F801" s="40">
        <v>1980</v>
      </c>
      <c r="G801" s="41" t="s">
        <v>2079</v>
      </c>
      <c r="H801" s="41" t="s">
        <v>272</v>
      </c>
    </row>
    <row r="802" spans="1:8" ht="27.6" x14ac:dyDescent="0.3">
      <c r="A802" s="38" t="s">
        <v>52</v>
      </c>
      <c r="B802" s="38" t="s">
        <v>1965</v>
      </c>
      <c r="C802" s="38" t="s">
        <v>2077</v>
      </c>
      <c r="D802" s="39" t="s">
        <v>703</v>
      </c>
      <c r="E802" s="39" t="s">
        <v>2170</v>
      </c>
      <c r="F802" s="40">
        <v>3155</v>
      </c>
      <c r="G802" s="41" t="s">
        <v>2081</v>
      </c>
      <c r="H802" s="41" t="s">
        <v>84</v>
      </c>
    </row>
    <row r="803" spans="1:8" x14ac:dyDescent="0.3">
      <c r="A803" s="38" t="s">
        <v>44</v>
      </c>
      <c r="B803" s="38" t="s">
        <v>1965</v>
      </c>
      <c r="C803" s="38" t="s">
        <v>46</v>
      </c>
      <c r="D803" s="39" t="s">
        <v>7</v>
      </c>
      <c r="E803" s="39" t="s">
        <v>2161</v>
      </c>
      <c r="F803" s="40">
        <v>2300</v>
      </c>
      <c r="G803" s="41" t="s">
        <v>2083</v>
      </c>
      <c r="H803" s="41" t="s">
        <v>1207</v>
      </c>
    </row>
    <row r="804" spans="1:8" x14ac:dyDescent="0.3">
      <c r="A804" s="38" t="s">
        <v>44</v>
      </c>
      <c r="B804" s="38" t="s">
        <v>1965</v>
      </c>
      <c r="C804" s="38" t="s">
        <v>46</v>
      </c>
      <c r="D804" s="39" t="s">
        <v>7</v>
      </c>
      <c r="E804" s="39" t="s">
        <v>2167</v>
      </c>
      <c r="F804" s="40">
        <v>3063</v>
      </c>
      <c r="G804" s="41" t="s">
        <v>2085</v>
      </c>
      <c r="H804" s="41" t="s">
        <v>70</v>
      </c>
    </row>
    <row r="805" spans="1:8" ht="27.6" x14ac:dyDescent="0.3">
      <c r="A805" s="38" t="s">
        <v>44</v>
      </c>
      <c r="B805" s="38" t="s">
        <v>1965</v>
      </c>
      <c r="C805" s="38" t="s">
        <v>46</v>
      </c>
      <c r="D805" s="39" t="s">
        <v>7</v>
      </c>
      <c r="E805" s="39" t="s">
        <v>2172</v>
      </c>
      <c r="F805" s="40">
        <v>4000</v>
      </c>
      <c r="G805" s="41" t="s">
        <v>2087</v>
      </c>
      <c r="H805" s="41" t="s">
        <v>127</v>
      </c>
    </row>
    <row r="806" spans="1:8" ht="27.6" x14ac:dyDescent="0.3">
      <c r="A806" s="38" t="s">
        <v>44</v>
      </c>
      <c r="B806" s="38" t="s">
        <v>1965</v>
      </c>
      <c r="C806" s="38" t="s">
        <v>46</v>
      </c>
      <c r="D806" s="39" t="s">
        <v>7</v>
      </c>
      <c r="E806" s="39" t="s">
        <v>2176</v>
      </c>
      <c r="F806" s="40">
        <v>1577</v>
      </c>
      <c r="G806" s="41" t="s">
        <v>2089</v>
      </c>
      <c r="H806" s="41" t="s">
        <v>58</v>
      </c>
    </row>
    <row r="807" spans="1:8" ht="27.6" x14ac:dyDescent="0.3">
      <c r="A807" s="38" t="s">
        <v>44</v>
      </c>
      <c r="B807" s="38" t="s">
        <v>1965</v>
      </c>
      <c r="C807" s="38" t="s">
        <v>46</v>
      </c>
      <c r="D807" s="39" t="s">
        <v>7</v>
      </c>
      <c r="E807" s="39" t="s">
        <v>2176</v>
      </c>
      <c r="F807" s="40">
        <v>502</v>
      </c>
      <c r="G807" s="41" t="s">
        <v>2091</v>
      </c>
      <c r="H807" s="41" t="s">
        <v>58</v>
      </c>
    </row>
    <row r="808" spans="1:8" ht="69" x14ac:dyDescent="0.3">
      <c r="A808" s="38" t="s">
        <v>44</v>
      </c>
      <c r="B808" s="38" t="s">
        <v>1965</v>
      </c>
      <c r="C808" s="38" t="s">
        <v>46</v>
      </c>
      <c r="D808" s="39" t="s">
        <v>7</v>
      </c>
      <c r="E808" s="39" t="s">
        <v>2209</v>
      </c>
      <c r="F808" s="40">
        <v>8587</v>
      </c>
      <c r="G808" s="41" t="s">
        <v>2093</v>
      </c>
      <c r="H808" s="41" t="s">
        <v>2094</v>
      </c>
    </row>
    <row r="809" spans="1:8" ht="55.2" x14ac:dyDescent="0.3">
      <c r="A809" s="38" t="s">
        <v>44</v>
      </c>
      <c r="B809" s="38" t="s">
        <v>1965</v>
      </c>
      <c r="C809" s="38" t="s">
        <v>46</v>
      </c>
      <c r="D809" s="39" t="s">
        <v>7</v>
      </c>
      <c r="E809" s="39" t="s">
        <v>2209</v>
      </c>
      <c r="F809" s="40">
        <v>2039</v>
      </c>
      <c r="G809" s="41" t="s">
        <v>2096</v>
      </c>
      <c r="H809" s="41" t="s">
        <v>2094</v>
      </c>
    </row>
    <row r="810" spans="1:8" ht="27.6" x14ac:dyDescent="0.3">
      <c r="A810" s="38" t="s">
        <v>44</v>
      </c>
      <c r="B810" s="38" t="s">
        <v>2097</v>
      </c>
      <c r="C810" s="38" t="s">
        <v>46</v>
      </c>
      <c r="D810" s="39" t="s">
        <v>7</v>
      </c>
      <c r="E810" s="39" t="s">
        <v>2143</v>
      </c>
      <c r="F810" s="40">
        <v>8076</v>
      </c>
      <c r="G810" s="41" t="s">
        <v>2099</v>
      </c>
      <c r="H810" s="41" t="s">
        <v>248</v>
      </c>
    </row>
    <row r="811" spans="1:8" x14ac:dyDescent="0.3">
      <c r="A811" s="38" t="s">
        <v>44</v>
      </c>
      <c r="B811" s="38" t="s">
        <v>2097</v>
      </c>
      <c r="C811" s="38" t="s">
        <v>46</v>
      </c>
      <c r="D811" s="39" t="s">
        <v>7</v>
      </c>
      <c r="E811" s="39" t="s">
        <v>2146</v>
      </c>
      <c r="F811" s="40">
        <v>632</v>
      </c>
      <c r="G811" s="41" t="s">
        <v>2101</v>
      </c>
      <c r="H811" s="41" t="s">
        <v>49</v>
      </c>
    </row>
    <row r="812" spans="1:8" x14ac:dyDescent="0.3">
      <c r="A812" s="38" t="s">
        <v>44</v>
      </c>
      <c r="B812" s="38" t="s">
        <v>2097</v>
      </c>
      <c r="C812" s="38" t="s">
        <v>46</v>
      </c>
      <c r="D812" s="39" t="s">
        <v>7</v>
      </c>
      <c r="E812" s="39" t="s">
        <v>2154</v>
      </c>
      <c r="F812" s="40">
        <v>300</v>
      </c>
      <c r="G812" s="41" t="s">
        <v>2103</v>
      </c>
      <c r="H812" s="41" t="s">
        <v>1946</v>
      </c>
    </row>
    <row r="813" spans="1:8" x14ac:dyDescent="0.3">
      <c r="A813" s="38" t="s">
        <v>44</v>
      </c>
      <c r="B813" s="38" t="s">
        <v>2097</v>
      </c>
      <c r="C813" s="38" t="s">
        <v>46</v>
      </c>
      <c r="D813" s="39" t="s">
        <v>7</v>
      </c>
      <c r="E813" s="39" t="s">
        <v>2167</v>
      </c>
      <c r="F813" s="40">
        <v>6126</v>
      </c>
      <c r="G813" s="41" t="s">
        <v>2105</v>
      </c>
      <c r="H813" s="41" t="s">
        <v>70</v>
      </c>
    </row>
    <row r="814" spans="1:8" ht="27.6" x14ac:dyDescent="0.3">
      <c r="A814" s="38" t="s">
        <v>44</v>
      </c>
      <c r="B814" s="38" t="s">
        <v>2097</v>
      </c>
      <c r="C814" s="38" t="s">
        <v>46</v>
      </c>
      <c r="D814" s="39" t="s">
        <v>7</v>
      </c>
      <c r="E814" s="39" t="s">
        <v>2167</v>
      </c>
      <c r="F814" s="40">
        <v>1680</v>
      </c>
      <c r="G814" s="41" t="s">
        <v>2107</v>
      </c>
      <c r="H814" s="41" t="s">
        <v>70</v>
      </c>
    </row>
    <row r="815" spans="1:8" ht="41.4" x14ac:dyDescent="0.3">
      <c r="A815" s="38" t="s">
        <v>44</v>
      </c>
      <c r="B815" s="38" t="s">
        <v>2097</v>
      </c>
      <c r="C815" s="38" t="s">
        <v>46</v>
      </c>
      <c r="D815" s="39" t="s">
        <v>7</v>
      </c>
      <c r="E815" s="39" t="s">
        <v>2207</v>
      </c>
      <c r="F815" s="40">
        <v>32702</v>
      </c>
      <c r="G815" s="41" t="s">
        <v>2109</v>
      </c>
      <c r="H815" s="41" t="s">
        <v>168</v>
      </c>
    </row>
    <row r="816" spans="1:8" ht="27.6" x14ac:dyDescent="0.3">
      <c r="A816" s="38" t="s">
        <v>44</v>
      </c>
      <c r="B816" s="38" t="s">
        <v>2097</v>
      </c>
      <c r="C816" s="38" t="s">
        <v>46</v>
      </c>
      <c r="D816" s="39" t="s">
        <v>7</v>
      </c>
      <c r="E816" s="39" t="s">
        <v>2219</v>
      </c>
      <c r="F816" s="40">
        <v>32261</v>
      </c>
      <c r="G816" s="41" t="s">
        <v>2111</v>
      </c>
      <c r="H816" s="41" t="s">
        <v>223</v>
      </c>
    </row>
    <row r="817" spans="1:8" ht="27.6" x14ac:dyDescent="0.3">
      <c r="A817" s="38" t="s">
        <v>44</v>
      </c>
      <c r="B817" s="38" t="s">
        <v>2097</v>
      </c>
      <c r="C817" s="38" t="s">
        <v>46</v>
      </c>
      <c r="D817" s="39" t="s">
        <v>7</v>
      </c>
      <c r="E817" s="39" t="s">
        <v>2219</v>
      </c>
      <c r="F817" s="40">
        <v>32741</v>
      </c>
      <c r="G817" s="41" t="s">
        <v>2113</v>
      </c>
      <c r="H817" s="41" t="s">
        <v>223</v>
      </c>
    </row>
    <row r="818" spans="1:8" x14ac:dyDescent="0.3">
      <c r="A818" s="38" t="s">
        <v>44</v>
      </c>
      <c r="B818" s="38" t="s">
        <v>2097</v>
      </c>
      <c r="C818" s="38" t="s">
        <v>46</v>
      </c>
      <c r="D818" s="39" t="s">
        <v>7</v>
      </c>
      <c r="E818" s="39" t="s">
        <v>2138</v>
      </c>
      <c r="F818" s="40">
        <v>3282</v>
      </c>
      <c r="G818" s="41" t="s">
        <v>2115</v>
      </c>
      <c r="H818" s="41" t="s">
        <v>2220</v>
      </c>
    </row>
    <row r="819" spans="1:8" x14ac:dyDescent="0.3">
      <c r="A819" s="38" t="s">
        <v>44</v>
      </c>
      <c r="B819" s="38" t="s">
        <v>2117</v>
      </c>
      <c r="C819" s="38" t="s">
        <v>46</v>
      </c>
      <c r="D819" s="39" t="s">
        <v>7</v>
      </c>
      <c r="E819" s="39" t="s">
        <v>2146</v>
      </c>
      <c r="F819" s="40">
        <v>2553</v>
      </c>
      <c r="G819" s="41" t="s">
        <v>2119</v>
      </c>
      <c r="H819" s="41" t="s">
        <v>49</v>
      </c>
    </row>
    <row r="820" spans="1:8" ht="27.6" x14ac:dyDescent="0.3">
      <c r="A820" s="38" t="s">
        <v>44</v>
      </c>
      <c r="B820" s="38" t="s">
        <v>2117</v>
      </c>
      <c r="C820" s="38" t="s">
        <v>46</v>
      </c>
      <c r="D820" s="39" t="s">
        <v>7</v>
      </c>
      <c r="E820" s="39" t="s">
        <v>2157</v>
      </c>
      <c r="F820" s="40">
        <v>4000</v>
      </c>
      <c r="G820" s="41" t="s">
        <v>2121</v>
      </c>
      <c r="H820" s="41" t="s">
        <v>2122</v>
      </c>
    </row>
    <row r="821" spans="1:8" x14ac:dyDescent="0.3">
      <c r="A821" s="38" t="s">
        <v>44</v>
      </c>
      <c r="B821" s="38" t="s">
        <v>2117</v>
      </c>
      <c r="C821" s="38" t="s">
        <v>46</v>
      </c>
      <c r="D821" s="39" t="s">
        <v>7</v>
      </c>
      <c r="E821" s="39" t="s">
        <v>2157</v>
      </c>
      <c r="F821" s="40">
        <v>1347</v>
      </c>
      <c r="G821" s="41" t="s">
        <v>2124</v>
      </c>
      <c r="H821" s="41" t="s">
        <v>2122</v>
      </c>
    </row>
    <row r="822" spans="1:8" ht="27.6" x14ac:dyDescent="0.3">
      <c r="A822" s="38" t="s">
        <v>44</v>
      </c>
      <c r="B822" s="38" t="s">
        <v>2117</v>
      </c>
      <c r="C822" s="38" t="s">
        <v>46</v>
      </c>
      <c r="D822" s="39" t="s">
        <v>7</v>
      </c>
      <c r="E822" s="39" t="s">
        <v>2172</v>
      </c>
      <c r="F822" s="40">
        <v>13201</v>
      </c>
      <c r="G822" s="41" t="s">
        <v>2126</v>
      </c>
      <c r="H822" s="41" t="s">
        <v>163</v>
      </c>
    </row>
    <row r="823" spans="1:8" ht="41.4" x14ac:dyDescent="0.3">
      <c r="A823" s="38" t="s">
        <v>44</v>
      </c>
      <c r="B823" s="38" t="s">
        <v>2117</v>
      </c>
      <c r="C823" s="38" t="s">
        <v>46</v>
      </c>
      <c r="D823" s="39" t="s">
        <v>7</v>
      </c>
      <c r="E823" s="39" t="s">
        <v>2172</v>
      </c>
      <c r="F823" s="40">
        <v>2700</v>
      </c>
      <c r="G823" s="41" t="s">
        <v>2128</v>
      </c>
      <c r="H823" s="41" t="s">
        <v>163</v>
      </c>
    </row>
    <row r="824" spans="1:8" x14ac:dyDescent="0.3">
      <c r="A824" s="38" t="s">
        <v>44</v>
      </c>
      <c r="B824" s="38" t="s">
        <v>2117</v>
      </c>
      <c r="C824" s="38" t="s">
        <v>46</v>
      </c>
      <c r="D824" s="39" t="s">
        <v>7</v>
      </c>
      <c r="E824" s="39" t="s">
        <v>2188</v>
      </c>
      <c r="F824" s="40">
        <v>19755</v>
      </c>
      <c r="G824" s="41" t="s">
        <v>2130</v>
      </c>
      <c r="H824" s="41" t="s">
        <v>1853</v>
      </c>
    </row>
    <row r="825" spans="1:8" x14ac:dyDescent="0.3">
      <c r="A825" s="38" t="s">
        <v>44</v>
      </c>
      <c r="B825" s="38" t="s">
        <v>2117</v>
      </c>
      <c r="C825" s="38" t="s">
        <v>46</v>
      </c>
      <c r="D825" s="39" t="s">
        <v>7</v>
      </c>
      <c r="E825" s="39" t="s">
        <v>2193</v>
      </c>
      <c r="F825" s="40">
        <v>20212</v>
      </c>
      <c r="G825" s="41" t="s">
        <v>2132</v>
      </c>
      <c r="H825" s="41" t="s">
        <v>211</v>
      </c>
    </row>
    <row r="826" spans="1:8" x14ac:dyDescent="0.3">
      <c r="A826" s="38" t="s">
        <v>44</v>
      </c>
      <c r="B826" s="38" t="s">
        <v>2117</v>
      </c>
      <c r="C826" s="38" t="s">
        <v>46</v>
      </c>
      <c r="D826" s="39" t="s">
        <v>7</v>
      </c>
      <c r="E826" s="39" t="s">
        <v>2193</v>
      </c>
      <c r="F826" s="40">
        <v>19503</v>
      </c>
      <c r="G826" s="41" t="s">
        <v>2134</v>
      </c>
      <c r="H826" s="41" t="s">
        <v>211</v>
      </c>
    </row>
  </sheetData>
  <autoFilter ref="A1:J826" xr:uid="{FBBBBBD4-19CE-4353-A87A-69B97F6AE60D}"/>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1</vt:i4>
      </vt:variant>
    </vt:vector>
  </HeadingPairs>
  <TitlesOfParts>
    <vt:vector size="3" baseType="lpstr">
      <vt:lpstr>工作表1</vt:lpstr>
      <vt:lpstr>業務費</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于欣 趙</cp:lastModifiedBy>
  <cp:lastPrinted>2019-11-27T07:41:44Z</cp:lastPrinted>
  <dcterms:created xsi:type="dcterms:W3CDTF">2019-11-19T07:34:42Z</dcterms:created>
  <dcterms:modified xsi:type="dcterms:W3CDTF">2026-05-29T07:35:42Z</dcterms:modified>
</cp:coreProperties>
</file>