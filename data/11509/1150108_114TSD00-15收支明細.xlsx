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192.168.115.68\小天地\00改質躍升\第二輪(114-115年)躍升二期\第二年\06經費執行與控管\收支明細\"/>
    </mc:Choice>
  </mc:AlternateContent>
  <xr:revisionPtr revIDLastSave="0" documentId="13_ncr:1_{F130BB7A-2D03-42C0-B8D3-E76D0143BA3E}" xr6:coauthVersionLast="47" xr6:coauthVersionMax="47" xr10:uidLastSave="{00000000-0000-0000-0000-000000000000}"/>
  <bookViews>
    <workbookView xWindow="-108" yWindow="-108" windowWidth="23256" windowHeight="12456" activeTab="1" xr2:uid="{4EC6783E-8B01-40B7-860E-F4AD7D070EAA}"/>
  </bookViews>
  <sheets>
    <sheet name="工作表1" sheetId="1" r:id="rId1"/>
    <sheet name="業務費" sheetId="2" r:id="rId2"/>
  </sheets>
  <definedNames>
    <definedName name="_xlnm._FilterDatabase" localSheetId="1" hidden="1">業務費!$A$1:$J$171</definedName>
    <definedName name="_xlnm.Print_Titles" localSheetId="0">工作表1!$15:$15</definedName>
    <definedName name="Slicer_經費用途">#N/A</definedName>
  </definedNames>
  <calcPr calcId="191029"/>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1" l="1"/>
  <c r="H12" i="1"/>
  <c r="I11" i="1"/>
  <c r="H11" i="1"/>
  <c r="L30" i="2"/>
</calcChain>
</file>

<file path=xl/sharedStrings.xml><?xml version="1.0" encoding="utf-8"?>
<sst xmlns="http://schemas.openxmlformats.org/spreadsheetml/2006/main" count="2894" uniqueCount="578">
  <si>
    <t>ACC251</t>
  </si>
  <si>
    <t>國立高雄科技大學</t>
  </si>
  <si>
    <t>計畫收支明細表</t>
  </si>
  <si>
    <t>列印時間:115.01.08-09:10:49</t>
  </si>
  <si>
    <t>計畫代碼</t>
  </si>
  <si>
    <t xml:space="preserve">114TSD00-15    </t>
  </si>
  <si>
    <t>委託單位</t>
  </si>
  <si>
    <t/>
  </si>
  <si>
    <t>計畫編號</t>
  </si>
  <si>
    <t>執行單位</t>
  </si>
  <si>
    <t>SD00 永續發展處</t>
  </si>
  <si>
    <t>計畫名稱</t>
  </si>
  <si>
    <t>系所躍升計畫二期第二年(114/11/1-115/10/31)經費</t>
  </si>
  <si>
    <t>執行日期</t>
  </si>
  <si>
    <t>1140901至1151031</t>
  </si>
  <si>
    <t>主持人</t>
  </si>
  <si>
    <t>經費用途</t>
  </si>
  <si>
    <t>核定金額</t>
  </si>
  <si>
    <t>實支數</t>
  </si>
  <si>
    <t>暫付數</t>
  </si>
  <si>
    <t>核銷簽證</t>
  </si>
  <si>
    <t>暫付簽證</t>
  </si>
  <si>
    <t>請購未銷</t>
  </si>
  <si>
    <t>餘額</t>
  </si>
  <si>
    <t>執行率%</t>
  </si>
  <si>
    <t>BE05躍升計畫業務費</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</si>
  <si>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</si>
  <si>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</si>
  <si>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</si>
  <si>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</si>
  <si>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</si>
  <si>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</si>
  <si>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</si>
  <si>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</si>
  <si>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</si>
  <si>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</si>
  <si>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</si>
  <si>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</si>
  <si>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</si>
  <si>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</si>
  <si>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</si>
  <si>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</si>
  <si>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</si>
  <si>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</si>
  <si>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</si>
  <si>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1141029</t>
  </si>
  <si>
    <t>T302051</t>
  </si>
  <si>
    <t>510301-280501講課鐘點、稿費、出席審查及查詢費</t>
  </si>
  <si>
    <t xml:space="preserve">T114SD020027   </t>
  </si>
  <si>
    <t>114年系所躍升計畫二期修正計畫書及完整計畫書審查費(徐士傑、朱訓鵬、陳明志、周建成、何佳安、李晶、趙時樑)</t>
  </si>
  <si>
    <t>校務大數據分析中心</t>
  </si>
  <si>
    <t>T302052</t>
  </si>
  <si>
    <t xml:space="preserve">T114SD020023   </t>
  </si>
  <si>
    <t>114年系所躍升計畫二期修正計畫書及完整計畫書審查費(陳建雄、吳彰哲、林金源、王世澤、羅文增、張啟隱)</t>
  </si>
  <si>
    <t>T302053</t>
  </si>
  <si>
    <t xml:space="preserve">T114SD020022   </t>
  </si>
  <si>
    <t>114年系所躍升計畫二期修正計畫書及完整計畫書審查費(林建中、李敏鴻、謝昌衛、周信佑、張水鍇、倪貴榮)</t>
  </si>
  <si>
    <t>T302054</t>
  </si>
  <si>
    <t xml:space="preserve">T114SD020021   </t>
  </si>
  <si>
    <t>114年系所躍升計畫二期修正計畫書及完整計畫書審查費(黃宗慧、蘇威傑、林智勇、戚務君、黃泓人)</t>
  </si>
  <si>
    <t>T302058</t>
  </si>
  <si>
    <t xml:space="preserve">T114SD020028   </t>
  </si>
  <si>
    <t>114年系所躍升計畫二期修正計畫書及完整計畫書審查費(楊傳凱、吳政鴻、曾俊儒、林玟廷、王昭文)</t>
  </si>
  <si>
    <t>T302059</t>
  </si>
  <si>
    <t xml:space="preserve">T114SD020026   </t>
  </si>
  <si>
    <t>114年系所躍升計畫二期修正計畫書及完整計畫書審查費(林哲信、楊智斌、李元堯、朱智瑋、陳美燕)</t>
  </si>
  <si>
    <t>T302060</t>
  </si>
  <si>
    <t xml:space="preserve">T114SD020025   </t>
  </si>
  <si>
    <t>114年系所躍升計畫二期修正計畫書及完整計畫書審查費(李宗南、林俊宏、于欽平、辛裕明、林鴻志、陳冠宇)</t>
  </si>
  <si>
    <t>T302061</t>
  </si>
  <si>
    <t xml:space="preserve">T114SD020024   </t>
  </si>
  <si>
    <t>114年系所躍升計畫二期修正計畫書及完整計畫書審查費(馬敏元、張瓊惠、吳基逞、許書瑋、郭炳伸、林昱梅)</t>
  </si>
  <si>
    <t>1141105</t>
  </si>
  <si>
    <t>T302190</t>
  </si>
  <si>
    <t xml:space="preserve">T114SD020029   </t>
  </si>
  <si>
    <t>114年系所躍升計畫二期修正計畫書及完整計畫書審查費(陳重仁、李柏磊、蔡政憲、江康鈺、孫慶成)</t>
  </si>
  <si>
    <t>1141217</t>
  </si>
  <si>
    <t>T207778</t>
  </si>
  <si>
    <t>510301-4302機械及設備租金</t>
  </si>
  <si>
    <t xml:space="preserve">T114UT000205   </t>
  </si>
  <si>
    <t>智商系補助廖奕雯老師基於教學/研究需求雲端算力使用設備租賃運行容器化應用程式支出.※品名:雲端算力設備租賃</t>
  </si>
  <si>
    <t>智慧商務系</t>
  </si>
  <si>
    <t>T207781</t>
  </si>
  <si>
    <t>510301-3201辦公（事務）用品</t>
  </si>
  <si>
    <t xml:space="preserve">T114UP030277   </t>
  </si>
  <si>
    <t>執行計畫用-電腦周邊※品名:隨身硬碟(1TB)、行動固態硬碟(1TB)、雙介面隨身碟(128GB)</t>
  </si>
  <si>
    <t>財務管理系</t>
  </si>
  <si>
    <t>T207782</t>
  </si>
  <si>
    <t xml:space="preserve">T114UP030278   </t>
  </si>
  <si>
    <t>執行計畫用-電腦周邊※品名:HDMI訊號擷取卡、HDMI無線傳輸AB模組、USB3.0網路卡(1G)</t>
  </si>
  <si>
    <t>T207785</t>
  </si>
  <si>
    <t>510301-4402車租</t>
  </si>
  <si>
    <t xml:space="preserve">T114UO030185   </t>
  </si>
  <si>
    <t>躍升計畫-11/26至佳和實業股份有限公司參訪車資(中型巴士2台，高雄-台南來回)※品名:車資</t>
  </si>
  <si>
    <t>供應鏈管理系[楠梓|旗</t>
  </si>
  <si>
    <t>T207790</t>
  </si>
  <si>
    <t>510301-2898其他</t>
  </si>
  <si>
    <t xml:space="preserve">T114UN020161   </t>
  </si>
  <si>
    <t>執行計畫用無線AP WAN.AP LAN端網路線、機櫃線路修改(C228.C364)※品名:無線AP WAN.AP LAN端網路線、無線AP WAN.AP LAN端網路線.機櫃線路修改</t>
  </si>
  <si>
    <t>運籌管理系[第一]</t>
  </si>
  <si>
    <t>1141218</t>
  </si>
  <si>
    <t>T207835</t>
  </si>
  <si>
    <t>510301-3206食品</t>
  </si>
  <si>
    <t xml:space="preserve">T114UV000200   </t>
  </si>
  <si>
    <t>(楠梓-商資系-躍升計畫)2025創新資訊與行動應用競賽誤餐費(114年11月20日8:00-16:00)</t>
  </si>
  <si>
    <t>商務資訊應用系</t>
  </si>
  <si>
    <t xml:space="preserve">T114UV000202   </t>
  </si>
  <si>
    <t>(楠梓-商資系-躍升計畫)辦理計畫活動會議用飲用水(存放系辦公室提供外賓使用)</t>
  </si>
  <si>
    <t>T303200</t>
  </si>
  <si>
    <t xml:space="preserve">T114UV000198   </t>
  </si>
  <si>
    <t>(楠梓-商資系-躍升計畫)2025創新資訊與行動應用競賽審查費(114年11月20日，共3名評審，審查每組625元)</t>
  </si>
  <si>
    <t>1141222</t>
  </si>
  <si>
    <t>T207953</t>
  </si>
  <si>
    <t>510301-2401印刷及裝訂費</t>
  </si>
  <si>
    <t xml:space="preserve">T114UP030283   </t>
  </si>
  <si>
    <t>執行計畫用影印費※品名:影印</t>
  </si>
  <si>
    <t xml:space="preserve">T114UP030284   </t>
  </si>
  <si>
    <t>執行計畫用印刷費※品名:印刷費</t>
  </si>
  <si>
    <t xml:space="preserve">T114UP040218   </t>
  </si>
  <si>
    <t>114.1(燕巢會資系)-實務專題購置文具一批※品名:文具</t>
  </si>
  <si>
    <t>會計資訊系</t>
  </si>
  <si>
    <t>1141223</t>
  </si>
  <si>
    <t>T207967</t>
  </si>
  <si>
    <t>510301-2301國內旅費</t>
  </si>
  <si>
    <t xml:space="preserve">T114UT030152   </t>
  </si>
  <si>
    <t>彭琪祿老師114年11月22日至南投埔里國立暨南大學參加2025年學術研討會</t>
  </si>
  <si>
    <t>財政稅務系</t>
  </si>
  <si>
    <t>1141224</t>
  </si>
  <si>
    <t>T208019</t>
  </si>
  <si>
    <t xml:space="preserve">T114UC450163   </t>
  </si>
  <si>
    <t>鄭智陽老師論文投稿費※品名:論文投稿費、國外交易授權結匯手續費</t>
  </si>
  <si>
    <t>金融資訊系</t>
  </si>
  <si>
    <t xml:space="preserve">T114UC450164   </t>
  </si>
  <si>
    <t>T208020</t>
  </si>
  <si>
    <t xml:space="preserve">T114UO040320   </t>
  </si>
  <si>
    <t>支付【114TSD00-15】The 18th Annual Meeting of Asian Fisheries Acoustics Society 論文刊登費(共2則)※品名:論文刊登費</t>
  </si>
  <si>
    <t>李孟璁</t>
  </si>
  <si>
    <t>T303279</t>
  </si>
  <si>
    <t>510301-2808委託考選訓練費</t>
  </si>
  <si>
    <t xml:space="preserve">T114UQ010240   </t>
  </si>
  <si>
    <t>造船系學生楊峻杰C111186231第47屆海洋工程研討會暨國際能源論壇報名費※品名:第47屆海洋工程研討會報名費</t>
  </si>
  <si>
    <t>造船及海洋工程系</t>
  </si>
  <si>
    <t>510301-720601獎助學員生給與</t>
  </si>
  <si>
    <t xml:space="preserve">T114UO030186   </t>
  </si>
  <si>
    <t>躍升計畫_鼓勵競賽與研討會-研究生蘇琬珆參加2025.11.28 "2025 中國工業工程學會年會暨學術研討會"之投稿註冊費。※品名:註冊費</t>
  </si>
  <si>
    <t xml:space="preserve">T114UO030187   </t>
  </si>
  <si>
    <t>躍升計畫_鼓勵競賽與研討會-研究生許銘凱參加2025.11.28 "2025 中國工業工程學會年會暨學術研討會"之投稿註冊費。※品名:註冊費</t>
  </si>
  <si>
    <t>1141226</t>
  </si>
  <si>
    <t>T208023</t>
  </si>
  <si>
    <t>510301-239801其他旅運費</t>
  </si>
  <si>
    <t xml:space="preserve">T114UP030280   </t>
  </si>
  <si>
    <t>11/18邀請國立交通大學林智勇教授到校演講-交通費</t>
  </si>
  <si>
    <t xml:space="preserve">T114UJ020369   </t>
  </si>
  <si>
    <t>114學年度高科大似鳥國際獎學金甄試面試之餐費。日期:114年12月2日 時間:12:00-13:00 地點:D304。※品名:便當</t>
  </si>
  <si>
    <t>陳佩君</t>
  </si>
  <si>
    <t>T208027</t>
  </si>
  <si>
    <t xml:space="preserve">T114UE230330   </t>
  </si>
  <si>
    <t>電腦教室使用</t>
  </si>
  <si>
    <t>土木系</t>
  </si>
  <si>
    <t>T208066</t>
  </si>
  <si>
    <t xml:space="preserve">T114UO010394   </t>
  </si>
  <si>
    <t>1141205高雄港校外教學參訪車資※品名:車資</t>
  </si>
  <si>
    <t>航運管理系[楠梓|旗津</t>
  </si>
  <si>
    <t>1141227</t>
  </si>
  <si>
    <t>T208138</t>
  </si>
  <si>
    <t>510301-6801行政規費與強制費</t>
  </si>
  <si>
    <t xml:space="preserve">T114UR020361   </t>
  </si>
  <si>
    <t>輪機系_補助慈復明老師發明專利申請_發動機設備之教學教室的安全監控系統。總額7,100元分攤由T114UR020361系上(躍升計畫)補助50%+學校研發處(T114RE000251)補助50%。※品名:專利申請</t>
  </si>
  <si>
    <t>輪機工程系</t>
  </si>
  <si>
    <t>1141229</t>
  </si>
  <si>
    <t>T208219</t>
  </si>
  <si>
    <t xml:space="preserve">T114UC450162   </t>
  </si>
  <si>
    <t>講座講義, 文獻等印刷費※品名:印刷費</t>
  </si>
  <si>
    <t>510301-2810電腦軟體服務費</t>
  </si>
  <si>
    <t xml:space="preserve">T114UC450161   </t>
  </si>
  <si>
    <t>受款人：鄭智陽｜※品名:ChatGPT訂閱(1118-1218)</t>
  </si>
  <si>
    <t>T208230</t>
  </si>
  <si>
    <t xml:space="preserve">T114UV000201   </t>
  </si>
  <si>
    <t>(楠梓-商資系-躍升計畫)2025創新資訊與行動應用競賽行前會議誤餐費(114年11月18日9:00-12:00)</t>
  </si>
  <si>
    <t>T208232</t>
  </si>
  <si>
    <t xml:space="preserve">T114UV000199   </t>
  </si>
  <si>
    <t>(楠梓-商資系-躍升計畫)2025創新資訊與行動應用競賽交通費(日期：114年11月20日)</t>
  </si>
  <si>
    <t>T303327</t>
  </si>
  <si>
    <t xml:space="preserve">T114UC110377   </t>
  </si>
  <si>
    <t>推動躍升計畫執行舉辦專題演講-12/2許郁屏</t>
  </si>
  <si>
    <t>國企系</t>
  </si>
  <si>
    <t xml:space="preserve">T114UC110378   </t>
  </si>
  <si>
    <t>推動躍升計畫執行舉辦專題演講-12/3許郁屏</t>
  </si>
  <si>
    <t xml:space="preserve">T114UC110379   </t>
  </si>
  <si>
    <t>推動躍升計畫執行舉辦專題演講-11/25陳靖紳</t>
  </si>
  <si>
    <t xml:space="preserve">T114UC450160   </t>
  </si>
  <si>
    <t>金資專題講座11/14陳義淵鐘點費</t>
  </si>
  <si>
    <t xml:space="preserve">T114UM760341   </t>
  </si>
  <si>
    <t>付114.12.5觀光系舉辦專題講座，邀請梁詠彥總經理演講智慧旅館科技應用與未來藍圖所需之鐘點費。(地點:MB602 時間:10:00-12:00)</t>
  </si>
  <si>
    <t>觀光系</t>
  </si>
  <si>
    <t xml:space="preserve">T114UP030279   </t>
  </si>
  <si>
    <t>11/18邀請國立交通大學林智勇教授到校演講</t>
  </si>
  <si>
    <t xml:space="preserve">T114UR030230   </t>
  </si>
  <si>
    <t>旗津校區/海資系/海事資訊講座/邀請邵仁中主任演講費(高雄市市立凱旋醫院)(時間:114.12.1 13:30－15:20)(講題:Deep Learning-Based Model for Automated Prediction of Coastal Changes: A Robust Approach to Environmental Forecasting)</t>
  </si>
  <si>
    <t>海事資訊科技系</t>
  </si>
  <si>
    <t>1141230</t>
  </si>
  <si>
    <t>T208308</t>
  </si>
  <si>
    <t>510301-2698其他保險費</t>
  </si>
  <si>
    <t xml:space="preserve">T114UO010390   </t>
  </si>
  <si>
    <t>1141205校外教學參訪保險費實支420元(戴輝煌)※品名:旅行平安險</t>
  </si>
  <si>
    <t xml:space="preserve">T114UO030184   </t>
  </si>
  <si>
    <t>躍升計畫_鼓勵競賽與研討會-黃彥登老師參加2025.11.14-16 "2025 IEEE 7th Eurasia Conference
on IoT, Communication and Engineering (ECICE 2025)研討會"之期刊投稿費，僅核銷5000元。</t>
  </si>
  <si>
    <t>510301-2B01推展費</t>
  </si>
  <si>
    <t xml:space="preserve">T114UN010400   </t>
  </si>
  <si>
    <t>【躍升計畫】廣告宣傳費—系所形象推廣使用※品名:facebook廣告費</t>
  </si>
  <si>
    <t>資訊管理系[第一]</t>
  </si>
  <si>
    <t xml:space="preserve">T114UC450168   </t>
  </si>
  <si>
    <t>謝坤民老師執行計畫用雜支※品名:無線滑鼠</t>
  </si>
  <si>
    <t>T208311</t>
  </si>
  <si>
    <t xml:space="preserve">T114UO010389   </t>
  </si>
  <si>
    <t>(併案B114021644+E114021336)教師投稿國際期刊論文出版費(含編修及審查)(楊鈺池)※品名:出版費</t>
  </si>
  <si>
    <t>T208315</t>
  </si>
  <si>
    <t xml:space="preserve">T114UR010214   </t>
  </si>
  <si>
    <t>海事公證實務論壇會議用布條(課程及研究座談會)※品名:紅布條</t>
  </si>
  <si>
    <t>航運技術系</t>
  </si>
  <si>
    <t xml:space="preserve">T114UC450170   </t>
  </si>
  <si>
    <t>購置AI軟體以利學習與研究(1118-1218)※品名:ChatGPT訂閱(1118-1218)</t>
  </si>
  <si>
    <t>T208316</t>
  </si>
  <si>
    <t xml:space="preserve">T114UC450169   </t>
  </si>
  <si>
    <t>鄭智陽老師115.12.5出席2025統一證券校園股神模擬交易爭霸賽頒獎典禮</t>
  </si>
  <si>
    <t xml:space="preserve">T114UJ020381   </t>
  </si>
  <si>
    <t>【躍升】補助應日系教師王天保參加2025年度台灣日本語教育研究國際學術研討會之交通費。高鐵:台南-台北當日來回，1350*2(趟)=2700</t>
  </si>
  <si>
    <t>外語學院應用日語系</t>
  </si>
  <si>
    <t xml:space="preserve">T114UJ010547   </t>
  </si>
  <si>
    <t>114躍升計畫支應黃芯翎發表論文交通費(11/8)</t>
  </si>
  <si>
    <t>外語學院應用英語系</t>
  </si>
  <si>
    <t xml:space="preserve">T114UJ010549   </t>
  </si>
  <si>
    <t>114躍升計畫支應黃綵緣發表論文交通費(11/8)</t>
  </si>
  <si>
    <t xml:space="preserve">T114UJ010551   </t>
  </si>
  <si>
    <t>114躍升計畫支應蘇辰軒發表論文交通費(11/29)</t>
  </si>
  <si>
    <t xml:space="preserve">T114UJ010559   </t>
  </si>
  <si>
    <t>114躍升計畫支應石鈞富發表論文交通費(11/6、11/8)</t>
  </si>
  <si>
    <t>T303367</t>
  </si>
  <si>
    <t>510301-271315工讀金</t>
  </si>
  <si>
    <t xml:space="preserve">T114UE150364   </t>
  </si>
  <si>
    <t>幫助系上處理相關事務</t>
  </si>
  <si>
    <t>張雲龍</t>
  </si>
  <si>
    <t>1141231</t>
  </si>
  <si>
    <t>T208364</t>
  </si>
  <si>
    <t xml:space="preserve">T114UV000209   </t>
  </si>
  <si>
    <t>(楠梓-商資系-躍升計畫)補助學生2025第30屆大專校院資訊應用服務創新競賽-交通費實支4,415元(組別：即現空間 InstaSpace，林妏蕙、陳震鈞、賴宛葇)</t>
  </si>
  <si>
    <t xml:space="preserve">T114UV000210   </t>
  </si>
  <si>
    <t>(楠梓-商資系-躍升計畫)補助學生2025第30屆大專校院資訊應用服務創新競賽-交通費實支5,960元
(組別：地理位置即身份：結合多維度情境的多層次行動驗證機制：陳威廷、鄭翰陽、沈睿宇、張台珩)</t>
  </si>
  <si>
    <t>T208366</t>
  </si>
  <si>
    <t>510301-2201郵費</t>
  </si>
  <si>
    <t xml:space="preserve">T114UJ020382   </t>
  </si>
  <si>
    <t>用於寄送日本平成國際大學申請碩士雙聯學位之郵寄費用(陳姵瑜)。※品名:郵資</t>
  </si>
  <si>
    <t xml:space="preserve">T114UN020164   </t>
  </si>
  <si>
    <t>執行計畫用記憶卡128G(王亮云老師)※品名:記憶卡</t>
  </si>
  <si>
    <t xml:space="preserve">T114UJ010546   </t>
  </si>
  <si>
    <t>114 躍升計畫支應鄧博元參加2025教育創新研討會論文發表註冊費(11/22)※品名:註冊費</t>
  </si>
  <si>
    <t xml:space="preserve">T114UJ010552   </t>
  </si>
  <si>
    <t>114躍升計畫支應蘇辰軒參加研討會發表論文註冊費(11/29)※品名:註冊費</t>
  </si>
  <si>
    <t>T208367</t>
  </si>
  <si>
    <t xml:space="preserve">T114UC110380   </t>
  </si>
  <si>
    <t>推動躍升計畫執行舉辦專題演講交通費-11/25陳靖紳</t>
  </si>
  <si>
    <t xml:space="preserve">T114UC110396   </t>
  </si>
  <si>
    <t>推動躍升計畫執行舉辦專題演講交通費-11/26劉芊翊</t>
  </si>
  <si>
    <t xml:space="preserve">T114UV000207   </t>
  </si>
  <si>
    <t>(楠梓-商資系-躍升計畫)補助學生2025第30屆大專校院資訊應用服務創新競賽-交通費實支2465元(組別：報告老闆，報關不用加班了!採用人工智慧驅動的辨識系統實現報關自動化，胡晴茵)</t>
  </si>
  <si>
    <t xml:space="preserve">T114UV000208   </t>
  </si>
  <si>
    <t>(楠梓-商資系-躍升計畫)補助學生2025第30屆大專校院資訊應用服務創新競賽-交通費實支4,470元(組別：泉心泉憶創商機：許文憶、郭彥廷、蘇湘貽)</t>
  </si>
  <si>
    <t xml:space="preserve">T114UV000214   </t>
  </si>
  <si>
    <t>(楠梓-商資系-躍升計畫)補助碩士班蕭暉霖學生2025第18屆智慧×永續暨台灣數位媒體設計國際研討會註冊費及交通費1,816元</t>
  </si>
  <si>
    <t>T208369</t>
  </si>
  <si>
    <t xml:space="preserve">T114UM760343   </t>
  </si>
  <si>
    <t>付觀光系-陳美存老師配合躍升計畫AI教學工作坊所需之ChatGPT Plus Subscription費用。(核銷期間114年11月、114年12月)。※品名:ChatGPT Plus Subscription○○○</t>
  </si>
  <si>
    <t>T208448</t>
  </si>
  <si>
    <t xml:space="preserve">T114UR010205   </t>
  </si>
  <si>
    <t>系所躍升計畫-航技系陳永昇老師發表論文潤稿費114.11.20※品名:論文潤稿費</t>
  </si>
  <si>
    <t>T208461</t>
  </si>
  <si>
    <t xml:space="preserve">T114UR020363   </t>
  </si>
  <si>
    <t>輪機系_補助林俊銘老師發明專利申請_膠帶檢測與排異機構，總額35,000元，躍升計畫只補助發明專利50%，故為17500元。※品名:專利申請</t>
  </si>
  <si>
    <t>T208494</t>
  </si>
  <si>
    <t xml:space="preserve">T114UE150351   </t>
  </si>
  <si>
    <t>3C產品(電腦螢幕)躍升計畫※品名:【BenQ】EW2790U 27型 護眼螢幕(HDMI/Type-C)</t>
  </si>
  <si>
    <t>陳俊豪</t>
  </si>
  <si>
    <t>T208513</t>
  </si>
  <si>
    <t xml:space="preserve">T114UM760348   </t>
  </si>
  <si>
    <t>付觀光系配合躍升計畫舉辦2025高科盃遊程設計競賽(全國性)比賽所需之搭建舞台背板費用。※品名:舞台背板</t>
  </si>
  <si>
    <t xml:space="preserve">T114UM740208   </t>
  </si>
  <si>
    <t>配合躍升計畫執行, 系上於114.12.17舉辦2025高科大企業管理系實務專題成果發表暨競賽,  系內師長及工作人員, 校外評審委員及發表人之便當※品名:便當</t>
  </si>
  <si>
    <t>企管系</t>
  </si>
  <si>
    <t xml:space="preserve">T114UR030242   </t>
  </si>
  <si>
    <t>旗津校區/海資系/1141216(12:10~13:00)召開執行計畫會議之誤餐費，共10人。※品名:便當</t>
  </si>
  <si>
    <t xml:space="preserve">T114UM760342   </t>
  </si>
  <si>
    <t>付114.11.30觀光系-黃永全老師帶學生至潮州地方創生校外參訪所需之交通費用。※品名:車資</t>
  </si>
  <si>
    <t>T208570</t>
  </si>
  <si>
    <t xml:space="preserve">T114UO040329   </t>
  </si>
  <si>
    <t>教師社群活動帆布條※品名:活動帆布條</t>
  </si>
  <si>
    <t>海洋休閒管理系[楠梓|</t>
  </si>
  <si>
    <t xml:space="preserve">T114UQ010247   </t>
  </si>
  <si>
    <t>受款人：黃思詞、睿朱數位電商股份有限公司，國科會、海委會、專題經驗交流會海報※品名:海報、彩色影印費</t>
  </si>
  <si>
    <t xml:space="preserve">T114UO030183   </t>
  </si>
  <si>
    <t>11/26至佳和實業股份有限公司參訪之保險費(被保險人共54人)</t>
  </si>
  <si>
    <t>T208572</t>
  </si>
  <si>
    <t xml:space="preserve">T114UR020371   </t>
  </si>
  <si>
    <t>輪機系_補助孫建中老師國際SCI論文刊登(論文發表)費用。總額26,993元分攤由T114UR020371系上(躍升計畫)補助60%($16,196)+國科會計畫(T114RE000251)($10,797)。※品名:SCI論文刊登費用</t>
  </si>
  <si>
    <t>T208587</t>
  </si>
  <si>
    <t xml:space="preserve">T114UB000489   </t>
  </si>
  <si>
    <t>學生參加專題競賽/論文發表耗材、報名費※品名:A0大圖、海報、報名費</t>
  </si>
  <si>
    <t>半導體工程系</t>
  </si>
  <si>
    <t>:</t>
  </si>
  <si>
    <t xml:space="preserve">T114UO030200   </t>
  </si>
  <si>
    <t>躍升計畫_供應鏈空間及研究室空間改善費-系所空間線路檢修及配線作業※品名:配線工程</t>
  </si>
  <si>
    <t xml:space="preserve">T114UN010408   </t>
  </si>
  <si>
    <t>【躍升計畫】廣告宣傳費—系所形象推廣使用※品名:google廣告費</t>
  </si>
  <si>
    <t xml:space="preserve">T114UM740209   </t>
  </si>
  <si>
    <t>114.12.22中午12:00-13:30舉辦學期實習(一)期末報告與會人員便當※品名:便當</t>
  </si>
  <si>
    <t xml:space="preserve">T114UN010410   </t>
  </si>
  <si>
    <t>【躍升計畫】第30屆國際資訊管理暨實務研討會(IMP2025)註冊費補助(蔡明智)-實支※品名:註冊費</t>
  </si>
  <si>
    <t xml:space="preserve">T114UT030165   </t>
  </si>
  <si>
    <t>財稅系補助學生施永泰參加中華民國住宅學會舉辦研討會1場註冊費及交通費114.11.22※品名:年會及研討會費用、交通費</t>
  </si>
  <si>
    <t>T208588</t>
  </si>
  <si>
    <t xml:space="preserve">T114UM740207   </t>
  </si>
  <si>
    <t>配合執行躍升計畫, 114.12.13 18:30-20:20高階經營專題研討課程, 邀請鼎玉家族辦公室林群貿執行長蒞校演講, 台中-高雄高鐵來回</t>
  </si>
  <si>
    <t xml:space="preserve">T114UN010404   </t>
  </si>
  <si>
    <t>【躍升計畫】交通費王淳恆114/12/17(三)13:30-15:20</t>
  </si>
  <si>
    <t xml:space="preserve">T114UN020165   </t>
  </si>
  <si>
    <t>執行計畫用藍芽鍵盤、固態硬碟(郭幸民老師)※品名:電腦周邊用品</t>
  </si>
  <si>
    <t>T208647</t>
  </si>
  <si>
    <t>510301-3203農業與園藝用品及環境美化費</t>
  </si>
  <si>
    <t xml:space="preserve">T114UO030201   </t>
  </si>
  <si>
    <t>躍升計畫_供應鏈空間及研究室空間改善費-製作系上所屬空間標示牌※品名:壓克力標示牌</t>
  </si>
  <si>
    <t>T208700</t>
  </si>
  <si>
    <t xml:space="preserve">T114UJ020391   </t>
  </si>
  <si>
    <t>【躍升】補助應日系教師江俊賢參加2025年度台灣日本語文學會國際研討會之交通費。高鐵:新左營-彰化，670*2=1340，火車:員林至台中，自強110元;台中至員林，區間71元。共1521元。12月11日提早北上準備資料。</t>
  </si>
  <si>
    <t xml:space="preserve">T114UT030168   </t>
  </si>
  <si>
    <t>財稅系姚名鴻老師參加「中華財政學會2025年會員大會暨學術研討會」交通費及膳雜費</t>
  </si>
  <si>
    <t xml:space="preserve">T114UB000478   </t>
  </si>
  <si>
    <t>學生至聖約翰科技大學參加資電技術應用暨永續環境研討會交通費</t>
  </si>
  <si>
    <t xml:space="preserve">T114UB000480   </t>
  </si>
  <si>
    <t>學生至彰化師範大學參加2025全國大專院校產學創新實作競賽交通費</t>
  </si>
  <si>
    <t xml:space="preserve">T114UB000482   </t>
  </si>
  <si>
    <t>學生至國立台灣科技大學參加OPTIC 2025研討會交通費</t>
  </si>
  <si>
    <t>T208723</t>
  </si>
  <si>
    <t xml:space="preserve">T114UE150375   </t>
  </si>
  <si>
    <t>用於研究文獻整理、資料分析、研究設計輔助與內容撰寫，提高研究效率與品質。※品名:AI LLM 語言模型訂閱費</t>
  </si>
  <si>
    <t>林威成</t>
  </si>
  <si>
    <t>T208725</t>
  </si>
  <si>
    <t xml:space="preserve">T114UB000477   </t>
  </si>
  <si>
    <t>學生至花蓮慈濟大學參加TSBME 2025研討會交通費</t>
  </si>
  <si>
    <t xml:space="preserve">T114UB000479   </t>
  </si>
  <si>
    <t xml:space="preserve">T114UB000481   </t>
  </si>
  <si>
    <t>學生至彰化師範大學參加2025全國大專院校產學創新實作競賽交通費、住宿費</t>
  </si>
  <si>
    <t xml:space="preserve">T114UB000485   </t>
  </si>
  <si>
    <t>510301-720602獎助學員生給與-國外旅費</t>
  </si>
  <si>
    <t xml:space="preserve">T114UE230362   </t>
  </si>
  <si>
    <t>補助王譯賢同學參加國外研討會</t>
  </si>
  <si>
    <t>T208747</t>
  </si>
  <si>
    <t xml:space="preserve">T114UT000217   </t>
  </si>
  <si>
    <t>智商系補助謝文川老師投稿IMP 2025第30屆國際資訊管理暨實務研討會暨育秀AI數位科技研創論文獎審核通過論文發表(114.12.20)註冊費支出※品名:研討會論文註冊費</t>
  </si>
  <si>
    <t xml:space="preserve">T114UT000218   </t>
  </si>
  <si>
    <t>智商系補助侯易佑老師投稿IMP 2025第30屆國際資訊管理暨實務研討會暨育秀AI數位科技研創論文獎審核通過論文發表(114.12.20)註冊費支出※品名:研討會論文註冊費</t>
  </si>
  <si>
    <t xml:space="preserve">T114UN020168   </t>
  </si>
  <si>
    <t>執行計畫用碳粉匣(陳珍珍老師)※品名:碳粉匣</t>
  </si>
  <si>
    <t xml:space="preserve">T114UT000220   </t>
  </si>
  <si>
    <t>智商系補助侯易佑老師為教學/研究所需採購資料儲存用品支出※品名:隨身碟、外接硬碟</t>
  </si>
  <si>
    <t xml:space="preserve">T114UR030247   </t>
  </si>
  <si>
    <t>旗津校區/海資系/1141223(11:30~12:45)召開執行計畫會議之誤餐費，共3人。※品名:便當、素食</t>
  </si>
  <si>
    <t>T208814</t>
  </si>
  <si>
    <t xml:space="preserve">T114UJ020406   </t>
  </si>
  <si>
    <t>用於推動系所躍升計畫之寄送似鳥國際獎學金資料之郵資費用。※品名:郵資</t>
  </si>
  <si>
    <t xml:space="preserve">T114UJ020405   </t>
  </si>
  <si>
    <t>影印費（研究資料學生專題討論資料）※品名:影印</t>
  </si>
  <si>
    <t>小堀和彥</t>
  </si>
  <si>
    <t>510301-3102物料</t>
  </si>
  <si>
    <t xml:space="preserve">T114UQ010250   </t>
  </si>
  <si>
    <t>受款人：葉鎧均，碩士班實習實驗材料費※品名:氣泡布4尺*100Y、稅金</t>
  </si>
  <si>
    <t>T208824</t>
  </si>
  <si>
    <t xml:space="preserve">T114UT030171   </t>
  </si>
  <si>
    <t>姚名鴻老師教學研究使用※品名:商品如明細所示</t>
  </si>
  <si>
    <t>T208847</t>
  </si>
  <si>
    <t>510301-2507什項設備修護費</t>
  </si>
  <si>
    <t xml:space="preserve">T114US190352   </t>
  </si>
  <si>
    <t>漁管系改質躍升計畫之英才樓9004室冷氣拆除及搬運費(5010106-03 2002552、2002553)※品名:冷氣機拆裝機</t>
  </si>
  <si>
    <t>漁業科技與管理系</t>
  </si>
  <si>
    <t>T208855</t>
  </si>
  <si>
    <t xml:space="preserve">T114UF080243   </t>
  </si>
  <si>
    <t>工設系補助學生至國外發表論文所需註冊費(鄭詠之)</t>
  </si>
  <si>
    <t>工業設計系</t>
  </si>
  <si>
    <t>T208903</t>
  </si>
  <si>
    <t xml:space="preserve">T114UC110414   </t>
  </si>
  <si>
    <t>辦理114-1進修部專題發表※品名:餐盒</t>
  </si>
  <si>
    <t>510301-3106設備零件</t>
  </si>
  <si>
    <t xml:space="preserve">T114UB000504   </t>
  </si>
  <si>
    <t>學生參加專題競賽實驗耗材※品名:傳感器、繼電器</t>
  </si>
  <si>
    <t>T208904</t>
  </si>
  <si>
    <t xml:space="preserve">T114UQ010259   </t>
  </si>
  <si>
    <t>114年12月31日離岸海事工程導論師生校外參訪保險※品名:114年12月31日保險費</t>
  </si>
  <si>
    <t xml:space="preserve">T114UQ010256   </t>
  </si>
  <si>
    <t>大專生申請學海展翅計畫、赴外交換生交流會 時間:114年12月30日 中午12:00~13:30，共35人※品名:便當</t>
  </si>
  <si>
    <t xml:space="preserve">T114UQ010257   </t>
  </si>
  <si>
    <t>造船系專業簡報期末技術論壇籌備與發表會 時間:114年12月23日 中午12:00~16:30，共30人(30*120=3600，實支3600元)※品名:會議點心、飲料(實支600元)</t>
  </si>
  <si>
    <t xml:space="preserve">T114UQ010258   </t>
  </si>
  <si>
    <t>造船系專業簡報期末技術論壇籌備與發表會 時間:114年12月30日 中午12:00~16:30，共30人(30*120=3600元)※品名:西點、飲料</t>
  </si>
  <si>
    <t xml:space="preserve">T114UN010411   </t>
  </si>
  <si>
    <t>【躍升計畫】補助學生參加第30屆國際資訊管理暨實務研討會(IMP2025)發表論文(蔡明智)-去程台鐵自強號新左營站-桃園站(提前一天前往)；回程高鐵臺北站-新左營站(延後一天回來)，高鐵僅補助桃園站-新左營站票價1330元-實支</t>
  </si>
  <si>
    <t>T208914</t>
  </si>
  <si>
    <t xml:space="preserve">T114UJ020384   </t>
  </si>
  <si>
    <t>【躍升】補助應日系教師長安靜美參加2025年度台灣日語教育研究國際學術研討會發表之交通費。高鐵:台南-台北來回，1350*2(趟)=2700。11月28日提早至台北準備發表資料。</t>
  </si>
  <si>
    <t xml:space="preserve">T114UJ020399   </t>
  </si>
  <si>
    <t>【躍升】補助應日系教師林蕙美參加2025年度台灣日本語文學會國際學術研討會之交通費。高鐵:左營-台中當日來回，790*2(趟)=1580</t>
  </si>
  <si>
    <t xml:space="preserve">T114UT000219   </t>
  </si>
  <si>
    <t>智商系補助侯易佑老師114/12/20出席IMP2025第30屆國際資訊管理暨實務研討會暨育秀AI數位科技研創論文獎發表論文差旅費核支</t>
  </si>
  <si>
    <t xml:space="preserve">T114UP040229   </t>
  </si>
  <si>
    <t>114.1(燕巢會資系)-四會資二乙陳姿霖等學生參加會計菁英達人賽交通費</t>
  </si>
  <si>
    <t xml:space="preserve">T114UP040238   </t>
  </si>
  <si>
    <t>114.1(燕巢會資系)-四會資二甲陳可庭等學生參加會計菁英達人賽交通費</t>
  </si>
  <si>
    <t xml:space="preserve">T114UT000224   </t>
  </si>
  <si>
    <t>智商系補助侯易佑老師所指導大專生陳文俊114/12/20出席IMP2025第30屆國際資訊管理暨實務研討會暨育秀AI數位科技研創論文獎發表論文交通差旅核支</t>
  </si>
  <si>
    <t>T208916</t>
  </si>
  <si>
    <t xml:space="preserve">T114UT030170   </t>
  </si>
  <si>
    <t>財稅系姚名鴻老師教學教材製作用訂閱ChatGPT Plus Subscription軟體使用費114年11月份※品名:軟體使用費</t>
  </si>
  <si>
    <t xml:space="preserve">T114UV000211   </t>
  </si>
  <si>
    <t>(楠梓-商資系-躍升計畫)補助學生2025全國資訊管理前瞻技術研討會暨專題競賽-交通費實支7465元(組別：Catch theBoat-基於 GPS 與方位的船隻辨識系統：簡偉峻、簡志恩、蔡秉儒)</t>
  </si>
  <si>
    <t>T303394</t>
  </si>
  <si>
    <t xml:space="preserve">T114UM740203   </t>
  </si>
  <si>
    <t>配合執行躍升計畫, 114.11.29 13:30-15:30策略管理專題研討課程, 邀請知所全球資本有限公司吳東翰董事長蒞校演講</t>
  </si>
  <si>
    <t xml:space="preserve">T114UM760336   </t>
  </si>
  <si>
    <t>付114.11.30觀光系-黃永全老師帶四觀二甲學生專題製作至潮洲鐵道園區校外參訪邀請林士賢講師導覽鐵道文化所需之鐘點費。(時間：13:00-16:00)</t>
  </si>
  <si>
    <t xml:space="preserve">T114UN010398   </t>
  </si>
  <si>
    <t>【躍升計畫】講座鐘點費劉哲宇114/12/10(三)13:30-15:20</t>
  </si>
  <si>
    <t xml:space="preserve">T114UR020362   </t>
  </si>
  <si>
    <t>輪機系_補助楊春陵老師發明專利申請_筆記型手提電腦外接式強制對流冷卻系統。總額9,100元分攤由T114UR020362系上(躍升計畫114TSD00-15)補助50%+系上經常門(楊春陵)補助50%。※品名:專利申請</t>
  </si>
  <si>
    <t>T303395</t>
  </si>
  <si>
    <t xml:space="preserve">T114UC110376   </t>
  </si>
  <si>
    <t>推動躍升計畫執行舉辦專題演講-11/26劉芊翊</t>
  </si>
  <si>
    <t xml:space="preserve">T114UM740204   </t>
  </si>
  <si>
    <t>配合執行躍升計畫, 114.12.09, 13:30-15:20 邀請中鋼公司鋼鐵研究發展處方俊仁研究員蒞校演講</t>
  </si>
  <si>
    <t xml:space="preserve">T114UN010403   </t>
  </si>
  <si>
    <t>【躍升計畫】講座鐘點費王淳恆114/12/17(三)13:30-15:20</t>
  </si>
  <si>
    <t xml:space="preserve">T114UR030238   </t>
  </si>
  <si>
    <t>旗津校區/海資系/海事資訊講座/邀請朱正傑經理演講費(正家資訊有限公司)(時間:114.12.8 13:30－15:20)(講題:畢業生職場分享-資訊業)</t>
  </si>
  <si>
    <t xml:space="preserve">T114UR030241   </t>
  </si>
  <si>
    <t>旗津校區/海資系/海事資訊講座/邀請林俊男副教授演講費(國立高雄餐旅大學)(時間:114.12.15 13:30－15:20)(講題:AI時代的生存指南-你應該要知道的AI發展趨勢)</t>
  </si>
  <si>
    <t xml:space="preserve">T114UR030243   </t>
  </si>
  <si>
    <t>旗津校區/海資系/邀請崔建國委員(慈幼工商資訊科主任)，出席海資系學生職場實習委員會會議出席費(時間：114.12.16 中午12:10)</t>
  </si>
  <si>
    <t xml:space="preserve">T114UR030244   </t>
  </si>
  <si>
    <t>旗津校區/海資系/邀請鄭慶章委員(仲鋐科技股份有限公司總經理)，出席海資系學生職場實習委員會會議出席費(時間：114.12.16 中午12:10)</t>
  </si>
  <si>
    <t xml:space="preserve">T114US190344   </t>
  </si>
  <si>
    <t>漁管系碩專班課程講座鐘點費(王茂城講題：漁業未來施政方向，時間：09:00~12:00)</t>
  </si>
  <si>
    <t>T303400</t>
  </si>
  <si>
    <t xml:space="preserve">T114UN040403   </t>
  </si>
  <si>
    <t>114年12月何銘儀工讀金</t>
  </si>
  <si>
    <t>歐宗殷</t>
  </si>
  <si>
    <t>T303401</t>
  </si>
  <si>
    <t xml:space="preserve">T114UN040387   </t>
  </si>
  <si>
    <t>114年11月何銘儀工讀金</t>
  </si>
  <si>
    <t>T303442</t>
  </si>
  <si>
    <t xml:space="preserve">T114UM740202   </t>
  </si>
  <si>
    <t>配合執行躍升計畫, 114.12.04 13:30-15:20企業實務專題研討課程, 邀請聯碩能源(股)公司周裕展董事長蒞校演講, 共2節課, 每節2000元</t>
  </si>
  <si>
    <t xml:space="preserve">T114UP030287   </t>
  </si>
  <si>
    <t>12/13邀請銘宇地政事務所凌明雲所長到校演講</t>
  </si>
  <si>
    <t xml:space="preserve">T114UP030288   </t>
  </si>
  <si>
    <t>11/19金融科技與學術研究諮詢費-王昭文教授</t>
  </si>
  <si>
    <t>T303450</t>
  </si>
  <si>
    <t xml:space="preserve">T114UJ010586   </t>
  </si>
  <si>
    <t>莊雅雁工讀金(114年12月)</t>
  </si>
  <si>
    <t>T303451</t>
  </si>
  <si>
    <t xml:space="preserve">T114UJ010592   </t>
  </si>
  <si>
    <t>陳翊欣躍升計畫工讀金(114年12月)</t>
  </si>
  <si>
    <t>T303470</t>
  </si>
  <si>
    <t xml:space="preserve">T114UJ010578   </t>
  </si>
  <si>
    <t>張詩涵工讀金(114年12月)</t>
  </si>
  <si>
    <t>T303483</t>
  </si>
  <si>
    <t xml:space="preserve">T114UJ010583   </t>
  </si>
  <si>
    <t>林亞岑工讀金(114年12月)</t>
  </si>
  <si>
    <t>T303490</t>
  </si>
  <si>
    <t xml:space="preserve">T114UJ010548   </t>
  </si>
  <si>
    <t>114躍升計畫支應黃綵緣參加研討會發表論文註冊費(11/8)※品名:註冊費</t>
  </si>
  <si>
    <t xml:space="preserve">T114UJ010558   </t>
  </si>
  <si>
    <t>114躍升計畫支應石鈞富參加研討會發表論文註冊費(11/7)※品名:註冊費</t>
  </si>
  <si>
    <t>T303491</t>
  </si>
  <si>
    <t xml:space="preserve">T114UO030199   </t>
  </si>
  <si>
    <t>系上就業講座課程邀請高雄餐旅大學陳麗光前來演講(日期:114年12月16日，時間:13:30~15:20)</t>
  </si>
  <si>
    <t xml:space="preserve">T114UR030246   </t>
  </si>
  <si>
    <t>旗津校區/海資系/海事資訊講座/邀請羅友志先生演講費(神樂企晝/資訊譯術師)(時間:114.12.22 13:30－15:20)(講題:接案經驗分享)</t>
  </si>
  <si>
    <t>T303497</t>
  </si>
  <si>
    <t xml:space="preserve">T114UT000222   </t>
  </si>
  <si>
    <t>智商系建工系辦114年12月協助交辦工作辦理臨時人力工讀費核支(方以撒等1人)</t>
  </si>
  <si>
    <t>T303498</t>
  </si>
  <si>
    <t xml:space="preserve">T114UM740205   </t>
  </si>
  <si>
    <t>配合躍升計畫執行, 系上於114.12.17舉辦2025高科大企業管理系實務專題成果發表暨競賽, 校外評審委員書面審查各組專題之審查費</t>
  </si>
  <si>
    <t>T303499</t>
  </si>
  <si>
    <t xml:space="preserve">T114UE150390   </t>
  </si>
  <si>
    <t>協助系上處理事務</t>
  </si>
  <si>
    <t>T303500</t>
  </si>
  <si>
    <t xml:space="preserve">T114UE150389   </t>
  </si>
  <si>
    <t>T303501</t>
  </si>
  <si>
    <t xml:space="preserve">T114UE150388   </t>
  </si>
  <si>
    <t>T303502</t>
  </si>
  <si>
    <t xml:space="preserve">T114UE150387   </t>
  </si>
  <si>
    <t>T303503</t>
  </si>
  <si>
    <t xml:space="preserve">T114UE150386   </t>
  </si>
  <si>
    <t>T303551</t>
  </si>
  <si>
    <t xml:space="preserve">T114UO030203   </t>
  </si>
  <si>
    <t>躍升計畫_協助系上辦理各項活動之工讀生(劉芊逸)</t>
  </si>
  <si>
    <t xml:space="preserve">T114UM740206   </t>
  </si>
  <si>
    <t>配合躍升計畫執行, 114.12.13 18:30-20:20高階經營專題研討課程, 邀請鼎玉家族辦公室林群貿執行長蒞校演講, 共2節課, 每節2,000元</t>
  </si>
  <si>
    <t xml:space="preserve">T114UM740210   </t>
  </si>
  <si>
    <t>配合執行躍升計畫, 114.12.23 13:30-15:20企業實務專題研討課程邀請ㄓㄨㄥˋ社會企業林崇偉創辦人兼執行長蒞校演講, 共2節課, 每節2000元</t>
  </si>
  <si>
    <t xml:space="preserve">T114UO030213   </t>
  </si>
  <si>
    <t>114年12月24日 13:45-14:45系周會邀請羅心汝演講之鐘點費，主題:從台灣到歐洲 交換學生經驗分享，地點:學生活動中心音樂廳</t>
  </si>
  <si>
    <t xml:space="preserve">T114UO030215   </t>
  </si>
  <si>
    <t>系上就業講座課程邀請畢業校友王建華前來演講，主題:電商(蝦皮)物流作業座談(日期:114年12月26日，時間:13:30~15:20)</t>
  </si>
  <si>
    <t xml:space="preserve">T114UO040331   </t>
  </si>
  <si>
    <t>支付[教師成長社群]-陳加錞專題演講講師鐘點費
主題：全港通航業-新臺馬輪
時間：114年12月18日15：00至17：00</t>
  </si>
  <si>
    <t>T303553</t>
  </si>
  <si>
    <t xml:space="preserve">T114UP030301   </t>
  </si>
  <si>
    <t>11/25財務與投資操作應用諮詢費-林崇德工程師</t>
  </si>
  <si>
    <t xml:space="preserve">T114UP030302   </t>
  </si>
  <si>
    <t>12/23機器學習於股票走勢預測之應用諮詢-林崇德工程師</t>
  </si>
  <si>
    <t>T303554</t>
  </si>
  <si>
    <t xml:space="preserve">T114UR030248   </t>
  </si>
  <si>
    <t>旗津校區/海資系/海事資訊講座/邀請鄭伊庭經理演講費(秀威出版社)(時間:114.12.29 13:30－15:20)(講題:AI衝擊下出版產業的發展)</t>
  </si>
  <si>
    <t xml:space="preserve">預算:20,100,000,實支:1,360,934,簽證數:0,請購未銷:0,暫付:0,暫收:0,餘額:18,739,066 </t>
  </si>
  <si>
    <t>成批暫付</t>
  </si>
  <si>
    <t xml:space="preserve">預算:0,實支:0,簽證數:0,請購未銷:0,暫付:0,暫收:0,餘額: </t>
  </si>
  <si>
    <t>系所</t>
    <phoneticPr fontId="5" type="noConversion"/>
  </si>
  <si>
    <t>IR</t>
  </si>
  <si>
    <t>IR</t>
    <phoneticPr fontId="5" type="noConversion"/>
  </si>
  <si>
    <t>半導體系</t>
  </si>
  <si>
    <t>半導體系</t>
    <phoneticPr fontId="5" type="noConversion"/>
  </si>
  <si>
    <t>國企系</t>
    <phoneticPr fontId="5" type="noConversion"/>
  </si>
  <si>
    <t>金資系</t>
  </si>
  <si>
    <t>金資系</t>
    <phoneticPr fontId="5" type="noConversion"/>
  </si>
  <si>
    <t>資工系</t>
  </si>
  <si>
    <t>資工系</t>
    <phoneticPr fontId="5" type="noConversion"/>
  </si>
  <si>
    <t>土木系</t>
    <phoneticPr fontId="5" type="noConversion"/>
  </si>
  <si>
    <t>工設系</t>
  </si>
  <si>
    <t>工設系</t>
    <phoneticPr fontId="5" type="noConversion"/>
  </si>
  <si>
    <t>應英系</t>
  </si>
  <si>
    <t>應英系</t>
    <phoneticPr fontId="5" type="noConversion"/>
  </si>
  <si>
    <t>應日系</t>
  </si>
  <si>
    <t>應日系</t>
    <phoneticPr fontId="5" type="noConversion"/>
  </si>
  <si>
    <t>企管系</t>
    <phoneticPr fontId="5" type="noConversion"/>
  </si>
  <si>
    <t>觀光系</t>
    <phoneticPr fontId="5" type="noConversion"/>
  </si>
  <si>
    <t>資管系</t>
  </si>
  <si>
    <t>資管系</t>
    <phoneticPr fontId="5" type="noConversion"/>
  </si>
  <si>
    <t>運籌系</t>
  </si>
  <si>
    <t>運籌系</t>
    <phoneticPr fontId="5" type="noConversion"/>
  </si>
  <si>
    <t>行銷系</t>
  </si>
  <si>
    <t>行銷系</t>
    <phoneticPr fontId="5" type="noConversion"/>
  </si>
  <si>
    <t>航管系</t>
  </si>
  <si>
    <t>航管系</t>
    <phoneticPr fontId="5" type="noConversion"/>
  </si>
  <si>
    <t>供應鏈系</t>
  </si>
  <si>
    <t>供應鏈系</t>
    <phoneticPr fontId="5" type="noConversion"/>
  </si>
  <si>
    <t>海休系</t>
  </si>
  <si>
    <t>海休系</t>
    <phoneticPr fontId="5" type="noConversion"/>
  </si>
  <si>
    <t>財管系</t>
  </si>
  <si>
    <t>財管系</t>
    <phoneticPr fontId="5" type="noConversion"/>
  </si>
  <si>
    <t>會資系</t>
  </si>
  <si>
    <t>會資系</t>
    <phoneticPr fontId="5" type="noConversion"/>
  </si>
  <si>
    <t>造船系</t>
  </si>
  <si>
    <t>造船系</t>
    <phoneticPr fontId="5" type="noConversion"/>
  </si>
  <si>
    <t>航技系</t>
  </si>
  <si>
    <t>航技系</t>
    <phoneticPr fontId="5" type="noConversion"/>
  </si>
  <si>
    <t>輪機系</t>
  </si>
  <si>
    <t>輪機系</t>
    <phoneticPr fontId="5" type="noConversion"/>
  </si>
  <si>
    <t>海資系</t>
  </si>
  <si>
    <t>海資系</t>
    <phoneticPr fontId="5" type="noConversion"/>
  </si>
  <si>
    <t>漁管系</t>
  </si>
  <si>
    <t>漁管系</t>
    <phoneticPr fontId="5" type="noConversion"/>
  </si>
  <si>
    <t>智商系</t>
  </si>
  <si>
    <t>智商系</t>
    <phoneticPr fontId="5" type="noConversion"/>
  </si>
  <si>
    <t>財稅系</t>
  </si>
  <si>
    <t>財稅系</t>
    <phoneticPr fontId="5" type="noConversion"/>
  </si>
  <si>
    <t>商資系</t>
  </si>
  <si>
    <t>商資系</t>
    <phoneticPr fontId="5" type="noConversion"/>
  </si>
  <si>
    <t>列標籤</t>
  </si>
  <si>
    <t>總計</t>
  </si>
  <si>
    <t>加總 - 金額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</si>
</sst>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8"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9"/>
      <name val="新細明體"/>
      <family val="3"/>
      <charset val="136"/>
      <scheme val="minor"/>
    </font>
    <font>
      <sz val="10"/>
      <color theme="1"/>
      <name val="標楷體"/>
      <family val="4"/>
    </font>
    <font>
      <sz val="10"/>
      <color theme="1"/>
      <name val="新細明體"/>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60">
    <xf numFmtId="0" fontId="0" fillId="0" borderId="0" xfId="0" applyNumberFormat="1" applyFont="1" applyFill="1" applyBorder="1">
      <alignment vertical="center"/>
    </xf>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1" xfId="0" applyNumberFormat="1" applyFont="1" applyFill="1" applyBorder="1" applyAlignment="1">
      <alignment horizontal="left" vertical="center"/>
    </xf>
    <xf numFmtId="0" fontId="1" fillId="0" borderId="1"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0" fontId="6" fillId="0" borderId="1"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7" fillId="0" borderId="0" xfId="0" applyNumberFormat="1" applyFont="1" applyFill="1" applyBorder="1">
      <alignment vertical="center"/>
    </xf>
    <xf numFmtId="0" fontId="6" fillId="0" borderId="1" xfId="0" applyNumberFormat="1" applyFont="1" applyFill="1" applyBorder="1">
      <alignment vertical="center"/>
    </xf>
    <xf numFmtId="176" fontId="6" fillId="0" borderId="1" xfId="0" applyNumberFormat="1" applyFont="1" applyFill="1" applyBorder="1" applyAlignment="1">
      <alignment vertical="center" wrapText="1"/>
    </xf>
    <xf numFmtId="3" fontId="6" fillId="0" borderId="1" xfId="0" applyNumberFormat="1" applyFont="1" applyFill="1" applyBorder="1" applyAlignment="1">
      <alignment vertical="center" wrapText="1"/>
    </xf>
    <xf numFmtId="0" fontId="6" fillId="0" borderId="1" xfId="0" applyNumberFormat="1" applyFont="1" applyFill="1" applyBorder="1" applyAlignment="1">
      <alignment vertical="center" wrapText="1"/>
    </xf>
    <xf numFmtId="0" fontId="0" fillId="0" borderId="0" xfId="0" pivotButton="1" applyNumberFormat="1" applyFont="1" applyFill="1" applyBorder="1">
      <alignment vertical="center"/>
    </xf>
    <xf numFmtId="0" fontId="0" fillId="0" borderId="0" xfId="0" applyNumberFormat="1" applyFont="1" applyFill="1" applyBorder="1" applyAlignment="1">
      <alignment horizontal="left" vertical="center"/>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6</xdr:col>
      <xdr:colOff>998220</xdr:colOff>
      <xdr:row>4</xdr:row>
      <xdr:rowOff>106680</xdr:rowOff>
    </xdr:from>
    <xdr:to>
      <xdr:col>6</xdr:col>
      <xdr:colOff>2827020</xdr:colOff>
      <xdr:row>11</xdr:row>
      <xdr:rowOff>5715</xdr:rowOff>
    </xdr:to>
    <mc:AlternateContent xmlns:mc="http://schemas.openxmlformats.org/markup-compatibility/2006">
      <mc:Choice xmlns:a14="http://schemas.microsoft.com/office/drawing/2010/main" Requires="a14">
        <xdr:graphicFrame macro="">
          <xdr:nvGraphicFramePr>
            <xdr:cNvPr id="2" name="經費用途">
              <a:extLst>
                <a:ext uri="{FF2B5EF4-FFF2-40B4-BE49-F238E27FC236}">
                  <a16:creationId xmlns:a16="http://schemas.microsoft.com/office/drawing/2014/main" id="{189A0E7C-E6C5-45CF-831D-49A94FF32911}"/>
                </a:ext>
              </a:extLst>
            </xdr:cNvPr>
            <xdr:cNvGraphicFramePr/>
          </xdr:nvGraphicFramePr>
          <xdr:xfrm>
            <a:off x="0" y="0"/>
            <a:ext cx="0" cy="0"/>
          </xdr:xfrm>
          <a:graphic>
            <a:graphicData uri="http://schemas.microsoft.com/office/drawing/2010/slicer">
              <sle:slicer xmlns:sle="http://schemas.microsoft.com/office/drawing/2010/slicer" name="經費用途"/>
            </a:graphicData>
          </a:graphic>
        </xdr:graphicFrame>
      </mc:Choice>
      <mc:Fallback>
        <xdr:sp macro="" textlink="">
          <xdr:nvSpPr>
            <xdr:cNvPr id="0" name=""/>
            <xdr:cNvSpPr>
              <a:spLocks noTextEdit="1"/>
            </xdr:cNvSpPr>
          </xdr:nvSpPr>
          <xdr:spPr>
            <a:xfrm>
              <a:off x="6301740" y="1363980"/>
              <a:ext cx="1828800" cy="2352675"/>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0.393171990741" createdVersion="7" refreshedVersion="7" minRefreshableVersion="3" recordCount="170" xr:uid="{EF2D467F-92CA-4C53-97E4-8DA32C9FC723}">
  <cacheSource type="worksheet">
    <worksheetSource ref="A1:I171" sheet="業務費"/>
  </cacheSource>
  <cacheFields count="9">
    <cacheField name="經費用途" numFmtId="0">
      <sharedItems count="1">
        <s v="實支"/>
      </sharedItems>
    </cacheField>
    <cacheField name="傳票日期" numFmtId="0">
      <sharedItems/>
    </cacheField>
    <cacheField name="傳票編號" numFmtId="0">
      <sharedItems/>
    </cacheField>
    <cacheField name="會計科目" numFmtId="176">
      <sharedItems/>
    </cacheField>
    <cacheField name="購案編號" numFmtId="176">
      <sharedItems/>
    </cacheField>
    <cacheField name="金額" numFmtId="3">
      <sharedItems containsSemiMixedTypes="0" containsString="0" containsNumber="1" containsInteger="1" minValue="240" maxValue="79680"/>
    </cacheField>
    <cacheField name="用途說明" numFmtId="0">
      <sharedItems/>
    </cacheField>
    <cacheField name="請購人" numFmtId="0">
      <sharedItems/>
    </cacheField>
    <cacheField name="系所" numFmtId="0">
      <sharedItems count="27">
        <s v="IR"/>
        <s v="智商系"/>
        <s v="財管系"/>
        <s v="供應鏈系"/>
        <s v="運籌系"/>
        <s v="商資系"/>
        <s v="會資系"/>
        <s v="財稅系"/>
        <s v="金資系"/>
        <s v="海休系"/>
        <s v="造船系"/>
        <s v="應日系"/>
        <s v="土木系"/>
        <s v="航管系"/>
        <s v="輪機系"/>
        <s v="國企系"/>
        <s v="觀光系"/>
        <s v="海資系"/>
        <s v="資管系"/>
        <s v="航技系"/>
        <s v="應英系"/>
        <s v="資工系"/>
        <s v="企管系"/>
        <s v="半導體系"/>
        <s v="漁管系"/>
        <s v="工設系"/>
        <s v="行銷系"/>
      </sharedItems>
    </cacheField>
  </cacheFields>
  <extLst>
    <ext xmlns:x14="http://schemas.microsoft.com/office/spreadsheetml/2009/9/main" uri="{725AE2AE-9491-48be-B2B4-4EB974FC3084}">
      <x14:pivotCacheDefinition pivotCacheId="1590334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x v="0"/>
    <s v="1141029"/>
    <s v="T302051"/>
    <s v="510301-280501講課鐘點、稿費、出席審查及查詢費"/>
    <s v="T114SD020027   "/>
    <n v="67392"/>
    <s v="114年系所躍升計畫二期修正計畫書及完整計畫書審查費(徐士傑、朱訓鵬、陳明志、周建成、何佳安、李晶、趙時樑)"/>
    <s v="校務大數據分析中心"/>
    <x v="0"/>
  </r>
  <r>
    <x v="0"/>
    <s v="1141029"/>
    <s v="T302052"/>
    <s v="510301-280501講課鐘點、稿費、出席審查及查詢費"/>
    <s v="T114SD020023   "/>
    <n v="30633"/>
    <s v="114年系所躍升計畫二期修正計畫書及完整計畫書審查費(陳建雄、吳彰哲、林金源、王世澤、羅文增、張啟隱)"/>
    <s v="校務大數據分析中心"/>
    <x v="0"/>
  </r>
  <r>
    <x v="0"/>
    <s v="1141029"/>
    <s v="T302053"/>
    <s v="510301-280501講課鐘點、稿費、出席審查及查詢費"/>
    <s v="T114SD020022   "/>
    <n v="33696"/>
    <s v="114年系所躍升計畫二期修正計畫書及完整計畫書審查費(林建中、李敏鴻、謝昌衛、周信佑、張水鍇、倪貴榮)"/>
    <s v="校務大數據分析中心"/>
    <x v="0"/>
  </r>
  <r>
    <x v="0"/>
    <s v="1141029"/>
    <s v="T302054"/>
    <s v="510301-280501講課鐘點、稿費、出席審查及查詢費"/>
    <s v="T114SD020021   "/>
    <n v="52076"/>
    <s v="114年系所躍升計畫二期修正計畫書及完整計畫書審查費(黃宗慧、蘇威傑、林智勇、戚務君、黃泓人)"/>
    <s v="校務大數據分析中心"/>
    <x v="0"/>
  </r>
  <r>
    <x v="0"/>
    <s v="1141029"/>
    <s v="T302058"/>
    <s v="510301-280501講課鐘點、稿費、出席審查及查詢費"/>
    <s v="T114SD020028   "/>
    <n v="49013"/>
    <s v="114年系所躍升計畫二期修正計畫書及完整計畫書審查費(楊傳凱、吳政鴻、曾俊儒、林玟廷、王昭文)"/>
    <s v="校務大數據分析中心"/>
    <x v="0"/>
  </r>
  <r>
    <x v="0"/>
    <s v="1141029"/>
    <s v="T302059"/>
    <s v="510301-280501講課鐘點、稿費、出席審查及查詢費"/>
    <s v="T114SD020026   "/>
    <n v="45949"/>
    <s v="114年系所躍升計畫二期修正計畫書及完整計畫書審查費(林哲信、楊智斌、李元堯、朱智瑋、陳美燕)"/>
    <s v="校務大數據分析中心"/>
    <x v="0"/>
  </r>
  <r>
    <x v="0"/>
    <s v="1141029"/>
    <s v="T302060"/>
    <s v="510301-280501講課鐘點、稿費、出席審查及查詢費"/>
    <s v="T114SD020025   "/>
    <n v="64329"/>
    <s v="114年系所躍升計畫二期修正計畫書及完整計畫書審查費(李宗南、林俊宏、于欽平、辛裕明、林鴻志、陳冠宇)"/>
    <s v="校務大數據分析中心"/>
    <x v="0"/>
  </r>
  <r>
    <x v="0"/>
    <s v="1141029"/>
    <s v="T302061"/>
    <s v="510301-280501講課鐘點、稿費、出席審查及查詢費"/>
    <s v="T114SD020024   "/>
    <n v="52076"/>
    <s v="114年系所躍升計畫二期修正計畫書及完整計畫書審查費(馬敏元、張瓊惠、吳基逞、許書瑋、郭炳伸、林昱梅)"/>
    <s v="校務大數據分析中心"/>
    <x v="0"/>
  </r>
  <r>
    <x v="0"/>
    <s v="1141105"/>
    <s v="T302190"/>
    <s v="510301-280501講課鐘點、稿費、出席審查及查詢費"/>
    <s v="T114SD020029   "/>
    <n v="55139"/>
    <s v="114年系所躍升計畫二期修正計畫書及完整計畫書審查費(陳重仁、李柏磊、蔡政憲、江康鈺、孫慶成)"/>
    <s v="校務大數據分析中心"/>
    <x v="0"/>
  </r>
  <r>
    <x v="0"/>
    <s v="1141217"/>
    <s v="T207778"/>
    <s v="510301-4302機械及設備租金"/>
    <s v="T114UT000205   "/>
    <n v="79680"/>
    <s v="智商系補助廖奕雯老師基於教學/研究需求雲端算力使用設備租賃運行容器化應用程式支出.※品名:雲端算力設備租賃"/>
    <s v="智慧商務系"/>
    <x v="1"/>
  </r>
  <r>
    <x v="0"/>
    <s v="1141217"/>
    <s v="T207781"/>
    <s v="510301-3201辦公（事務）用品"/>
    <s v="T114UP030277   "/>
    <n v="29428"/>
    <s v="執行計畫用-電腦周邊※品名:隨身硬碟(1TB)、行動固態硬碟(1TB)、雙介面隨身碟(128GB)"/>
    <s v="財務管理系"/>
    <x v="2"/>
  </r>
  <r>
    <x v="0"/>
    <s v="1141217"/>
    <s v="T207782"/>
    <s v="510301-3201辦公（事務）用品"/>
    <s v="T114UP030278   "/>
    <n v="15815"/>
    <s v="執行計畫用-電腦周邊※品名:HDMI訊號擷取卡、HDMI無線傳輸AB模組、USB3.0網路卡(1G)"/>
    <s v="財務管理系"/>
    <x v="2"/>
  </r>
  <r>
    <x v="0"/>
    <s v="1141217"/>
    <s v="T207785"/>
    <s v="510301-4402車租"/>
    <s v="T114UO030185   "/>
    <n v="15750"/>
    <s v="躍升計畫-11/26至佳和實業股份有限公司參訪車資(中型巴士2台，高雄-台南來回)※品名:車資"/>
    <s v="供應鏈管理系[楠梓|旗"/>
    <x v="3"/>
  </r>
  <r>
    <x v="0"/>
    <s v="1141217"/>
    <s v="T207790"/>
    <s v="510301-2898其他"/>
    <s v="T114UN020161   "/>
    <n v="22260"/>
    <s v="執行計畫用無線AP WAN.AP LAN端網路線、機櫃線路修改(C228.C364)※品名:無線AP WAN.AP LAN端網路線、無線AP WAN.AP LAN端網路線.機櫃線路修改"/>
    <s v="運籌管理系[第一]"/>
    <x v="4"/>
  </r>
  <r>
    <x v="0"/>
    <s v="1141218"/>
    <s v="T207835"/>
    <s v="510301-3206食品"/>
    <s v="T114UV000200   "/>
    <n v="4280"/>
    <s v="(楠梓-商資系-躍升計畫)2025創新資訊與行動應用競賽誤餐費(114年11月20日8:00-16:00)"/>
    <s v="商務資訊應用系"/>
    <x v="5"/>
  </r>
  <r>
    <x v="0"/>
    <s v="1141218"/>
    <s v="T207835"/>
    <s v="510301-3206食品"/>
    <s v="T114UV000202   "/>
    <n v="360"/>
    <s v="(楠梓-商資系-躍升計畫)辦理計畫活動會議用飲用水(存放系辦公室提供外賓使用)"/>
    <s v="商務資訊應用系"/>
    <x v="5"/>
  </r>
  <r>
    <x v="0"/>
    <s v="1141218"/>
    <s v="T303200"/>
    <s v="510301-280501講課鐘點、稿費、出席審查及查詢費"/>
    <s v="T114UV000198   "/>
    <n v="20423"/>
    <s v="(楠梓-商資系-躍升計畫)2025創新資訊與行動應用競賽審查費(114年11月20日，共3名評審，審查每組625元)"/>
    <s v="商務資訊應用系"/>
    <x v="5"/>
  </r>
  <r>
    <x v="0"/>
    <s v="1141222"/>
    <s v="T207953"/>
    <s v="510301-2401印刷及裝訂費"/>
    <s v="T114UP030283   "/>
    <n v="4500"/>
    <s v="執行計畫用影印費※品名:影印"/>
    <s v="財務管理系"/>
    <x v="2"/>
  </r>
  <r>
    <x v="0"/>
    <s v="1141222"/>
    <s v="T207953"/>
    <s v="510301-2401印刷及裝訂費"/>
    <s v="T114UP030284   "/>
    <n v="7600"/>
    <s v="執行計畫用印刷費※品名:印刷費"/>
    <s v="財務管理系"/>
    <x v="2"/>
  </r>
  <r>
    <x v="0"/>
    <s v="1141222"/>
    <s v="T207953"/>
    <s v="510301-3201辦公（事務）用品"/>
    <s v="T114UP040218   "/>
    <n v="1686"/>
    <s v="114.1(燕巢會資系)-實務專題購置文具一批※品名:文具"/>
    <s v="會計資訊系"/>
    <x v="6"/>
  </r>
  <r>
    <x v="0"/>
    <s v="1141223"/>
    <s v="T207967"/>
    <s v="510301-2301國內旅費"/>
    <s v="T114UT030152   "/>
    <n v="1094"/>
    <s v="彭琪祿老師114年11月22日至南投埔里國立暨南大學參加2025年學術研討會"/>
    <s v="財政稅務系"/>
    <x v="7"/>
  </r>
  <r>
    <x v="0"/>
    <s v="1141224"/>
    <s v="T208019"/>
    <s v="510301-2898其他"/>
    <s v="T114UC450163   "/>
    <n v="4791"/>
    <s v="鄭智陽老師論文投稿費※品名:論文投稿費、國外交易授權結匯手續費"/>
    <s v="金融資訊系"/>
    <x v="8"/>
  </r>
  <r>
    <x v="0"/>
    <s v="1141224"/>
    <s v="T208019"/>
    <s v="510301-2898其他"/>
    <s v="T114UC450164   "/>
    <n v="3190"/>
    <s v="鄭智陽老師論文投稿費※品名:論文投稿費、國外交易授權結匯手續費"/>
    <s v="金融資訊系"/>
    <x v="8"/>
  </r>
  <r>
    <x v="0"/>
    <s v="1141224"/>
    <s v="T208020"/>
    <s v="510301-2898其他"/>
    <s v="T114UO040320   "/>
    <n v="6000"/>
    <s v="支付【114TSD00-15】The 18th Annual Meeting of Asian Fisheries Acoustics Society 論文刊登費(共2則)※品名:論文刊登費"/>
    <s v="李孟璁"/>
    <x v="9"/>
  </r>
  <r>
    <x v="0"/>
    <s v="1141224"/>
    <s v="T303279"/>
    <s v="510301-2808委託考選訓練費"/>
    <s v="T114UQ010240   "/>
    <n v="2000"/>
    <s v="造船系學生楊峻杰C111186231第47屆海洋工程研討會暨國際能源論壇報名費※品名:第47屆海洋工程研討會報名費"/>
    <s v="造船及海洋工程系"/>
    <x v="10"/>
  </r>
  <r>
    <x v="0"/>
    <s v="1141224"/>
    <s v="T303279"/>
    <s v="510301-720601獎助學員生給與"/>
    <s v="T114UO030186   "/>
    <n v="2500"/>
    <s v="躍升計畫_鼓勵競賽與研討會-研究生蘇琬珆參加2025.11.28 &quot;2025 中國工業工程學會年會暨學術研討會&quot;之投稿註冊費。※品名:註冊費"/>
    <s v="供應鏈管理系[楠梓|旗"/>
    <x v="3"/>
  </r>
  <r>
    <x v="0"/>
    <s v="1141224"/>
    <s v="T303279"/>
    <s v="510301-720601獎助學員生給與"/>
    <s v="T114UO030187   "/>
    <n v="2500"/>
    <s v="躍升計畫_鼓勵競賽與研討會-研究生許銘凱參加2025.11.28 &quot;2025 中國工業工程學會年會暨學術研討會&quot;之投稿註冊費。※品名:註冊費"/>
    <s v="供應鏈管理系[楠梓|旗"/>
    <x v="3"/>
  </r>
  <r>
    <x v="0"/>
    <s v="1141226"/>
    <s v="T208023"/>
    <s v="510301-239801其他旅運費"/>
    <s v="T114UP030280   "/>
    <n v="2400"/>
    <s v="11/18邀請國立交通大學林智勇教授到校演講-交通費"/>
    <s v="財務管理系"/>
    <x v="2"/>
  </r>
  <r>
    <x v="0"/>
    <s v="1141226"/>
    <s v="T208023"/>
    <s v="510301-3206食品"/>
    <s v="T114UJ020369   "/>
    <n v="600"/>
    <s v="114學年度高科大似鳥國際獎學金甄試面試之餐費。日期:114年12月2日 時間:12:00-13:00 地點:D304。※品名:便當"/>
    <s v="陳佩君"/>
    <x v="11"/>
  </r>
  <r>
    <x v="0"/>
    <s v="1141226"/>
    <s v="T208027"/>
    <s v="510301-3201辦公（事務）用品"/>
    <s v="T114UE230330   "/>
    <n v="2058"/>
    <s v="電腦教室使用"/>
    <s v="土木系"/>
    <x v="12"/>
  </r>
  <r>
    <x v="0"/>
    <s v="1141226"/>
    <s v="T208066"/>
    <s v="510301-4402車租"/>
    <s v="T114UO010394   "/>
    <n v="11550"/>
    <s v="1141205高雄港校外教學參訪車資※品名:車資"/>
    <s v="航運管理系[楠梓|旗津"/>
    <x v="13"/>
  </r>
  <r>
    <x v="0"/>
    <s v="1141227"/>
    <s v="T208138"/>
    <s v="510301-6801行政規費與強制費"/>
    <s v="T114UR020361   "/>
    <n v="2550"/>
    <s v="輪機系_補助慈復明老師發明專利申請_發動機設備之教學教室的安全監控系統。總額7,100元分攤由T114UR020361系上(躍升計畫)補助50%+學校研發處(T114RE000251)補助50%。※品名:專利申請"/>
    <s v="輪機工程系"/>
    <x v="14"/>
  </r>
  <r>
    <x v="0"/>
    <s v="1141227"/>
    <s v="T208138"/>
    <s v="510301-2898其他"/>
    <s v="T114UR020361   "/>
    <n v="1000"/>
    <s v="輪機系_補助慈復明老師發明專利申請_發動機設備之教學教室的安全監控系統。總額7,100元分攤由T114UR020361系上(躍升計畫)補助50%+學校研發處(T114RE000251)補助50%。※品名:專利申請"/>
    <s v="輪機工程系"/>
    <x v="14"/>
  </r>
  <r>
    <x v="0"/>
    <s v="1141229"/>
    <s v="T208219"/>
    <s v="510301-2401印刷及裝訂費"/>
    <s v="T114UC450162   "/>
    <n v="4500"/>
    <s v="講座講義, 文獻等印刷費※品名:印刷費"/>
    <s v="金融資訊系"/>
    <x v="8"/>
  </r>
  <r>
    <x v="0"/>
    <s v="1141229"/>
    <s v="T208219"/>
    <s v="510301-2810電腦軟體服務費"/>
    <s v="T114UC450161   "/>
    <n v="624"/>
    <s v="受款人：鄭智陽｜※品名:ChatGPT訂閱(1118-1218)"/>
    <s v="金融資訊系"/>
    <x v="8"/>
  </r>
  <r>
    <x v="0"/>
    <s v="1141229"/>
    <s v="T208230"/>
    <s v="510301-3206食品"/>
    <s v="T114UV000201   "/>
    <n v="2000"/>
    <s v="(楠梓-商資系-躍升計畫)2025創新資訊與行動應用競賽行前會議誤餐費(114年11月18日9:00-12:00)"/>
    <s v="商務資訊應用系"/>
    <x v="5"/>
  </r>
  <r>
    <x v="0"/>
    <s v="1141229"/>
    <s v="T208232"/>
    <s v="510301-239801其他旅運費"/>
    <s v="T114UV000199   "/>
    <n v="1308"/>
    <s v="(楠梓-商資系-躍升計畫)2025創新資訊與行動應用競賽交通費(日期：114年11月20日)"/>
    <s v="商務資訊應用系"/>
    <x v="5"/>
  </r>
  <r>
    <x v="0"/>
    <s v="1141229"/>
    <s v="T303327"/>
    <s v="510301-280501講課鐘點、稿費、出席審查及查詢費"/>
    <s v="T114UC110377   "/>
    <n v="6127"/>
    <s v="推動躍升計畫執行舉辦專題演講-12/2許郁屏"/>
    <s v="國企系"/>
    <x v="15"/>
  </r>
  <r>
    <x v="0"/>
    <s v="1141229"/>
    <s v="T303327"/>
    <s v="510301-280501講課鐘點、稿費、出席審查及查詢費"/>
    <s v="T114UC110378   "/>
    <n v="6127"/>
    <s v="推動躍升計畫執行舉辦專題演講-12/3許郁屏"/>
    <s v="國企系"/>
    <x v="15"/>
  </r>
  <r>
    <x v="0"/>
    <s v="1141229"/>
    <s v="T303327"/>
    <s v="510301-280501講課鐘點、稿費、出席審查及查詢費"/>
    <s v="T114UC110379   "/>
    <n v="6127"/>
    <s v="推動躍升計畫執行舉辦專題演講-11/25陳靖紳"/>
    <s v="國企系"/>
    <x v="15"/>
  </r>
  <r>
    <x v="0"/>
    <s v="1141229"/>
    <s v="T303327"/>
    <s v="510301-280501講課鐘點、稿費、出席審查及查詢費"/>
    <s v="T114UC450160   "/>
    <n v="4084"/>
    <s v="金資專題講座11/14陳義淵鐘點費"/>
    <s v="金融資訊系"/>
    <x v="8"/>
  </r>
  <r>
    <x v="0"/>
    <s v="1141229"/>
    <s v="T303327"/>
    <s v="510301-280501講課鐘點、稿費、出席審查及查詢費"/>
    <s v="T114UM760341   "/>
    <n v="4084"/>
    <s v="付114.12.5觀光系舉辦專題講座，邀請梁詠彥總經理演講智慧旅館科技應用與未來藍圖所需之鐘點費。(地點:MB602 時間:10:00-12:00)"/>
    <s v="觀光系"/>
    <x v="16"/>
  </r>
  <r>
    <x v="0"/>
    <s v="1141229"/>
    <s v="T303327"/>
    <s v="510301-280501講課鐘點、稿費、出席審查及查詢費"/>
    <s v="T114UP030279   "/>
    <n v="6127"/>
    <s v="11/18邀請國立交通大學林智勇教授到校演講"/>
    <s v="財務管理系"/>
    <x v="2"/>
  </r>
  <r>
    <x v="0"/>
    <s v="1141229"/>
    <s v="T303327"/>
    <s v="510301-280501講課鐘點、稿費、出席審查及查詢費"/>
    <s v="T114UR030230   "/>
    <n v="2042"/>
    <s v="旗津校區/海資系/海事資訊講座/邀請邵仁中主任演講費(高雄市市立凱旋醫院)(時間:114.12.1 13:30－15:20)(講題:Deep Learning-Based Model for Automated Prediction of Coastal Changes: A Robust Approach to Environmental Forecasting)"/>
    <s v="海事資訊科技系"/>
    <x v="17"/>
  </r>
  <r>
    <x v="0"/>
    <s v="1141230"/>
    <s v="T208308"/>
    <s v="510301-2698其他保險費"/>
    <s v="T114UO010390   "/>
    <n v="420"/>
    <s v="1141205校外教學參訪保險費實支420元(戴輝煌)※品名:旅行平安險"/>
    <s v="航運管理系[楠梓|旗津"/>
    <x v="13"/>
  </r>
  <r>
    <x v="0"/>
    <s v="1141230"/>
    <s v="T208308"/>
    <s v="510301-2898其他"/>
    <s v="T114UO030184   "/>
    <n v="5000"/>
    <s v="躍升計畫_鼓勵競賽與研討會-黃彥登老師參加2025.11.14-16 &quot;2025 IEEE 7th Eurasia Conference_x000a_on IoT, Communication and Engineering (ECICE 2025)研討會&quot;之期刊投稿費，僅核銷5000元。"/>
    <s v="供應鏈管理系[楠梓|旗"/>
    <x v="3"/>
  </r>
  <r>
    <x v="0"/>
    <s v="1141230"/>
    <s v="T208308"/>
    <s v="510301-2B01推展費"/>
    <s v="T114UN010400   "/>
    <n v="9734"/>
    <s v="【躍升計畫】廣告宣傳費—系所形象推廣使用※品名:facebook廣告費"/>
    <s v="資訊管理系[第一]"/>
    <x v="18"/>
  </r>
  <r>
    <x v="0"/>
    <s v="1141230"/>
    <s v="T208308"/>
    <s v="510301-3201辦公（事務）用品"/>
    <s v="T114UC450168   "/>
    <n v="3550"/>
    <s v="謝坤民老師執行計畫用雜支※品名:無線滑鼠"/>
    <s v="金融資訊系"/>
    <x v="8"/>
  </r>
  <r>
    <x v="0"/>
    <s v="1141230"/>
    <s v="T208311"/>
    <s v="510301-2898其他"/>
    <s v="T114UO010389   "/>
    <n v="20000"/>
    <s v="(併案B114021644+E114021336)教師投稿國際期刊論文出版費(含編修及審查)(楊鈺池)※品名:出版費"/>
    <s v="航運管理系[楠梓|旗津"/>
    <x v="13"/>
  </r>
  <r>
    <x v="0"/>
    <s v="1141230"/>
    <s v="T208315"/>
    <s v="510301-2401印刷及裝訂費"/>
    <s v="T114UR010214   "/>
    <n v="1400"/>
    <s v="海事公證實務論壇會議用布條(課程及研究座談會)※品名:紅布條"/>
    <s v="航運技術系"/>
    <x v="19"/>
  </r>
  <r>
    <x v="0"/>
    <s v="1141230"/>
    <s v="T208315"/>
    <s v="510301-2810電腦軟體服務費"/>
    <s v="T114UC450170   "/>
    <n v="624"/>
    <s v="購置AI軟體以利學習與研究(1118-1218)※品名:ChatGPT訂閱(1118-1218)"/>
    <s v="金融資訊系"/>
    <x v="8"/>
  </r>
  <r>
    <x v="0"/>
    <s v="1141230"/>
    <s v="T208316"/>
    <s v="510301-2301國內旅費"/>
    <s v="T114UC450169   "/>
    <n v="3380"/>
    <s v="鄭智陽老師115.12.5出席2025統一證券校園股神模擬交易爭霸賽頒獎典禮"/>
    <s v="金融資訊系"/>
    <x v="8"/>
  </r>
  <r>
    <x v="0"/>
    <s v="1141230"/>
    <s v="T208316"/>
    <s v="510301-2301國內旅費"/>
    <s v="T114UJ020381   "/>
    <n v="2700"/>
    <s v="【躍升】補助應日系教師王天保參加2025年度台灣日本語教育研究國際學術研討會之交通費。高鐵:台南-台北當日來回，1350*2(趟)=2700"/>
    <s v="外語學院應用日語系"/>
    <x v="11"/>
  </r>
  <r>
    <x v="0"/>
    <s v="1141230"/>
    <s v="T208316"/>
    <s v="510301-720601獎助學員生給與"/>
    <s v="T114UJ010547   "/>
    <n v="2980"/>
    <s v="114躍升計畫支應黃芯翎發表論文交通費(11/8)"/>
    <s v="外語學院應用英語系"/>
    <x v="20"/>
  </r>
  <r>
    <x v="0"/>
    <s v="1141230"/>
    <s v="T208316"/>
    <s v="510301-720601獎助學員生給與"/>
    <s v="T114UJ010549   "/>
    <n v="1490"/>
    <s v="114躍升計畫支應黃綵緣發表論文交通費(11/8)"/>
    <s v="外語學院應用英語系"/>
    <x v="20"/>
  </r>
  <r>
    <x v="0"/>
    <s v="1141230"/>
    <s v="T208316"/>
    <s v="510301-720601獎助學員生給與"/>
    <s v="T114UJ010551   "/>
    <n v="2980"/>
    <s v="114躍升計畫支應蘇辰軒發表論文交通費(11/29)"/>
    <s v="外語學院應用英語系"/>
    <x v="20"/>
  </r>
  <r>
    <x v="0"/>
    <s v="1141230"/>
    <s v="T208316"/>
    <s v="510301-720601獎助學員生給與"/>
    <s v="T114UJ010559   "/>
    <n v="2980"/>
    <s v="114躍升計畫支應石鈞富發表論文交通費(11/6、11/8)"/>
    <s v="外語學院應用英語系"/>
    <x v="20"/>
  </r>
  <r>
    <x v="0"/>
    <s v="1141230"/>
    <s v="T303367"/>
    <s v="510301-271315工讀金"/>
    <s v="T114UE150364   "/>
    <n v="2765"/>
    <s v="幫助系上處理相關事務"/>
    <s v="張雲龍"/>
    <x v="21"/>
  </r>
  <r>
    <x v="0"/>
    <s v="1141231"/>
    <s v="T208364"/>
    <s v="510301-720601獎助學員生給與"/>
    <s v="T114UV000209   "/>
    <n v="4415"/>
    <s v="(楠梓-商資系-躍升計畫)補助學生2025第30屆大專校院資訊應用服務創新競賽-交通費實支4,415元(組別：即現空間 InstaSpace，林妏蕙、陳震鈞、賴宛葇)"/>
    <s v="商務資訊應用系"/>
    <x v="5"/>
  </r>
  <r>
    <x v="0"/>
    <s v="1141231"/>
    <s v="T208364"/>
    <s v="510301-720601獎助學員生給與"/>
    <s v="T114UV000210   "/>
    <n v="5960"/>
    <s v="(楠梓-商資系-躍升計畫)補助學生2025第30屆大專校院資訊應用服務創新競賽-交通費實支5,960元_x000a_(組別：地理位置即身份：結合多維度情境的多層次行動驗證機制：陳威廷、鄭翰陽、沈睿宇、張台珩)"/>
    <s v="商務資訊應用系"/>
    <x v="5"/>
  </r>
  <r>
    <x v="0"/>
    <s v="1141231"/>
    <s v="T208366"/>
    <s v="510301-2201郵費"/>
    <s v="T114UJ020382   "/>
    <n v="240"/>
    <s v="用於寄送日本平成國際大學申請碩士雙聯學位之郵寄費用(陳姵瑜)。※品名:郵資"/>
    <s v="陳佩君"/>
    <x v="11"/>
  </r>
  <r>
    <x v="0"/>
    <s v="1141231"/>
    <s v="T208366"/>
    <s v="510301-3201辦公（事務）用品"/>
    <s v="T114UN020164   "/>
    <n v="699"/>
    <s v="執行計畫用記憶卡128G(王亮云老師)※品名:記憶卡"/>
    <s v="運籌管理系[第一]"/>
    <x v="4"/>
  </r>
  <r>
    <x v="0"/>
    <s v="1141231"/>
    <s v="T208366"/>
    <s v="510301-720601獎助學員生給與"/>
    <s v="T114UJ010546   "/>
    <n v="2000"/>
    <s v="114 躍升計畫支應鄧博元參加2025教育創新研討會論文發表註冊費(11/22)※品名:註冊費"/>
    <s v="外語學院應用英語系"/>
    <x v="20"/>
  </r>
  <r>
    <x v="0"/>
    <s v="1141231"/>
    <s v="T208366"/>
    <s v="510301-720601獎助學員生給與"/>
    <s v="T114UJ010552   "/>
    <n v="600"/>
    <s v="114躍升計畫支應蘇辰軒參加研討會發表論文註冊費(11/29)※品名:註冊費"/>
    <s v="外語學院應用英語系"/>
    <x v="20"/>
  </r>
  <r>
    <x v="0"/>
    <s v="1141231"/>
    <s v="T208367"/>
    <s v="510301-239801其他旅運費"/>
    <s v="T114UC110380   "/>
    <n v="2920"/>
    <s v="推動躍升計畫執行舉辦專題演講交通費-11/25陳靖紳"/>
    <s v="國企系"/>
    <x v="15"/>
  </r>
  <r>
    <x v="0"/>
    <s v="1141231"/>
    <s v="T208367"/>
    <s v="510301-239801其他旅運費"/>
    <s v="T114UC110396   "/>
    <n v="280"/>
    <s v="推動躍升計畫執行舉辦專題演講交通費-11/26劉芊翊"/>
    <s v="國企系"/>
    <x v="15"/>
  </r>
  <r>
    <x v="0"/>
    <s v="1141231"/>
    <s v="T208367"/>
    <s v="510301-720601獎助學員生給與"/>
    <s v="T114UV000207   "/>
    <n v="382"/>
    <s v="(楠梓-商資系-躍升計畫)補助學生2025第30屆大專校院資訊應用服務創新競賽-交通費實支2465元(組別：報告老闆，報關不用加班了!採用人工智慧驅動的辨識系統實現報關自動化，胡晴茵)"/>
    <s v="商務資訊應用系"/>
    <x v="5"/>
  </r>
  <r>
    <x v="0"/>
    <s v="1141231"/>
    <s v="T208367"/>
    <s v="510301-720601獎助學員生給與"/>
    <s v="T114UV000208   "/>
    <n v="4470"/>
    <s v="(楠梓-商資系-躍升計畫)補助學生2025第30屆大專校院資訊應用服務創新競賽-交通費實支4,470元(組別：泉心泉憶創商機：許文憶、郭彥廷、蘇湘貽)"/>
    <s v="商務資訊應用系"/>
    <x v="5"/>
  </r>
  <r>
    <x v="0"/>
    <s v="1141231"/>
    <s v="T208367"/>
    <s v="510301-720601獎助學員生給與"/>
    <s v="T114UV000214   "/>
    <n v="1816"/>
    <s v="(楠梓-商資系-躍升計畫)補助碩士班蕭暉霖學生2025第18屆智慧×永續暨台灣數位媒體設計國際研討會註冊費及交通費1,816元"/>
    <s v="商務資訊應用系"/>
    <x v="5"/>
  </r>
  <r>
    <x v="0"/>
    <s v="1141231"/>
    <s v="T208369"/>
    <s v="510301-2810電腦軟體服務費"/>
    <s v="T114UM760343   "/>
    <n v="1255"/>
    <s v="付觀光系-陳美存老師配合躍升計畫AI教學工作坊所需之ChatGPT Plus Subscription費用。(核銷期間114年11月、114年12月)。※品名:ChatGPT Plus Subscription○○○"/>
    <s v="觀光系"/>
    <x v="16"/>
  </r>
  <r>
    <x v="0"/>
    <s v="1141231"/>
    <s v="T208448"/>
    <s v="510301-280501講課鐘點、稿費、出席審查及查詢費"/>
    <s v="T114UR010205   "/>
    <n v="14890"/>
    <s v="系所躍升計畫-航技系陳永昇老師發表論文潤稿費114.11.20※品名:論文潤稿費"/>
    <s v="航運技術系"/>
    <x v="19"/>
  </r>
  <r>
    <x v="0"/>
    <s v="1141231"/>
    <s v="T208461"/>
    <s v="510301-2898其他"/>
    <s v="T114UR020363   "/>
    <n v="17500"/>
    <s v="輪機系_補助林俊銘老師發明專利申請_膠帶檢測與排異機構，總額35,000元，躍升計畫只補助發明專利50%，故為17500元。※品名:專利申請"/>
    <s v="輪機工程系"/>
    <x v="14"/>
  </r>
  <r>
    <x v="0"/>
    <s v="1141231"/>
    <s v="T208494"/>
    <s v="510301-3201辦公（事務）用品"/>
    <s v="T114UE150351   "/>
    <n v="17976"/>
    <s v="3C產品(電腦螢幕)躍升計畫※品名:【BenQ】EW2790U 27型 護眼螢幕(HDMI/Type-C)"/>
    <s v="陳俊豪"/>
    <x v="21"/>
  </r>
  <r>
    <x v="0"/>
    <s v="1141231"/>
    <s v="T208513"/>
    <s v="510301-2898其他"/>
    <s v="T114UM760348   "/>
    <n v="10000"/>
    <s v="付觀光系配合躍升計畫舉辦2025高科盃遊程設計競賽(全國性)比賽所需之搭建舞台背板費用。※品名:舞台背板"/>
    <s v="觀光系"/>
    <x v="16"/>
  </r>
  <r>
    <x v="0"/>
    <s v="1141231"/>
    <s v="T208513"/>
    <s v="510301-3206食品"/>
    <s v="T114UM740208   "/>
    <n v="7560"/>
    <s v="配合躍升計畫執行, 系上於114.12.17舉辦2025高科大企業管理系實務專題成果發表暨競賽,  系內師長及工作人員, 校外評審委員及發表人之便當※品名:便當"/>
    <s v="企管系"/>
    <x v="22"/>
  </r>
  <r>
    <x v="0"/>
    <s v="1141231"/>
    <s v="T208513"/>
    <s v="510301-3206食品"/>
    <s v="T114UR030242   "/>
    <n v="1200"/>
    <s v="旗津校區/海資系/1141216(12:10~13:00)召開執行計畫會議之誤餐費，共10人。※品名:便當"/>
    <s v="海事資訊科技系"/>
    <x v="17"/>
  </r>
  <r>
    <x v="0"/>
    <s v="1141231"/>
    <s v="T208513"/>
    <s v="510301-4402車租"/>
    <s v="T114UM760342   "/>
    <n v="9450"/>
    <s v="付114.11.30觀光系-黃永全老師帶學生至潮州地方創生校外參訪所需之交通費用。※品名:車資"/>
    <s v="觀光系"/>
    <x v="16"/>
  </r>
  <r>
    <x v="0"/>
    <s v="1141231"/>
    <s v="T208570"/>
    <s v="510301-2401印刷及裝訂費"/>
    <s v="T114UO040329   "/>
    <n v="4000"/>
    <s v="教師社群活動帆布條※品名:活動帆布條"/>
    <s v="海洋休閒管理系[楠梓|"/>
    <x v="9"/>
  </r>
  <r>
    <x v="0"/>
    <s v="1141231"/>
    <s v="T208570"/>
    <s v="510301-2401印刷及裝訂費"/>
    <s v="T114UQ010247   "/>
    <n v="393"/>
    <s v="受款人：黃思詞、睿朱數位電商股份有限公司，國科會、海委會、專題經驗交流會海報※品名:海報、彩色影印費"/>
    <s v="造船及海洋工程系"/>
    <x v="10"/>
  </r>
  <r>
    <x v="0"/>
    <s v="1141231"/>
    <s v="T208570"/>
    <s v="510301-2698其他保險費"/>
    <s v="T114UO030183   "/>
    <n v="2916"/>
    <s v="11/26至佳和實業股份有限公司參訪之保險費(被保險人共54人)"/>
    <s v="供應鏈管理系[楠梓|旗"/>
    <x v="3"/>
  </r>
  <r>
    <x v="0"/>
    <s v="1141231"/>
    <s v="T208572"/>
    <s v="510301-2898其他"/>
    <s v="T114UR020371   "/>
    <n v="16196"/>
    <s v="輪機系_補助孫建中老師國際SCI論文刊登(論文發表)費用。總額26,993元分攤由T114UR020371系上(躍升計畫)補助60%($16,196)+國科會計畫(T114RE000251)($10,797)。※品名:SCI論文刊登費用"/>
    <s v="輪機工程系"/>
    <x v="14"/>
  </r>
  <r>
    <x v="0"/>
    <s v="1141231"/>
    <s v="T208587"/>
    <s v="510301-2401印刷及裝訂費"/>
    <s v="T114UB000489   "/>
    <n v="1346"/>
    <s v="學生參加專題競賽/論文發表耗材、報名費※品名:A0大圖、海報、報名費"/>
    <s v="半導體工程系"/>
    <x v="23"/>
  </r>
  <r>
    <x v="0"/>
    <s v="1141231"/>
    <s v="T208587"/>
    <s v="510301-2898其他"/>
    <s v="T114UB000489   "/>
    <n v="318"/>
    <s v="學生參加專題競賽/論文發表耗材、報名費※品名:A0大圖、海報、報名費"/>
    <s v="半導體工程系"/>
    <x v="23"/>
  </r>
  <r>
    <x v="0"/>
    <s v="1141231"/>
    <s v="T208587"/>
    <s v="510301-2898其他"/>
    <s v="T114UO030200   "/>
    <n v="3500"/>
    <s v="躍升計畫_供應鏈空間及研究室空間改善費-系所空間線路檢修及配線作業※品名:配線工程"/>
    <s v="供應鏈管理系[楠梓|旗"/>
    <x v="3"/>
  </r>
  <r>
    <x v="0"/>
    <s v="1141231"/>
    <s v="T208587"/>
    <s v="510301-2B01推展費"/>
    <s v="T114UN010408   "/>
    <n v="5000"/>
    <s v="【躍升計畫】廣告宣傳費—系所形象推廣使用※品名:google廣告費"/>
    <s v="資訊管理系[第一]"/>
    <x v="18"/>
  </r>
  <r>
    <x v="0"/>
    <s v="1141231"/>
    <s v="T208587"/>
    <s v="510301-3206食品"/>
    <s v="T114UM740209   "/>
    <n v="2280"/>
    <s v="114.12.22中午12:00-13:30舉辦學期實習(一)期末報告與會人員便當※品名:便當"/>
    <s v="企管系"/>
    <x v="22"/>
  </r>
  <r>
    <x v="0"/>
    <s v="1141231"/>
    <s v="T208587"/>
    <s v="510301-720601獎助學員生給與"/>
    <s v="T114UN010410   "/>
    <n v="2000"/>
    <s v="【躍升計畫】第30屆國際資訊管理暨實務研討會(IMP2025)註冊費補助(蔡明智)-實支※品名:註冊費"/>
    <s v="資訊管理系[第一]"/>
    <x v="18"/>
  </r>
  <r>
    <x v="0"/>
    <s v="1141231"/>
    <s v="T208587"/>
    <s v="510301-720601獎助學員生給與"/>
    <s v="T114UT030165   "/>
    <n v="786"/>
    <s v="財稅系補助學生施永泰參加中華民國住宅學會舉辦研討會1場註冊費及交通費114.11.22※品名:年會及研討會費用、交通費"/>
    <s v="財政稅務系"/>
    <x v="7"/>
  </r>
  <r>
    <x v="0"/>
    <s v="1141231"/>
    <s v="T208588"/>
    <s v="510301-239801其他旅運費"/>
    <s v="T114UM740207   "/>
    <n v="1580"/>
    <s v="配合執行躍升計畫, 114.12.13 18:30-20:20高階經營專題研討課程, 邀請鼎玉家族辦公室林群貿執行長蒞校演講, 台中-高雄高鐵來回"/>
    <s v="企管系"/>
    <x v="22"/>
  </r>
  <r>
    <x v="0"/>
    <s v="1141231"/>
    <s v="T208588"/>
    <s v="510301-239801其他旅運費"/>
    <s v="T114UN010404   "/>
    <n v="2980"/>
    <s v="【躍升計畫】交通費王淳恆114/12/17(三)13:30-15:20"/>
    <s v="資訊管理系[第一]"/>
    <x v="18"/>
  </r>
  <r>
    <x v="0"/>
    <s v="1141231"/>
    <s v="T208588"/>
    <s v="510301-3201辦公（事務）用品"/>
    <s v="T114UN020165   "/>
    <n v="4139"/>
    <s v="執行計畫用藍芽鍵盤、固態硬碟(郭幸民老師)※品名:電腦周邊用品"/>
    <s v="運籌管理系[第一]"/>
    <x v="4"/>
  </r>
  <r>
    <x v="0"/>
    <s v="1141231"/>
    <s v="T208647"/>
    <s v="510301-3203農業與園藝用品及環境美化費"/>
    <s v="T114UO030201   "/>
    <n v="11400"/>
    <s v="躍升計畫_供應鏈空間及研究室空間改善費-製作系上所屬空間標示牌※品名:壓克力標示牌"/>
    <s v="供應鏈管理系[楠梓|旗"/>
    <x v="3"/>
  </r>
  <r>
    <x v="0"/>
    <s v="1141231"/>
    <s v="T208700"/>
    <s v="510301-2301國內旅費"/>
    <s v="T114UJ020391   "/>
    <n v="1521"/>
    <s v="【躍升】補助應日系教師江俊賢參加2025年度台灣日本語文學會國際研討會之交通費。高鐵:新左營-彰化，670*2=1340，火車:員林至台中，自強110元;台中至員林，區間71元。共1521元。12月11日提早北上準備資料。"/>
    <s v="外語學院應用日語系"/>
    <x v="11"/>
  </r>
  <r>
    <x v="0"/>
    <s v="1141231"/>
    <s v="T208700"/>
    <s v="510301-2301國內旅費"/>
    <s v="T114UT030168   "/>
    <n v="3380"/>
    <s v="財稅系姚名鴻老師參加「中華財政學會2025年會員大會暨學術研討會」交通費及膳雜費"/>
    <s v="財政稅務系"/>
    <x v="7"/>
  </r>
  <r>
    <x v="0"/>
    <s v="1141231"/>
    <s v="T208700"/>
    <s v="510301-720601獎助學員生給與"/>
    <s v="T114UB000478   "/>
    <n v="5960"/>
    <s v="學生至聖約翰科技大學參加資電技術應用暨永續環境研討會交通費"/>
    <s v="半導體工程系"/>
    <x v="23"/>
  </r>
  <r>
    <x v="0"/>
    <s v="1141231"/>
    <s v="T208700"/>
    <s v="510301-720601獎助學員生給與"/>
    <s v="T114UB000480   "/>
    <n v="3308"/>
    <s v="學生至彰化師範大學參加2025全國大專院校產學創新實作競賽交通費"/>
    <s v="半導體工程系"/>
    <x v="23"/>
  </r>
  <r>
    <x v="0"/>
    <s v="1141231"/>
    <s v="T208700"/>
    <s v="510301-720601獎助學員生給與"/>
    <s v="T114UB000482   "/>
    <n v="5490"/>
    <s v="學生至國立台灣科技大學參加OPTIC 2025研討會交通費"/>
    <s v="半導體工程系"/>
    <x v="23"/>
  </r>
  <r>
    <x v="0"/>
    <s v="1141231"/>
    <s v="T208723"/>
    <s v="510301-2810電腦軟體服務費"/>
    <s v="T114UE150375   "/>
    <n v="3250"/>
    <s v="用於研究文獻整理、資料分析、研究設計輔助與內容撰寫，提高研究效率與品質。※品名:AI LLM 語言模型訂閱費"/>
    <s v="林威成"/>
    <x v="21"/>
  </r>
  <r>
    <x v="0"/>
    <s v="1141231"/>
    <s v="T208725"/>
    <s v="510301-720601獎助學員生給與"/>
    <s v="T114UB000477   "/>
    <n v="5334"/>
    <s v="學生至花蓮慈濟大學參加TSBME 2025研討會交通費"/>
    <s v="半導體工程系"/>
    <x v="23"/>
  </r>
  <r>
    <x v="0"/>
    <s v="1141231"/>
    <s v="T208725"/>
    <s v="510301-720601獎助學員生給與"/>
    <s v="T114UB000479   "/>
    <n v="5334"/>
    <s v="學生至花蓮慈濟大學參加TSBME 2025研討會交通費"/>
    <s v="半導體工程系"/>
    <x v="23"/>
  </r>
  <r>
    <x v="0"/>
    <s v="1141231"/>
    <s v="T208725"/>
    <s v="510301-720601獎助學員生給與"/>
    <s v="T114UB000481   "/>
    <n v="4273"/>
    <s v="學生至彰化師範大學參加2025全國大專院校產學創新實作競賽交通費、住宿費"/>
    <s v="半導體工程系"/>
    <x v="23"/>
  </r>
  <r>
    <x v="0"/>
    <s v="1141231"/>
    <s v="T208725"/>
    <s v="510301-720601獎助學員生給與"/>
    <s v="T114UB000485   "/>
    <n v="5295"/>
    <s v="學生至國立台灣科技大學參加OPTIC 2025研討會交通費"/>
    <s v="半導體工程系"/>
    <x v="23"/>
  </r>
  <r>
    <x v="0"/>
    <s v="1141231"/>
    <s v="T208725"/>
    <s v="510301-720602獎助學員生給與-國外旅費"/>
    <s v="T114UE230362   "/>
    <n v="10000"/>
    <s v="補助王譯賢同學參加國外研討會"/>
    <s v="土木系"/>
    <x v="12"/>
  </r>
  <r>
    <x v="0"/>
    <s v="1141231"/>
    <s v="T208747"/>
    <s v="510301-2808委託考選訓練費"/>
    <s v="T114UT000217   "/>
    <n v="2500"/>
    <s v="智商系補助謝文川老師投稿IMP 2025第30屆國際資訊管理暨實務研討會暨育秀AI數位科技研創論文獎審核通過論文發表(114.12.20)註冊費支出※品名:研討會論文註冊費"/>
    <s v="智慧商務系"/>
    <x v="1"/>
  </r>
  <r>
    <x v="0"/>
    <s v="1141231"/>
    <s v="T208747"/>
    <s v="510301-2808委託考選訓練費"/>
    <s v="T114UT000218   "/>
    <n v="2000"/>
    <s v="智商系補助侯易佑老師投稿IMP 2025第30屆國際資訊管理暨實務研討會暨育秀AI數位科技研創論文獎審核通過論文發表(114.12.20)註冊費支出※品名:研討會論文註冊費"/>
    <s v="智慧商務系"/>
    <x v="1"/>
  </r>
  <r>
    <x v="0"/>
    <s v="1141231"/>
    <s v="T208747"/>
    <s v="510301-3201辦公（事務）用品"/>
    <s v="T114UN020168   "/>
    <n v="2309"/>
    <s v="執行計畫用碳粉匣(陳珍珍老師)※品名:碳粉匣"/>
    <s v="運籌管理系[第一]"/>
    <x v="4"/>
  </r>
  <r>
    <x v="0"/>
    <s v="1141231"/>
    <s v="T208747"/>
    <s v="510301-3201辦公（事務）用品"/>
    <s v="T114UT000220   "/>
    <n v="3600"/>
    <s v="智商系補助侯易佑老師為教學/研究所需採購資料儲存用品支出※品名:隨身碟、外接硬碟"/>
    <s v="智慧商務系"/>
    <x v="1"/>
  </r>
  <r>
    <x v="0"/>
    <s v="1141231"/>
    <s v="T208747"/>
    <s v="510301-3206食品"/>
    <s v="T114UR030247   "/>
    <n v="280"/>
    <s v="旗津校區/海資系/1141223(11:30~12:45)召開執行計畫會議之誤餐費，共3人。※品名:便當、素食"/>
    <s v="海事資訊科技系"/>
    <x v="17"/>
  </r>
  <r>
    <x v="0"/>
    <s v="1141231"/>
    <s v="T208814"/>
    <s v="510301-2201郵費"/>
    <s v="T114UJ020406   "/>
    <n v="535"/>
    <s v="用於推動系所躍升計畫之寄送似鳥國際獎學金資料之郵資費用。※品名:郵資"/>
    <s v="陳佩君"/>
    <x v="11"/>
  </r>
  <r>
    <x v="0"/>
    <s v="1141231"/>
    <s v="T208814"/>
    <s v="510301-2401印刷及裝訂費"/>
    <s v="T114UJ020405   "/>
    <n v="2000"/>
    <s v="影印費（研究資料學生專題討論資料）※品名:影印"/>
    <s v="小堀和彥"/>
    <x v="11"/>
  </r>
  <r>
    <x v="0"/>
    <s v="1141231"/>
    <s v="T208814"/>
    <s v="510301-3102物料"/>
    <s v="T114UQ010250   "/>
    <n v="578"/>
    <s v="受款人：葉鎧均，碩士班實習實驗材料費※品名:氣泡布4尺*100Y、稅金"/>
    <s v="造船及海洋工程系"/>
    <x v="10"/>
  </r>
  <r>
    <x v="0"/>
    <s v="1141231"/>
    <s v="T208824"/>
    <s v="510301-3201辦公（事務）用品"/>
    <s v="T114UT030171   "/>
    <n v="851"/>
    <s v="姚名鴻老師教學研究使用※品名:商品如明細所示"/>
    <s v="財政稅務系"/>
    <x v="7"/>
  </r>
  <r>
    <x v="0"/>
    <s v="1141231"/>
    <s v="T208847"/>
    <s v="510301-2507什項設備修護費"/>
    <s v="T114US190352   "/>
    <n v="69300"/>
    <s v="漁管系改質躍升計畫之英才樓9004室冷氣拆除及搬運費(5010106-03 2002552、2002553)※品名:冷氣機拆裝機"/>
    <s v="漁業科技與管理系"/>
    <x v="24"/>
  </r>
  <r>
    <x v="0"/>
    <s v="1141231"/>
    <s v="T208855"/>
    <s v="510301-720602獎助學員生給與-國外旅費"/>
    <s v="T114UF080243   "/>
    <n v="5000"/>
    <s v="工設系補助學生至國外發表論文所需註冊費(鄭詠之)"/>
    <s v="工業設計系"/>
    <x v="25"/>
  </r>
  <r>
    <x v="0"/>
    <s v="1141231"/>
    <s v="T208903"/>
    <s v="510301-3206食品"/>
    <s v="T114UC110414   "/>
    <n v="3593"/>
    <s v="辦理114-1進修部專題發表※品名:餐盒"/>
    <s v="國企系"/>
    <x v="15"/>
  </r>
  <r>
    <x v="0"/>
    <s v="1141231"/>
    <s v="T208903"/>
    <s v="510301-3106設備零件"/>
    <s v="T114UB000504   "/>
    <n v="6000"/>
    <s v="學生參加專題競賽實驗耗材※品名:傳感器、繼電器"/>
    <s v="半導體工程系"/>
    <x v="23"/>
  </r>
  <r>
    <x v="0"/>
    <s v="1141231"/>
    <s v="T208904"/>
    <s v="510301-2698其他保險費"/>
    <s v="T114UQ010259   "/>
    <n v="624"/>
    <s v="114年12月31日離岸海事工程導論師生校外參訪保險※品名:114年12月31日保險費"/>
    <s v="造船及海洋工程系"/>
    <x v="10"/>
  </r>
  <r>
    <x v="0"/>
    <s v="1141231"/>
    <s v="T208904"/>
    <s v="510301-3206食品"/>
    <s v="T114UQ010256   "/>
    <n v="3500"/>
    <s v="大專生申請學海展翅計畫、赴外交換生交流會 時間:114年12月30日 中午12:00~13:30，共35人※品名:便當"/>
    <s v="造船及海洋工程系"/>
    <x v="10"/>
  </r>
  <r>
    <x v="0"/>
    <s v="1141231"/>
    <s v="T208904"/>
    <s v="510301-3206食品"/>
    <s v="T114UQ010257   "/>
    <n v="3600"/>
    <s v="造船系專業簡報期末技術論壇籌備與發表會 時間:114年12月23日 中午12:00~16:30，共30人(30*120=3600，實支3600元)※品名:會議點心、飲料(實支600元)"/>
    <s v="造船及海洋工程系"/>
    <x v="10"/>
  </r>
  <r>
    <x v="0"/>
    <s v="1141231"/>
    <s v="T208904"/>
    <s v="510301-3206食品"/>
    <s v="T114UQ010258   "/>
    <n v="3600"/>
    <s v="造船系專業簡報期末技術論壇籌備與發表會 時間:114年12月30日 中午12:00~16:30，共30人(30*120=3600元)※品名:西點、飲料"/>
    <s v="造船及海洋工程系"/>
    <x v="10"/>
  </r>
  <r>
    <x v="0"/>
    <s v="1141231"/>
    <s v="T208904"/>
    <s v="510301-720601獎助學員生給與"/>
    <s v="T114UN010411   "/>
    <n v="2241"/>
    <s v="【躍升計畫】補助學生參加第30屆國際資訊管理暨實務研討會(IMP2025)發表論文(蔡明智)-去程台鐵自強號新左營站-桃園站(提前一天前往)；回程高鐵臺北站-新左營站(延後一天回來)，高鐵僅補助桃園站-新左營站票價1330元-實支"/>
    <s v="資訊管理系[第一]"/>
    <x v="18"/>
  </r>
  <r>
    <x v="0"/>
    <s v="1141231"/>
    <s v="T208914"/>
    <s v="510301-2301國內旅費"/>
    <s v="T114UJ020384   "/>
    <n v="2700"/>
    <s v="【躍升】補助應日系教師長安靜美參加2025年度台灣日語教育研究國際學術研討會發表之交通費。高鐵:台南-台北來回，1350*2(趟)=2700。11月28日提早至台北準備發表資料。"/>
    <s v="外語學院應用日語系"/>
    <x v="11"/>
  </r>
  <r>
    <x v="0"/>
    <s v="1141231"/>
    <s v="T208914"/>
    <s v="510301-2301國內旅費"/>
    <s v="T114UJ020399   "/>
    <n v="1580"/>
    <s v="【躍升】補助應日系教師林蕙美參加2025年度台灣日本語文學會國際學術研討會之交通費。高鐵:左營-台中當日來回，790*2(趟)=1580"/>
    <s v="外語學院應用日語系"/>
    <x v="11"/>
  </r>
  <r>
    <x v="0"/>
    <s v="1141231"/>
    <s v="T208914"/>
    <s v="510301-2301國內旅費"/>
    <s v="T114UT000219   "/>
    <n v="2660"/>
    <s v="智商系補助侯易佑老師114/12/20出席IMP2025第30屆國際資訊管理暨實務研討會暨育秀AI數位科技研創論文獎發表論文差旅費核支"/>
    <s v="智慧商務系"/>
    <x v="1"/>
  </r>
  <r>
    <x v="0"/>
    <s v="1141231"/>
    <s v="T208914"/>
    <s v="510301-720601獎助學員生給與"/>
    <s v="T114UP040229   "/>
    <n v="9620"/>
    <s v="114.1(燕巢會資系)-四會資二乙陳姿霖等學生參加會計菁英達人賽交通費"/>
    <s v="會計資訊系"/>
    <x v="6"/>
  </r>
  <r>
    <x v="0"/>
    <s v="1141231"/>
    <s v="T208914"/>
    <s v="510301-720601獎助學員生給與"/>
    <s v="T114UP040238   "/>
    <n v="5400"/>
    <s v="114.1(燕巢會資系)-四會資二甲陳可庭等學生參加會計菁英達人賽交通費"/>
    <s v="會計資訊系"/>
    <x v="6"/>
  </r>
  <r>
    <x v="0"/>
    <s v="1141231"/>
    <s v="T208914"/>
    <s v="510301-720601獎助學員生給與"/>
    <s v="T114UT000224   "/>
    <n v="2660"/>
    <s v="智商系補助侯易佑老師所指導大專生陳文俊114/12/20出席IMP2025第30屆國際資訊管理暨實務研討會暨育秀AI數位科技研創論文獎發表論文交通差旅核支"/>
    <s v="智慧商務系"/>
    <x v="1"/>
  </r>
  <r>
    <x v="0"/>
    <s v="1141231"/>
    <s v="T208916"/>
    <s v="510301-2810電腦軟體服務費"/>
    <s v="T114UT030170   "/>
    <n v="638"/>
    <s v="財稅系姚名鴻老師教學教材製作用訂閱ChatGPT Plus Subscription軟體使用費114年11月份※品名:軟體使用費"/>
    <s v="財政稅務系"/>
    <x v="7"/>
  </r>
  <r>
    <x v="0"/>
    <s v="1141231"/>
    <s v="T208916"/>
    <s v="510301-720601獎助學員生給與"/>
    <s v="T114UV000211   "/>
    <n v="7465"/>
    <s v="(楠梓-商資系-躍升計畫)補助學生2025全國資訊管理前瞻技術研討會暨專題競賽-交通費實支7465元(組別：Catch theBoat-基於 GPS 與方位的船隻辨識系統：簡偉峻、簡志恩、蔡秉儒)"/>
    <s v="商務資訊應用系"/>
    <x v="5"/>
  </r>
  <r>
    <x v="0"/>
    <s v="1141231"/>
    <s v="T303394"/>
    <s v="510301-280501講課鐘點、稿費、出席審查及查詢費"/>
    <s v="T114UM740203   "/>
    <n v="4084"/>
    <s v="配合執行躍升計畫, 114.11.29 13:30-15:30策略管理專題研討課程, 邀請知所全球資本有限公司吳東翰董事長蒞校演講"/>
    <s v="企管系"/>
    <x v="22"/>
  </r>
  <r>
    <x v="0"/>
    <s v="1141231"/>
    <s v="T303394"/>
    <s v="510301-280501講課鐘點、稿費、出席審查及查詢費"/>
    <s v="T114UM760336   "/>
    <n v="3063"/>
    <s v="付114.11.30觀光系-黃永全老師帶四觀二甲學生專題製作至潮洲鐵道園區校外參訪邀請林士賢講師導覽鐵道文化所需之鐘點費。(時間：13:00-16:00)"/>
    <s v="觀光系"/>
    <x v="16"/>
  </r>
  <r>
    <x v="0"/>
    <s v="1141231"/>
    <s v="T303394"/>
    <s v="510301-280501講課鐘點、稿費、出席審查及查詢費"/>
    <s v="T114UN010398   "/>
    <n v="4084"/>
    <s v="【躍升計畫】講座鐘點費劉哲宇114/12/10(三)13:30-15:20"/>
    <s v="資訊管理系[第一]"/>
    <x v="18"/>
  </r>
  <r>
    <x v="0"/>
    <s v="1141231"/>
    <s v="T303394"/>
    <s v="510301-6801行政規費與強制費"/>
    <s v="T114UR020362   "/>
    <n v="4550"/>
    <s v="輪機系_補助楊春陵老師發明專利申請_筆記型手提電腦外接式強制對流冷卻系統。總額9,100元分攤由T114UR020362系上(躍升計畫114TSD00-15)補助50%+系上經常門(楊春陵)補助50%。※品名:專利申請"/>
    <s v="輪機工程系"/>
    <x v="14"/>
  </r>
  <r>
    <x v="0"/>
    <s v="1141231"/>
    <s v="T303395"/>
    <s v="510301-280501講課鐘點、稿費、出席審查及查詢費"/>
    <s v="T114UC110376   "/>
    <n v="4084"/>
    <s v="推動躍升計畫執行舉辦專題演講-11/26劉芊翊"/>
    <s v="國企系"/>
    <x v="15"/>
  </r>
  <r>
    <x v="0"/>
    <s v="1141231"/>
    <s v="T303395"/>
    <s v="510301-280501講課鐘點、稿費、出席審查及查詢費"/>
    <s v="T114UM740204   "/>
    <n v="4084"/>
    <s v="配合執行躍升計畫, 114.12.09, 13:30-15:20 邀請中鋼公司鋼鐵研究發展處方俊仁研究員蒞校演講"/>
    <s v="企管系"/>
    <x v="22"/>
  </r>
  <r>
    <x v="0"/>
    <s v="1141231"/>
    <s v="T303395"/>
    <s v="510301-280501講課鐘點、稿費、出席審查及查詢費"/>
    <s v="T114UN010403   "/>
    <n v="4084"/>
    <s v="【躍升計畫】講座鐘點費王淳恆114/12/17(三)13:30-15:20"/>
    <s v="資訊管理系[第一]"/>
    <x v="18"/>
  </r>
  <r>
    <x v="0"/>
    <s v="1141231"/>
    <s v="T303395"/>
    <s v="510301-280501講課鐘點、稿費、出席審查及查詢費"/>
    <s v="T114UR030238   "/>
    <n v="2042"/>
    <s v="旗津校區/海資系/海事資訊講座/邀請朱正傑經理演講費(正家資訊有限公司)(時間:114.12.8 13:30－15:20)(講題:畢業生職場分享-資訊業)"/>
    <s v="海事資訊科技系"/>
    <x v="17"/>
  </r>
  <r>
    <x v="0"/>
    <s v="1141231"/>
    <s v="T303395"/>
    <s v="510301-280501講課鐘點、稿費、出席審查及查詢費"/>
    <s v="T114UR030241   "/>
    <n v="2042"/>
    <s v="旗津校區/海資系/海事資訊講座/邀請林俊男副教授演講費(國立高雄餐旅大學)(時間:114.12.15 13:30－15:20)(講題:AI時代的生存指南-你應該要知道的AI發展趨勢)"/>
    <s v="海事資訊科技系"/>
    <x v="17"/>
  </r>
  <r>
    <x v="0"/>
    <s v="1141231"/>
    <s v="T303395"/>
    <s v="510301-280501講課鐘點、稿費、出席審查及查詢費"/>
    <s v="T114UR030243   "/>
    <n v="2042"/>
    <s v="旗津校區/海資系/邀請崔建國委員(慈幼工商資訊科主任)，出席海資系學生職場實習委員會會議出席費(時間：114.12.16 中午12:10)"/>
    <s v="海事資訊科技系"/>
    <x v="17"/>
  </r>
  <r>
    <x v="0"/>
    <s v="1141231"/>
    <s v="T303395"/>
    <s v="510301-280501講課鐘點、稿費、出席審查及查詢費"/>
    <s v="T114UR030244   "/>
    <n v="2042"/>
    <s v="旗津校區/海資系/邀請鄭慶章委員(仲鋐科技股份有限公司總經理)，出席海資系學生職場實習委員會會議出席費(時間：114.12.16 中午12:10)"/>
    <s v="海事資訊科技系"/>
    <x v="17"/>
  </r>
  <r>
    <x v="0"/>
    <s v="1141231"/>
    <s v="T303395"/>
    <s v="510301-280501講課鐘點、稿費、出席審查及查詢費"/>
    <s v="T114US190344   "/>
    <n v="6127"/>
    <s v="漁管系碩專班課程講座鐘點費(王茂城講題：漁業未來施政方向，時間：09:00~12:00)"/>
    <s v="漁業科技與管理系"/>
    <x v="24"/>
  </r>
  <r>
    <x v="0"/>
    <s v="1141231"/>
    <s v="T303400"/>
    <s v="510301-271315工讀金"/>
    <s v="T114UN040403   "/>
    <n v="6842"/>
    <s v="114年12月何銘儀工讀金"/>
    <s v="歐宗殷"/>
    <x v="26"/>
  </r>
  <r>
    <x v="0"/>
    <s v="1141231"/>
    <s v="T303401"/>
    <s v="510301-271315工讀金"/>
    <s v="T114UN040387   "/>
    <n v="6160"/>
    <s v="114年11月何銘儀工讀金"/>
    <s v="歐宗殷"/>
    <x v="26"/>
  </r>
  <r>
    <x v="0"/>
    <s v="1141231"/>
    <s v="T303442"/>
    <s v="510301-280501講課鐘點、稿費、出席審查及查詢費"/>
    <s v="T114UM740202   "/>
    <n v="4084"/>
    <s v="配合執行躍升計畫, 114.12.04 13:30-15:20企業實務專題研討課程, 邀請聯碩能源(股)公司周裕展董事長蒞校演講, 共2節課, 每節2000元"/>
    <s v="企管系"/>
    <x v="22"/>
  </r>
  <r>
    <x v="0"/>
    <s v="1141231"/>
    <s v="T303442"/>
    <s v="510301-280501講課鐘點、稿費、出席審查及查詢費"/>
    <s v="T114UP030287   "/>
    <n v="6127"/>
    <s v="12/13邀請銘宇地政事務所凌明雲所長到校演講"/>
    <s v="財務管理系"/>
    <x v="2"/>
  </r>
  <r>
    <x v="0"/>
    <s v="1141231"/>
    <s v="T303442"/>
    <s v="510301-280501講課鐘點、稿費、出席審查及查詢費"/>
    <s v="T114UP030288   "/>
    <n v="2042"/>
    <s v="11/19金融科技與學術研究諮詢費-王昭文教授"/>
    <s v="財務管理系"/>
    <x v="2"/>
  </r>
  <r>
    <x v="0"/>
    <s v="1141231"/>
    <s v="T303450"/>
    <s v="510301-271315工讀金"/>
    <s v="T114UJ010586   "/>
    <n v="6403"/>
    <s v="莊雅雁工讀金(114年12月)"/>
    <s v="外語學院應用英語系"/>
    <x v="20"/>
  </r>
  <r>
    <x v="0"/>
    <s v="1141231"/>
    <s v="T303451"/>
    <s v="510301-271315工讀金"/>
    <s v="T114UJ010592   "/>
    <n v="3188"/>
    <s v="陳翊欣躍升計畫工讀金(114年12月)"/>
    <s v="外語學院應用英語系"/>
    <x v="20"/>
  </r>
  <r>
    <x v="0"/>
    <s v="1141231"/>
    <s v="T303470"/>
    <s v="510301-271315工讀金"/>
    <s v="T114UJ010578   "/>
    <n v="13044"/>
    <s v="張詩涵工讀金(114年12月)"/>
    <s v="外語學院應用英語系"/>
    <x v="20"/>
  </r>
  <r>
    <x v="0"/>
    <s v="1141231"/>
    <s v="T303483"/>
    <s v="510301-271315工讀金"/>
    <s v="T114UJ010583   "/>
    <n v="13044"/>
    <s v="林亞岑工讀金(114年12月)"/>
    <s v="外語學院應用英語系"/>
    <x v="20"/>
  </r>
  <r>
    <x v="0"/>
    <s v="1141231"/>
    <s v="T303490"/>
    <s v="510301-720601獎助學員生給與"/>
    <s v="T114UJ010548   "/>
    <n v="1000"/>
    <s v="114躍升計畫支應黃綵緣參加研討會發表論文註冊費(11/8)※品名:註冊費"/>
    <s v="外語學院應用英語系"/>
    <x v="20"/>
  </r>
  <r>
    <x v="0"/>
    <s v="1141231"/>
    <s v="T303490"/>
    <s v="510301-720601獎助學員生給與"/>
    <s v="T114UJ010558   "/>
    <n v="1000"/>
    <s v="114躍升計畫支應石鈞富參加研討會發表論文註冊費(11/7)※品名:註冊費"/>
    <s v="外語學院應用英語系"/>
    <x v="20"/>
  </r>
  <r>
    <x v="0"/>
    <s v="1141231"/>
    <s v="T303491"/>
    <s v="510301-280501講課鐘點、稿費、出席審查及查詢費"/>
    <s v="T114UO030199   "/>
    <n v="4084"/>
    <s v="系上就業講座課程邀請高雄餐旅大學陳麗光前來演講(日期:114年12月16日，時間:13:30~15:20)"/>
    <s v="供應鏈管理系[楠梓|旗"/>
    <x v="3"/>
  </r>
  <r>
    <x v="0"/>
    <s v="1141231"/>
    <s v="T303491"/>
    <s v="510301-280501講課鐘點、稿費、出席審查及查詢費"/>
    <s v="T114UR030246   "/>
    <n v="2042"/>
    <s v="旗津校區/海資系/海事資訊講座/邀請羅友志先生演講費(神樂企晝/資訊譯術師)(時間:114.12.22 13:30－15:20)(講題:接案經驗分享)"/>
    <s v="海事資訊科技系"/>
    <x v="17"/>
  </r>
  <r>
    <x v="0"/>
    <s v="1141231"/>
    <s v="T303497"/>
    <s v="510301-271315工讀金"/>
    <s v="T114UT000222   "/>
    <n v="4792"/>
    <s v="智商系建工系辦114年12月協助交辦工作辦理臨時人力工讀費核支(方以撒等1人)"/>
    <s v="智慧商務系"/>
    <x v="1"/>
  </r>
  <r>
    <x v="0"/>
    <s v="1141231"/>
    <s v="T303498"/>
    <s v="510301-280501講課鐘點、稿費、出席審查及查詢費"/>
    <s v="T114UM740205   "/>
    <n v="44847"/>
    <s v="配合躍升計畫執行, 系上於114.12.17舉辦2025高科大企業管理系實務專題成果發表暨競賽, 校外評審委員書面審查各組專題之審查費"/>
    <s v="企管系"/>
    <x v="22"/>
  </r>
  <r>
    <x v="0"/>
    <s v="1141231"/>
    <s v="T303499"/>
    <s v="510301-271315工讀金"/>
    <s v="T114UE150390   "/>
    <n v="3261"/>
    <s v="協助系上處理事務"/>
    <s v="張雲龍"/>
    <x v="21"/>
  </r>
  <r>
    <x v="0"/>
    <s v="1141231"/>
    <s v="T303500"/>
    <s v="510301-271315工讀金"/>
    <s v="T114UE150389   "/>
    <n v="3261"/>
    <s v="協助系上處理事務"/>
    <s v="張雲龍"/>
    <x v="21"/>
  </r>
  <r>
    <x v="0"/>
    <s v="1141231"/>
    <s v="T303501"/>
    <s v="510301-271315工讀金"/>
    <s v="T114UE150388   "/>
    <n v="3261"/>
    <s v="協助系上處理事務"/>
    <s v="張雲龍"/>
    <x v="21"/>
  </r>
  <r>
    <x v="0"/>
    <s v="1141231"/>
    <s v="T303502"/>
    <s v="510301-271315工讀金"/>
    <s v="T114UE150387   "/>
    <n v="3261"/>
    <s v="協助系上處理事務"/>
    <s v="張雲龍"/>
    <x v="21"/>
  </r>
  <r>
    <x v="0"/>
    <s v="1141231"/>
    <s v="T303503"/>
    <s v="510301-271315工讀金"/>
    <s v="T114UE150386   "/>
    <n v="3261"/>
    <s v="協助系上處理事務"/>
    <s v="張雲龍"/>
    <x v="21"/>
  </r>
  <r>
    <x v="0"/>
    <s v="1141231"/>
    <s v="T303551"/>
    <s v="510301-271315工讀金"/>
    <s v="T114UO030203   "/>
    <n v="1201"/>
    <s v="躍升計畫_協助系上辦理各項活動之工讀生(劉芊逸)"/>
    <s v="供應鏈管理系[楠梓|旗"/>
    <x v="3"/>
  </r>
  <r>
    <x v="0"/>
    <s v="1141231"/>
    <s v="T303551"/>
    <s v="510301-280501講課鐘點、稿費、出席審查及查詢費"/>
    <s v="T114UM740206   "/>
    <n v="4084"/>
    <s v="配合躍升計畫執行, 114.12.13 18:30-20:20高階經營專題研討課程, 邀請鼎玉家族辦公室林群貿執行長蒞校演講, 共2節課, 每節2,000元"/>
    <s v="企管系"/>
    <x v="22"/>
  </r>
  <r>
    <x v="0"/>
    <s v="1141231"/>
    <s v="T303551"/>
    <s v="510301-280501講課鐘點、稿費、出席審查及查詢費"/>
    <s v="T114UM740210   "/>
    <n v="4084"/>
    <s v="配合執行躍升計畫, 114.12.23 13:30-15:20企業實務專題研討課程邀請ㄓㄨㄥˋ社會企業林崇偉創辦人兼執行長蒞校演講, 共2節課, 每節2000元"/>
    <s v="企管系"/>
    <x v="22"/>
  </r>
  <r>
    <x v="0"/>
    <s v="1141231"/>
    <s v="T303551"/>
    <s v="510301-280501講課鐘點、稿費、出席審查及查詢費"/>
    <s v="T114UO030213   "/>
    <n v="2042"/>
    <s v="114年12月24日 13:45-14:45系周會邀請羅心汝演講之鐘點費，主題:從台灣到歐洲 交換學生經驗分享，地點:學生活動中心音樂廳"/>
    <s v="供應鏈管理系[楠梓|旗"/>
    <x v="3"/>
  </r>
  <r>
    <x v="0"/>
    <s v="1141231"/>
    <s v="T303551"/>
    <s v="510301-280501講課鐘點、稿費、出席審查及查詢費"/>
    <s v="T114UO030215   "/>
    <n v="4084"/>
    <s v="系上就業講座課程邀請畢業校友王建華前來演講，主題:電商(蝦皮)物流作業座談(日期:114年12月26日，時間:13:30~15:20)"/>
    <s v="供應鏈管理系[楠梓|旗"/>
    <x v="3"/>
  </r>
  <r>
    <x v="0"/>
    <s v="1141231"/>
    <s v="T303551"/>
    <s v="510301-280501講課鐘點、稿費、出席審查及查詢費"/>
    <s v="T114UO040331   "/>
    <n v="4084"/>
    <s v="支付[教師成長社群]-陳加錞專題演講講師鐘點費_x000a_主題：全港通航業-新臺馬輪_x000a_時間：114年12月18日15：00至17：00"/>
    <s v="李孟璁"/>
    <x v="9"/>
  </r>
  <r>
    <x v="0"/>
    <s v="1141231"/>
    <s v="T303553"/>
    <s v="510301-280501講課鐘點、稿費、出席審查及查詢費"/>
    <s v="T114UP030301   "/>
    <n v="2042"/>
    <s v="11/25財務與投資操作應用諮詢費-林崇德工程師"/>
    <s v="財務管理系"/>
    <x v="2"/>
  </r>
  <r>
    <x v="0"/>
    <s v="1141231"/>
    <s v="T303553"/>
    <s v="510301-280501講課鐘點、稿費、出席審查及查詢費"/>
    <s v="T114UP030302   "/>
    <n v="2042"/>
    <s v="12/23機器學習於股票走勢預測之應用諮詢-林崇德工程師"/>
    <s v="財務管理系"/>
    <x v="2"/>
  </r>
  <r>
    <x v="0"/>
    <s v="1141231"/>
    <s v="T303554"/>
    <s v="510301-280501講課鐘點、稿費、出席審查及查詢費"/>
    <s v="T114UR030248   "/>
    <n v="2042"/>
    <s v="旗津校區/海資系/海事資訊講座/邀請鄭伊庭經理演講費(秀威出版社)(時間:114.12.29 13:30－15:20)(講題:AI衝擊下出版產業的發展)"/>
    <s v="海事資訊科技系"/>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39A623-A3B6-4E99-BF8C-2EBBF4AD249A}" name="樞紐分析表1" cacheId="4"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K1:L29" firstHeaderRow="1" firstDataRow="1" firstDataCol="1"/>
  <pivotFields count="9">
    <pivotField showAll="0">
      <items count="2">
        <item x="0"/>
        <item t="default"/>
      </items>
    </pivotField>
    <pivotField showAll="0"/>
    <pivotField showAll="0"/>
    <pivotField showAll="0"/>
    <pivotField showAll="0"/>
    <pivotField dataField="1" numFmtId="3" showAll="0"/>
    <pivotField showAll="0"/>
    <pivotField showAll="0"/>
    <pivotField axis="axisRow" showAll="0">
      <items count="28">
        <item x="0"/>
        <item x="12"/>
        <item x="25"/>
        <item x="23"/>
        <item x="22"/>
        <item x="26"/>
        <item x="3"/>
        <item x="8"/>
        <item x="9"/>
        <item x="17"/>
        <item x="19"/>
        <item x="13"/>
        <item x="7"/>
        <item x="2"/>
        <item x="5"/>
        <item x="15"/>
        <item x="10"/>
        <item x="1"/>
        <item x="6"/>
        <item x="21"/>
        <item x="18"/>
        <item x="4"/>
        <item x="24"/>
        <item x="14"/>
        <item x="11"/>
        <item x="20"/>
        <item x="16"/>
        <item t="default"/>
      </items>
    </pivotField>
  </pivotFields>
  <rowFields count="1">
    <field x="8"/>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加總 - 金額"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經費用途" xr10:uid="{8BC59B85-533D-4DE5-83B6-89873A108733}" sourceName="經費用途">
  <pivotTables>
    <pivotTable tabId="2" name="樞紐分析表1"/>
  </pivotTables>
  <data>
    <tabular pivotCacheId="1590334319">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經費用途" xr10:uid="{F37486DF-899C-427D-B070-F82645C620FD}" cache="Slicer_經費用途" caption="經費用途" rowHeight="222250"/>
</slicer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194"/>
  <sheetViews>
    <sheetView zoomScaleNormal="100" workbookViewId="0">
      <selection activeCell="A16" sqref="A16"/>
    </sheetView>
  </sheetViews>
  <sheetFormatPr defaultColWidth="9" defaultRowHeight="16.2" x14ac:dyDescent="0.3"/>
  <cols>
    <col min="1" max="1" width="20.6640625" style="2" customWidth="1"/>
    <col min="2" max="3" width="18.6640625" style="2" customWidth="1"/>
    <col min="4" max="4" width="21" style="21" customWidth="1"/>
    <col min="5" max="5" width="20" style="7" customWidth="1"/>
    <col min="6" max="6" width="15.6640625" style="18" customWidth="1"/>
    <col min="7" max="8" width="15.6640625" style="10" customWidth="1"/>
    <col min="9" max="9" width="15.44140625" style="10" customWidth="1"/>
    <col min="10" max="10" width="20.6640625" style="10" customWidth="1"/>
    <col min="11" max="11" width="9" style="2" customWidth="1"/>
    <col min="12" max="16384" width="9" style="2"/>
  </cols>
  <sheetData>
    <row r="1" spans="1:13" x14ac:dyDescent="0.3">
      <c r="A1" s="2" t="s">
        <v>0</v>
      </c>
      <c r="D1" s="7"/>
      <c r="F1" s="10"/>
    </row>
    <row r="2" spans="1:13" ht="28.2" x14ac:dyDescent="0.3">
      <c r="A2" s="42" t="s">
        <v>1</v>
      </c>
      <c r="B2" s="42"/>
      <c r="C2" s="42"/>
      <c r="D2" s="42"/>
      <c r="E2" s="42"/>
      <c r="F2" s="42"/>
      <c r="G2" s="42"/>
      <c r="H2" s="42"/>
      <c r="I2" s="42"/>
      <c r="J2" s="42"/>
    </row>
    <row r="3" spans="1:13" ht="28.2" x14ac:dyDescent="0.3">
      <c r="A3" s="42" t="s">
        <v>2</v>
      </c>
      <c r="B3" s="42"/>
      <c r="C3" s="42"/>
      <c r="D3" s="42"/>
      <c r="E3" s="42"/>
      <c r="F3" s="42"/>
      <c r="G3" s="42"/>
      <c r="H3" s="42"/>
      <c r="I3" s="42"/>
      <c r="J3" s="42"/>
    </row>
    <row r="4" spans="1:13" ht="48.6" x14ac:dyDescent="0.3">
      <c r="D4" s="2"/>
      <c r="E4" s="2"/>
      <c r="F4" s="2"/>
      <c r="G4" s="2"/>
      <c r="H4" s="2"/>
      <c r="I4" s="2"/>
      <c r="J4" s="13" t="s">
        <v>3</v>
      </c>
    </row>
    <row r="5" spans="1:13" x14ac:dyDescent="0.3">
      <c r="A5" s="8" t="s">
        <v>4</v>
      </c>
      <c r="B5" s="34" t="s">
        <v>5</v>
      </c>
      <c r="C5" s="34"/>
      <c r="D5" s="34"/>
      <c r="E5" s="34"/>
      <c r="F5" s="9" t="s">
        <v>6</v>
      </c>
      <c r="G5" s="34" t="s">
        <v>7</v>
      </c>
      <c r="H5" s="34"/>
      <c r="I5" s="34"/>
      <c r="J5" s="34"/>
    </row>
    <row r="6" spans="1:13" x14ac:dyDescent="0.3">
      <c r="A6" s="8" t="s">
        <v>8</v>
      </c>
      <c r="B6" s="43" t="s">
        <v>7</v>
      </c>
      <c r="C6" s="44"/>
      <c r="D6" s="44"/>
      <c r="E6" s="45"/>
      <c r="F6" s="9" t="s">
        <v>9</v>
      </c>
      <c r="G6" s="34" t="s">
        <v>10</v>
      </c>
      <c r="H6" s="34"/>
      <c r="I6" s="34"/>
      <c r="J6" s="34"/>
    </row>
    <row r="7" spans="1:13" x14ac:dyDescent="0.3">
      <c r="A7" s="40" t="s">
        <v>11</v>
      </c>
      <c r="B7" s="33" t="s">
        <v>12</v>
      </c>
      <c r="C7" s="33"/>
      <c r="D7" s="33"/>
      <c r="E7" s="33"/>
      <c r="F7" s="33"/>
      <c r="G7" s="33"/>
      <c r="H7" s="33"/>
      <c r="I7" s="33"/>
      <c r="J7" s="33"/>
    </row>
    <row r="8" spans="1:13" x14ac:dyDescent="0.3">
      <c r="A8" s="41"/>
      <c r="B8" s="33"/>
      <c r="C8" s="33"/>
      <c r="D8" s="33"/>
      <c r="E8" s="33"/>
      <c r="F8" s="33"/>
      <c r="G8" s="33"/>
      <c r="H8" s="33"/>
      <c r="I8" s="33"/>
      <c r="J8" s="33"/>
    </row>
    <row r="9" spans="1:13" x14ac:dyDescent="0.3">
      <c r="A9" s="8" t="s">
        <v>13</v>
      </c>
      <c r="B9" s="33" t="s">
        <v>14</v>
      </c>
      <c r="C9" s="33"/>
      <c r="D9" s="33"/>
      <c r="E9" s="33"/>
      <c r="F9" s="9" t="s">
        <v>15</v>
      </c>
      <c r="G9" s="34" t="s">
        <v>10</v>
      </c>
      <c r="H9" s="34"/>
      <c r="I9" s="34"/>
      <c r="J9" s="34"/>
    </row>
    <row r="10" spans="1:13" x14ac:dyDescent="0.3">
      <c r="A10" s="8" t="s">
        <v>16</v>
      </c>
      <c r="B10" s="8" t="s">
        <v>17</v>
      </c>
      <c r="C10" s="8" t="s">
        <v>18</v>
      </c>
      <c r="D10" s="6" t="s">
        <v>19</v>
      </c>
      <c r="E10" s="9" t="s">
        <v>20</v>
      </c>
      <c r="F10" s="9" t="s">
        <v>21</v>
      </c>
      <c r="G10" s="9" t="s">
        <v>22</v>
      </c>
      <c r="H10" s="9" t="s">
        <v>23</v>
      </c>
      <c r="I10" s="35" t="s">
        <v>24</v>
      </c>
      <c r="J10" s="37"/>
    </row>
    <row r="11" spans="1:13" ht="32.4" x14ac:dyDescent="0.3">
      <c r="A11" s="11" t="s">
        <v>25</v>
      </c>
      <c r="B11" s="4">
        <v>20100000</v>
      </c>
      <c r="C11" s="4">
        <v>1360934</v>
      </c>
      <c r="D11" s="4">
        <v>0</v>
      </c>
      <c r="E11" s="4">
        <v>0</v>
      </c>
      <c r="F11" s="4">
        <v>0</v>
      </c>
      <c r="G11" s="4">
        <v>0</v>
      </c>
      <c r="H11" s="3">
        <f>B11-C11-D11-E11-F11-G11</f>
        <v>18739066</v>
      </c>
      <c r="I11" s="38">
        <f>IF(B11,(C11/B11)*100,0)</f>
        <v>6.7708159203980101</v>
      </c>
      <c r="J11" s="39"/>
    </row>
    <row r="12" spans="1:13" x14ac:dyDescent="0.3">
      <c r="A12" s="8" t="s">
        <v>26</v>
      </c>
      <c r="B12" s="4">
        <v>20100000</v>
      </c>
      <c r="C12" s="4">
        <v>1360934</v>
      </c>
      <c r="D12" s="4">
        <v>0</v>
      </c>
      <c r="E12" s="4">
        <v>0</v>
      </c>
      <c r="F12" s="4">
        <v>0</v>
      </c>
      <c r="G12" s="4">
        <v>0</v>
      </c>
      <c r="H12" s="5">
        <f>B12-C12-D12-E12-F12-G12-F13</f>
        <v>18739066</v>
      </c>
      <c r="I12" s="38">
        <f>IF(B12,(C12/B12)*100,0)</f>
        <v>6.7708159203980101</v>
      </c>
      <c r="J12" s="39"/>
    </row>
    <row r="13" spans="1:13" x14ac:dyDescent="0.3">
      <c r="A13" s="8" t="s">
        <v>27</v>
      </c>
      <c r="B13" s="4">
        <v>0</v>
      </c>
      <c r="C13" s="8" t="s">
        <v>28</v>
      </c>
      <c r="D13" s="4">
        <v>0</v>
      </c>
      <c r="E13" s="4"/>
      <c r="F13" s="19"/>
      <c r="G13" s="4"/>
      <c r="H13" s="14"/>
      <c r="I13" s="9"/>
      <c r="J13" s="4"/>
    </row>
    <row r="14" spans="1:13" x14ac:dyDescent="0.3">
      <c r="A14" s="8" t="s">
        <v>29</v>
      </c>
      <c r="B14" s="17">
        <v>0</v>
      </c>
      <c r="C14" s="8"/>
      <c r="D14" s="17"/>
      <c r="E14" s="17"/>
      <c r="F14" s="20"/>
      <c r="G14" s="20"/>
      <c r="H14" s="15"/>
      <c r="I14" s="9" t="s">
        <v>30</v>
      </c>
      <c r="J14" s="16">
        <v>-1360934</v>
      </c>
    </row>
    <row r="15" spans="1:13" x14ac:dyDescent="0.3">
      <c r="B15" s="10"/>
      <c r="D15" s="7"/>
      <c r="F15" s="10"/>
    </row>
    <row r="16" spans="1:13" x14ac:dyDescent="0.3">
      <c r="A16" s="8" t="s">
        <v>16</v>
      </c>
      <c r="B16" s="8" t="s">
        <v>31</v>
      </c>
      <c r="C16" s="8" t="s">
        <v>32</v>
      </c>
      <c r="D16" s="6" t="s">
        <v>33</v>
      </c>
      <c r="E16" s="12" t="s">
        <v>34</v>
      </c>
      <c r="F16" s="9" t="s">
        <v>35</v>
      </c>
      <c r="G16" s="35" t="s">
        <v>36</v>
      </c>
      <c r="H16" s="36"/>
      <c r="I16" s="9" t="s">
        <v>37</v>
      </c>
      <c r="J16" s="9" t="s">
        <v>38</v>
      </c>
      <c r="K16" s="10"/>
      <c r="L16" s="10"/>
      <c r="M16" s="10"/>
    </row>
    <row r="17" spans="1:10" x14ac:dyDescent="0.3">
      <c r="A17" s="25" t="s">
        <v>39</v>
      </c>
      <c r="B17" s="22"/>
      <c r="C17" s="22"/>
      <c r="D17" s="23"/>
      <c r="E17" s="22"/>
      <c r="F17" s="24"/>
      <c r="G17" s="23"/>
      <c r="H17" s="23"/>
      <c r="I17" s="23"/>
      <c r="J17" s="23"/>
    </row>
    <row r="18" spans="1:10" x14ac:dyDescent="0.3">
      <c r="B18" s="29" t="s">
        <v>40</v>
      </c>
      <c r="C18" s="46" t="s">
        <v>41</v>
      </c>
      <c r="D18" s="47"/>
      <c r="E18" s="48"/>
      <c r="F18" s="49"/>
      <c r="G18" s="46"/>
      <c r="H18" s="46"/>
      <c r="I18" s="46"/>
      <c r="J18" s="46"/>
    </row>
    <row r="19" spans="1:10" x14ac:dyDescent="0.3">
      <c r="A19" s="25" t="s">
        <v>42</v>
      </c>
      <c r="B19" s="22"/>
      <c r="C19" s="22"/>
      <c r="D19" s="30"/>
      <c r="E19" s="31"/>
      <c r="F19" s="24"/>
      <c r="G19" s="23"/>
      <c r="H19" s="23"/>
      <c r="I19" s="23"/>
      <c r="J19" s="23"/>
    </row>
    <row r="20" spans="1:10" x14ac:dyDescent="0.3">
      <c r="B20" s="29" t="s">
        <v>40</v>
      </c>
      <c r="C20" s="46" t="s">
        <v>43</v>
      </c>
      <c r="D20" s="47"/>
      <c r="E20" s="48"/>
      <c r="F20" s="49"/>
      <c r="G20" s="46"/>
      <c r="H20" s="46"/>
      <c r="I20" s="46"/>
      <c r="J20" s="46"/>
    </row>
    <row r="21" spans="1:10" x14ac:dyDescent="0.3">
      <c r="A21" s="25" t="s">
        <v>25</v>
      </c>
      <c r="B21" s="22"/>
      <c r="C21" s="22"/>
      <c r="D21" s="30"/>
      <c r="E21" s="31"/>
      <c r="F21" s="24"/>
      <c r="G21" s="23"/>
      <c r="H21" s="23"/>
      <c r="I21" s="23"/>
      <c r="J21" s="23"/>
    </row>
    <row r="22" spans="1:10" ht="48.6" x14ac:dyDescent="0.3">
      <c r="A22" s="2" t="s">
        <v>44</v>
      </c>
      <c r="B22" s="26" t="s">
        <v>45</v>
      </c>
      <c r="C22" s="26" t="s">
        <v>46</v>
      </c>
      <c r="D22" s="28" t="s">
        <v>47</v>
      </c>
      <c r="E22" s="28" t="s">
        <v>48</v>
      </c>
      <c r="F22" s="32">
        <v>67392</v>
      </c>
      <c r="G22" s="46" t="s">
        <v>49</v>
      </c>
      <c r="H22" s="46"/>
      <c r="I22" s="27" t="s">
        <v>50</v>
      </c>
      <c r="J22" s="27" t="s">
        <v>7</v>
      </c>
    </row>
    <row r="23" spans="1:10" ht="48.6" x14ac:dyDescent="0.3">
      <c r="A23" s="2" t="s">
        <v>44</v>
      </c>
      <c r="B23" s="26" t="s">
        <v>45</v>
      </c>
      <c r="C23" s="26" t="s">
        <v>51</v>
      </c>
      <c r="D23" s="28" t="s">
        <v>47</v>
      </c>
      <c r="E23" s="28" t="s">
        <v>52</v>
      </c>
      <c r="F23" s="32">
        <v>30633</v>
      </c>
      <c r="G23" s="46" t="s">
        <v>53</v>
      </c>
      <c r="H23" s="46"/>
      <c r="I23" s="27" t="s">
        <v>50</v>
      </c>
      <c r="J23" s="27" t="s">
        <v>7</v>
      </c>
    </row>
    <row r="24" spans="1:10" ht="48.6" x14ac:dyDescent="0.3">
      <c r="A24" s="2" t="s">
        <v>44</v>
      </c>
      <c r="B24" s="26" t="s">
        <v>45</v>
      </c>
      <c r="C24" s="26" t="s">
        <v>54</v>
      </c>
      <c r="D24" s="28" t="s">
        <v>47</v>
      </c>
      <c r="E24" s="28" t="s">
        <v>55</v>
      </c>
      <c r="F24" s="32">
        <v>33696</v>
      </c>
      <c r="G24" s="46" t="s">
        <v>56</v>
      </c>
      <c r="H24" s="46"/>
      <c r="I24" s="27" t="s">
        <v>50</v>
      </c>
      <c r="J24" s="27" t="s">
        <v>7</v>
      </c>
    </row>
    <row r="25" spans="1:10" ht="48.6" x14ac:dyDescent="0.3">
      <c r="A25" s="2" t="s">
        <v>44</v>
      </c>
      <c r="B25" s="26" t="s">
        <v>45</v>
      </c>
      <c r="C25" s="26" t="s">
        <v>57</v>
      </c>
      <c r="D25" s="28" t="s">
        <v>47</v>
      </c>
      <c r="E25" s="28" t="s">
        <v>58</v>
      </c>
      <c r="F25" s="32">
        <v>52076</v>
      </c>
      <c r="G25" s="46" t="s">
        <v>59</v>
      </c>
      <c r="H25" s="46"/>
      <c r="I25" s="27" t="s">
        <v>50</v>
      </c>
      <c r="J25" s="27" t="s">
        <v>7</v>
      </c>
    </row>
    <row r="26" spans="1:10" ht="48.6" x14ac:dyDescent="0.3">
      <c r="A26" s="2" t="s">
        <v>44</v>
      </c>
      <c r="B26" s="26" t="s">
        <v>45</v>
      </c>
      <c r="C26" s="26" t="s">
        <v>60</v>
      </c>
      <c r="D26" s="28" t="s">
        <v>47</v>
      </c>
      <c r="E26" s="28" t="s">
        <v>61</v>
      </c>
      <c r="F26" s="32">
        <v>49013</v>
      </c>
      <c r="G26" s="46" t="s">
        <v>62</v>
      </c>
      <c r="H26" s="46"/>
      <c r="I26" s="27" t="s">
        <v>50</v>
      </c>
      <c r="J26" s="27" t="s">
        <v>7</v>
      </c>
    </row>
    <row r="27" spans="1:10" ht="48.6" x14ac:dyDescent="0.3">
      <c r="A27" s="2" t="s">
        <v>44</v>
      </c>
      <c r="B27" s="26" t="s">
        <v>45</v>
      </c>
      <c r="C27" s="26" t="s">
        <v>63</v>
      </c>
      <c r="D27" s="28" t="s">
        <v>47</v>
      </c>
      <c r="E27" s="28" t="s">
        <v>64</v>
      </c>
      <c r="F27" s="32">
        <v>45949</v>
      </c>
      <c r="G27" s="46" t="s">
        <v>65</v>
      </c>
      <c r="H27" s="46"/>
      <c r="I27" s="27" t="s">
        <v>50</v>
      </c>
      <c r="J27" s="27" t="s">
        <v>7</v>
      </c>
    </row>
    <row r="28" spans="1:10" ht="48.6" x14ac:dyDescent="0.3">
      <c r="A28" s="2" t="s">
        <v>44</v>
      </c>
      <c r="B28" s="26" t="s">
        <v>45</v>
      </c>
      <c r="C28" s="26" t="s">
        <v>66</v>
      </c>
      <c r="D28" s="28" t="s">
        <v>47</v>
      </c>
      <c r="E28" s="28" t="s">
        <v>67</v>
      </c>
      <c r="F28" s="32">
        <v>64329</v>
      </c>
      <c r="G28" s="46" t="s">
        <v>68</v>
      </c>
      <c r="H28" s="46"/>
      <c r="I28" s="27" t="s">
        <v>50</v>
      </c>
      <c r="J28" s="27" t="s">
        <v>7</v>
      </c>
    </row>
    <row r="29" spans="1:10" ht="48.6" x14ac:dyDescent="0.3">
      <c r="A29" s="2" t="s">
        <v>44</v>
      </c>
      <c r="B29" s="26" t="s">
        <v>45</v>
      </c>
      <c r="C29" s="26" t="s">
        <v>69</v>
      </c>
      <c r="D29" s="28" t="s">
        <v>47</v>
      </c>
      <c r="E29" s="28" t="s">
        <v>70</v>
      </c>
      <c r="F29" s="32">
        <v>52076</v>
      </c>
      <c r="G29" s="46" t="s">
        <v>71</v>
      </c>
      <c r="H29" s="46"/>
      <c r="I29" s="27" t="s">
        <v>50</v>
      </c>
      <c r="J29" s="27" t="s">
        <v>7</v>
      </c>
    </row>
    <row r="30" spans="1:10" ht="48.6" x14ac:dyDescent="0.3">
      <c r="A30" s="2" t="s">
        <v>44</v>
      </c>
      <c r="B30" s="26" t="s">
        <v>72</v>
      </c>
      <c r="C30" s="26" t="s">
        <v>73</v>
      </c>
      <c r="D30" s="28" t="s">
        <v>47</v>
      </c>
      <c r="E30" s="28" t="s">
        <v>74</v>
      </c>
      <c r="F30" s="32">
        <v>55139</v>
      </c>
      <c r="G30" s="46" t="s">
        <v>75</v>
      </c>
      <c r="H30" s="46"/>
      <c r="I30" s="27" t="s">
        <v>50</v>
      </c>
      <c r="J30" s="27" t="s">
        <v>7</v>
      </c>
    </row>
    <row r="31" spans="1:10" ht="32.4" x14ac:dyDescent="0.3">
      <c r="A31" s="2" t="s">
        <v>44</v>
      </c>
      <c r="B31" s="26" t="s">
        <v>76</v>
      </c>
      <c r="C31" s="26" t="s">
        <v>77</v>
      </c>
      <c r="D31" s="28" t="s">
        <v>78</v>
      </c>
      <c r="E31" s="28" t="s">
        <v>79</v>
      </c>
      <c r="F31" s="32">
        <v>79680</v>
      </c>
      <c r="G31" s="46" t="s">
        <v>80</v>
      </c>
      <c r="H31" s="46"/>
      <c r="I31" s="27" t="s">
        <v>81</v>
      </c>
      <c r="J31" s="27" t="s">
        <v>7</v>
      </c>
    </row>
    <row r="32" spans="1:10" ht="32.4" x14ac:dyDescent="0.3">
      <c r="A32" s="2" t="s">
        <v>44</v>
      </c>
      <c r="B32" s="26" t="s">
        <v>76</v>
      </c>
      <c r="C32" s="26" t="s">
        <v>82</v>
      </c>
      <c r="D32" s="28" t="s">
        <v>83</v>
      </c>
      <c r="E32" s="28" t="s">
        <v>84</v>
      </c>
      <c r="F32" s="32">
        <v>29428</v>
      </c>
      <c r="G32" s="46" t="s">
        <v>85</v>
      </c>
      <c r="H32" s="46"/>
      <c r="I32" s="27" t="s">
        <v>86</v>
      </c>
      <c r="J32" s="27" t="s">
        <v>7</v>
      </c>
    </row>
    <row r="33" spans="1:10" ht="32.4" x14ac:dyDescent="0.3">
      <c r="A33" s="2" t="s">
        <v>44</v>
      </c>
      <c r="B33" s="26" t="s">
        <v>76</v>
      </c>
      <c r="C33" s="26" t="s">
        <v>87</v>
      </c>
      <c r="D33" s="28" t="s">
        <v>83</v>
      </c>
      <c r="E33" s="28" t="s">
        <v>88</v>
      </c>
      <c r="F33" s="32">
        <v>15815</v>
      </c>
      <c r="G33" s="46" t="s">
        <v>89</v>
      </c>
      <c r="H33" s="46"/>
      <c r="I33" s="27" t="s">
        <v>86</v>
      </c>
      <c r="J33" s="27" t="s">
        <v>7</v>
      </c>
    </row>
    <row r="34" spans="1:10" ht="32.4" x14ac:dyDescent="0.3">
      <c r="A34" s="2" t="s">
        <v>44</v>
      </c>
      <c r="B34" s="26" t="s">
        <v>76</v>
      </c>
      <c r="C34" s="26" t="s">
        <v>90</v>
      </c>
      <c r="D34" s="28" t="s">
        <v>91</v>
      </c>
      <c r="E34" s="28" t="s">
        <v>92</v>
      </c>
      <c r="F34" s="32">
        <v>15750</v>
      </c>
      <c r="G34" s="46" t="s">
        <v>93</v>
      </c>
      <c r="H34" s="46"/>
      <c r="I34" s="27" t="s">
        <v>94</v>
      </c>
      <c r="J34" s="27" t="s">
        <v>7</v>
      </c>
    </row>
    <row r="35" spans="1:10" ht="32.4" x14ac:dyDescent="0.3">
      <c r="A35" s="2" t="s">
        <v>44</v>
      </c>
      <c r="B35" s="26" t="s">
        <v>76</v>
      </c>
      <c r="C35" s="26" t="s">
        <v>95</v>
      </c>
      <c r="D35" s="28" t="s">
        <v>96</v>
      </c>
      <c r="E35" s="28" t="s">
        <v>97</v>
      </c>
      <c r="F35" s="32">
        <v>22260</v>
      </c>
      <c r="G35" s="46" t="s">
        <v>98</v>
      </c>
      <c r="H35" s="46"/>
      <c r="I35" s="27" t="s">
        <v>99</v>
      </c>
      <c r="J35" s="27" t="s">
        <v>7</v>
      </c>
    </row>
    <row r="36" spans="1:10" ht="32.4" x14ac:dyDescent="0.3">
      <c r="A36" s="2" t="s">
        <v>44</v>
      </c>
      <c r="B36" s="26" t="s">
        <v>100</v>
      </c>
      <c r="C36" s="26" t="s">
        <v>101</v>
      </c>
      <c r="D36" s="28" t="s">
        <v>102</v>
      </c>
      <c r="E36" s="28" t="s">
        <v>103</v>
      </c>
      <c r="F36" s="32">
        <v>4280</v>
      </c>
      <c r="G36" s="46" t="s">
        <v>104</v>
      </c>
      <c r="H36" s="46"/>
      <c r="I36" s="27" t="s">
        <v>105</v>
      </c>
      <c r="J36" s="27" t="s">
        <v>7</v>
      </c>
    </row>
    <row r="37" spans="1:10" ht="32.4" x14ac:dyDescent="0.3">
      <c r="A37" s="2" t="s">
        <v>44</v>
      </c>
      <c r="B37" s="26" t="s">
        <v>100</v>
      </c>
      <c r="C37" s="26" t="s">
        <v>101</v>
      </c>
      <c r="D37" s="28" t="s">
        <v>102</v>
      </c>
      <c r="E37" s="28" t="s">
        <v>106</v>
      </c>
      <c r="F37" s="32">
        <v>360</v>
      </c>
      <c r="G37" s="46" t="s">
        <v>107</v>
      </c>
      <c r="H37" s="46"/>
      <c r="I37" s="27" t="s">
        <v>105</v>
      </c>
      <c r="J37" s="27" t="s">
        <v>7</v>
      </c>
    </row>
    <row r="38" spans="1:10" ht="48.6" x14ac:dyDescent="0.3">
      <c r="A38" s="2" t="s">
        <v>44</v>
      </c>
      <c r="B38" s="26" t="s">
        <v>100</v>
      </c>
      <c r="C38" s="26" t="s">
        <v>108</v>
      </c>
      <c r="D38" s="28" t="s">
        <v>47</v>
      </c>
      <c r="E38" s="28" t="s">
        <v>109</v>
      </c>
      <c r="F38" s="32">
        <v>20423</v>
      </c>
      <c r="G38" s="46" t="s">
        <v>110</v>
      </c>
      <c r="H38" s="46"/>
      <c r="I38" s="27" t="s">
        <v>105</v>
      </c>
      <c r="J38" s="27" t="s">
        <v>7</v>
      </c>
    </row>
    <row r="39" spans="1:10" ht="32.4" x14ac:dyDescent="0.3">
      <c r="A39" s="2" t="s">
        <v>44</v>
      </c>
      <c r="B39" s="26" t="s">
        <v>111</v>
      </c>
      <c r="C39" s="26" t="s">
        <v>112</v>
      </c>
      <c r="D39" s="28" t="s">
        <v>113</v>
      </c>
      <c r="E39" s="28" t="s">
        <v>114</v>
      </c>
      <c r="F39" s="32">
        <v>4500</v>
      </c>
      <c r="G39" s="46" t="s">
        <v>115</v>
      </c>
      <c r="H39" s="46"/>
      <c r="I39" s="27" t="s">
        <v>86</v>
      </c>
      <c r="J39" s="27" t="s">
        <v>7</v>
      </c>
    </row>
    <row r="40" spans="1:10" ht="32.4" x14ac:dyDescent="0.3">
      <c r="A40" s="2" t="s">
        <v>44</v>
      </c>
      <c r="B40" s="26" t="s">
        <v>111</v>
      </c>
      <c r="C40" s="26" t="s">
        <v>112</v>
      </c>
      <c r="D40" s="28" t="s">
        <v>113</v>
      </c>
      <c r="E40" s="28" t="s">
        <v>116</v>
      </c>
      <c r="F40" s="32">
        <v>7600</v>
      </c>
      <c r="G40" s="46" t="s">
        <v>117</v>
      </c>
      <c r="H40" s="46"/>
      <c r="I40" s="27" t="s">
        <v>86</v>
      </c>
      <c r="J40" s="27" t="s">
        <v>7</v>
      </c>
    </row>
    <row r="41" spans="1:10" ht="32.4" x14ac:dyDescent="0.3">
      <c r="A41" s="2" t="s">
        <v>44</v>
      </c>
      <c r="B41" s="26" t="s">
        <v>111</v>
      </c>
      <c r="C41" s="26" t="s">
        <v>112</v>
      </c>
      <c r="D41" s="28" t="s">
        <v>83</v>
      </c>
      <c r="E41" s="28" t="s">
        <v>118</v>
      </c>
      <c r="F41" s="32">
        <v>1686</v>
      </c>
      <c r="G41" s="46" t="s">
        <v>119</v>
      </c>
      <c r="H41" s="46"/>
      <c r="I41" s="27" t="s">
        <v>120</v>
      </c>
      <c r="J41" s="27" t="s">
        <v>7</v>
      </c>
    </row>
    <row r="42" spans="1:10" ht="32.4" x14ac:dyDescent="0.3">
      <c r="A42" s="2" t="s">
        <v>44</v>
      </c>
      <c r="B42" s="26" t="s">
        <v>121</v>
      </c>
      <c r="C42" s="26" t="s">
        <v>122</v>
      </c>
      <c r="D42" s="28" t="s">
        <v>123</v>
      </c>
      <c r="E42" s="28" t="s">
        <v>124</v>
      </c>
      <c r="F42" s="32">
        <v>1094</v>
      </c>
      <c r="G42" s="46" t="s">
        <v>125</v>
      </c>
      <c r="H42" s="46"/>
      <c r="I42" s="27" t="s">
        <v>126</v>
      </c>
      <c r="J42" s="27" t="s">
        <v>7</v>
      </c>
    </row>
    <row r="43" spans="1:10" x14ac:dyDescent="0.3">
      <c r="A43" s="2" t="s">
        <v>44</v>
      </c>
      <c r="B43" s="26" t="s">
        <v>127</v>
      </c>
      <c r="C43" s="26" t="s">
        <v>128</v>
      </c>
      <c r="D43" s="28" t="s">
        <v>96</v>
      </c>
      <c r="E43" s="28" t="s">
        <v>129</v>
      </c>
      <c r="F43" s="32">
        <v>4791</v>
      </c>
      <c r="G43" s="46" t="s">
        <v>130</v>
      </c>
      <c r="H43" s="46"/>
      <c r="I43" s="27" t="s">
        <v>131</v>
      </c>
      <c r="J43" s="27" t="s">
        <v>7</v>
      </c>
    </row>
    <row r="44" spans="1:10" x14ac:dyDescent="0.3">
      <c r="A44" s="2" t="s">
        <v>44</v>
      </c>
      <c r="B44" s="26" t="s">
        <v>127</v>
      </c>
      <c r="C44" s="26" t="s">
        <v>128</v>
      </c>
      <c r="D44" s="28" t="s">
        <v>96</v>
      </c>
      <c r="E44" s="28" t="s">
        <v>132</v>
      </c>
      <c r="F44" s="32">
        <v>3190</v>
      </c>
      <c r="G44" s="46" t="s">
        <v>130</v>
      </c>
      <c r="H44" s="46"/>
      <c r="I44" s="27" t="s">
        <v>131</v>
      </c>
      <c r="J44" s="27" t="s">
        <v>7</v>
      </c>
    </row>
    <row r="45" spans="1:10" x14ac:dyDescent="0.3">
      <c r="A45" s="2" t="s">
        <v>44</v>
      </c>
      <c r="B45" s="26" t="s">
        <v>127</v>
      </c>
      <c r="C45" s="26" t="s">
        <v>133</v>
      </c>
      <c r="D45" s="28" t="s">
        <v>96</v>
      </c>
      <c r="E45" s="28" t="s">
        <v>134</v>
      </c>
      <c r="F45" s="32">
        <v>6000</v>
      </c>
      <c r="G45" s="46" t="s">
        <v>135</v>
      </c>
      <c r="H45" s="46"/>
      <c r="I45" s="27" t="s">
        <v>136</v>
      </c>
      <c r="J45" s="27" t="s">
        <v>7</v>
      </c>
    </row>
    <row r="46" spans="1:10" ht="32.4" x14ac:dyDescent="0.3">
      <c r="A46" s="2" t="s">
        <v>44</v>
      </c>
      <c r="B46" s="26" t="s">
        <v>127</v>
      </c>
      <c r="C46" s="26" t="s">
        <v>137</v>
      </c>
      <c r="D46" s="28" t="s">
        <v>138</v>
      </c>
      <c r="E46" s="28" t="s">
        <v>139</v>
      </c>
      <c r="F46" s="32">
        <v>2000</v>
      </c>
      <c r="G46" s="46" t="s">
        <v>140</v>
      </c>
      <c r="H46" s="46"/>
      <c r="I46" s="27" t="s">
        <v>141</v>
      </c>
      <c r="J46" s="27" t="s">
        <v>7</v>
      </c>
    </row>
    <row r="47" spans="1:10" ht="32.4" x14ac:dyDescent="0.3">
      <c r="A47" s="2" t="s">
        <v>44</v>
      </c>
      <c r="B47" s="26" t="s">
        <v>127</v>
      </c>
      <c r="C47" s="26" t="s">
        <v>137</v>
      </c>
      <c r="D47" s="28" t="s">
        <v>142</v>
      </c>
      <c r="E47" s="28" t="s">
        <v>143</v>
      </c>
      <c r="F47" s="32">
        <v>2500</v>
      </c>
      <c r="G47" s="46" t="s">
        <v>144</v>
      </c>
      <c r="H47" s="46"/>
      <c r="I47" s="27" t="s">
        <v>94</v>
      </c>
      <c r="J47" s="27" t="s">
        <v>7</v>
      </c>
    </row>
    <row r="48" spans="1:10" ht="32.4" x14ac:dyDescent="0.3">
      <c r="A48" s="2" t="s">
        <v>44</v>
      </c>
      <c r="B48" s="26" t="s">
        <v>127</v>
      </c>
      <c r="C48" s="26" t="s">
        <v>137</v>
      </c>
      <c r="D48" s="28" t="s">
        <v>142</v>
      </c>
      <c r="E48" s="28" t="s">
        <v>145</v>
      </c>
      <c r="F48" s="32">
        <v>2500</v>
      </c>
      <c r="G48" s="46" t="s">
        <v>146</v>
      </c>
      <c r="H48" s="46"/>
      <c r="I48" s="27" t="s">
        <v>94</v>
      </c>
      <c r="J48" s="27" t="s">
        <v>7</v>
      </c>
    </row>
    <row r="49" spans="1:10" ht="32.4" x14ac:dyDescent="0.3">
      <c r="A49" s="2" t="s">
        <v>44</v>
      </c>
      <c r="B49" s="26" t="s">
        <v>147</v>
      </c>
      <c r="C49" s="26" t="s">
        <v>148</v>
      </c>
      <c r="D49" s="28" t="s">
        <v>149</v>
      </c>
      <c r="E49" s="28" t="s">
        <v>150</v>
      </c>
      <c r="F49" s="32">
        <v>2400</v>
      </c>
      <c r="G49" s="46" t="s">
        <v>151</v>
      </c>
      <c r="H49" s="46"/>
      <c r="I49" s="27" t="s">
        <v>86</v>
      </c>
      <c r="J49" s="27" t="s">
        <v>7</v>
      </c>
    </row>
    <row r="50" spans="1:10" x14ac:dyDescent="0.3">
      <c r="A50" s="2" t="s">
        <v>44</v>
      </c>
      <c r="B50" s="26" t="s">
        <v>147</v>
      </c>
      <c r="C50" s="26" t="s">
        <v>148</v>
      </c>
      <c r="D50" s="28" t="s">
        <v>102</v>
      </c>
      <c r="E50" s="28" t="s">
        <v>152</v>
      </c>
      <c r="F50" s="32">
        <v>600</v>
      </c>
      <c r="G50" s="46" t="s">
        <v>153</v>
      </c>
      <c r="H50" s="46"/>
      <c r="I50" s="27" t="s">
        <v>154</v>
      </c>
      <c r="J50" s="27" t="s">
        <v>7</v>
      </c>
    </row>
    <row r="51" spans="1:10" ht="32.4" x14ac:dyDescent="0.3">
      <c r="A51" s="2" t="s">
        <v>44</v>
      </c>
      <c r="B51" s="26" t="s">
        <v>147</v>
      </c>
      <c r="C51" s="26" t="s">
        <v>155</v>
      </c>
      <c r="D51" s="28" t="s">
        <v>83</v>
      </c>
      <c r="E51" s="28" t="s">
        <v>156</v>
      </c>
      <c r="F51" s="32">
        <v>2058</v>
      </c>
      <c r="G51" s="46" t="s">
        <v>157</v>
      </c>
      <c r="H51" s="46"/>
      <c r="I51" s="27" t="s">
        <v>158</v>
      </c>
      <c r="J51" s="27" t="s">
        <v>7</v>
      </c>
    </row>
    <row r="52" spans="1:10" ht="32.4" x14ac:dyDescent="0.3">
      <c r="A52" s="2" t="s">
        <v>44</v>
      </c>
      <c r="B52" s="26" t="s">
        <v>147</v>
      </c>
      <c r="C52" s="26" t="s">
        <v>159</v>
      </c>
      <c r="D52" s="28" t="s">
        <v>91</v>
      </c>
      <c r="E52" s="28" t="s">
        <v>160</v>
      </c>
      <c r="F52" s="32">
        <v>11550</v>
      </c>
      <c r="G52" s="46" t="s">
        <v>161</v>
      </c>
      <c r="H52" s="46"/>
      <c r="I52" s="27" t="s">
        <v>162</v>
      </c>
      <c r="J52" s="27" t="s">
        <v>7</v>
      </c>
    </row>
    <row r="53" spans="1:10" ht="32.4" x14ac:dyDescent="0.3">
      <c r="A53" s="2" t="s">
        <v>44</v>
      </c>
      <c r="B53" s="26" t="s">
        <v>163</v>
      </c>
      <c r="C53" s="26" t="s">
        <v>164</v>
      </c>
      <c r="D53" s="28" t="s">
        <v>165</v>
      </c>
      <c r="E53" s="28" t="s">
        <v>166</v>
      </c>
      <c r="F53" s="32">
        <v>2550</v>
      </c>
      <c r="G53" s="46" t="s">
        <v>167</v>
      </c>
      <c r="H53" s="46"/>
      <c r="I53" s="27" t="s">
        <v>168</v>
      </c>
      <c r="J53" s="27" t="s">
        <v>7</v>
      </c>
    </row>
    <row r="54" spans="1:10" x14ac:dyDescent="0.3">
      <c r="A54" s="2" t="s">
        <v>44</v>
      </c>
      <c r="B54" s="26" t="s">
        <v>163</v>
      </c>
      <c r="C54" s="26" t="s">
        <v>164</v>
      </c>
      <c r="D54" s="28" t="s">
        <v>96</v>
      </c>
      <c r="E54" s="28" t="s">
        <v>166</v>
      </c>
      <c r="F54" s="32">
        <v>1000</v>
      </c>
      <c r="G54" s="46" t="s">
        <v>167</v>
      </c>
      <c r="H54" s="46"/>
      <c r="I54" s="27" t="s">
        <v>168</v>
      </c>
      <c r="J54" s="27" t="s">
        <v>7</v>
      </c>
    </row>
    <row r="55" spans="1:10" ht="32.4" x14ac:dyDescent="0.3">
      <c r="A55" s="2" t="s">
        <v>44</v>
      </c>
      <c r="B55" s="26" t="s">
        <v>169</v>
      </c>
      <c r="C55" s="26" t="s">
        <v>170</v>
      </c>
      <c r="D55" s="28" t="s">
        <v>113</v>
      </c>
      <c r="E55" s="28" t="s">
        <v>171</v>
      </c>
      <c r="F55" s="32">
        <v>4500</v>
      </c>
      <c r="G55" s="46" t="s">
        <v>172</v>
      </c>
      <c r="H55" s="46"/>
      <c r="I55" s="27" t="s">
        <v>131</v>
      </c>
      <c r="J55" s="27" t="s">
        <v>7</v>
      </c>
    </row>
    <row r="56" spans="1:10" ht="32.4" x14ac:dyDescent="0.3">
      <c r="A56" s="2" t="s">
        <v>44</v>
      </c>
      <c r="B56" s="26" t="s">
        <v>169</v>
      </c>
      <c r="C56" s="26" t="s">
        <v>170</v>
      </c>
      <c r="D56" s="28" t="s">
        <v>173</v>
      </c>
      <c r="E56" s="28" t="s">
        <v>174</v>
      </c>
      <c r="F56" s="32">
        <v>624</v>
      </c>
      <c r="G56" s="46" t="s">
        <v>175</v>
      </c>
      <c r="H56" s="46"/>
      <c r="I56" s="27" t="s">
        <v>131</v>
      </c>
      <c r="J56" s="27" t="s">
        <v>7</v>
      </c>
    </row>
    <row r="57" spans="1:10" ht="32.4" x14ac:dyDescent="0.3">
      <c r="A57" s="2" t="s">
        <v>44</v>
      </c>
      <c r="B57" s="26" t="s">
        <v>169</v>
      </c>
      <c r="C57" s="26" t="s">
        <v>176</v>
      </c>
      <c r="D57" s="28" t="s">
        <v>102</v>
      </c>
      <c r="E57" s="28" t="s">
        <v>177</v>
      </c>
      <c r="F57" s="32">
        <v>2000</v>
      </c>
      <c r="G57" s="46" t="s">
        <v>178</v>
      </c>
      <c r="H57" s="46"/>
      <c r="I57" s="27" t="s">
        <v>105</v>
      </c>
      <c r="J57" s="27" t="s">
        <v>7</v>
      </c>
    </row>
    <row r="58" spans="1:10" ht="32.4" x14ac:dyDescent="0.3">
      <c r="A58" s="2" t="s">
        <v>44</v>
      </c>
      <c r="B58" s="26" t="s">
        <v>169</v>
      </c>
      <c r="C58" s="26" t="s">
        <v>179</v>
      </c>
      <c r="D58" s="28" t="s">
        <v>149</v>
      </c>
      <c r="E58" s="28" t="s">
        <v>180</v>
      </c>
      <c r="F58" s="32">
        <v>1308</v>
      </c>
      <c r="G58" s="46" t="s">
        <v>181</v>
      </c>
      <c r="H58" s="46"/>
      <c r="I58" s="27" t="s">
        <v>105</v>
      </c>
      <c r="J58" s="27" t="s">
        <v>7</v>
      </c>
    </row>
    <row r="59" spans="1:10" ht="48.6" x14ac:dyDescent="0.3">
      <c r="A59" s="2" t="s">
        <v>44</v>
      </c>
      <c r="B59" s="26" t="s">
        <v>169</v>
      </c>
      <c r="C59" s="26" t="s">
        <v>182</v>
      </c>
      <c r="D59" s="28" t="s">
        <v>47</v>
      </c>
      <c r="E59" s="28" t="s">
        <v>183</v>
      </c>
      <c r="F59" s="32">
        <v>6127</v>
      </c>
      <c r="G59" s="46" t="s">
        <v>184</v>
      </c>
      <c r="H59" s="46"/>
      <c r="I59" s="27" t="s">
        <v>185</v>
      </c>
      <c r="J59" s="27" t="s">
        <v>7</v>
      </c>
    </row>
    <row r="60" spans="1:10" ht="48.6" x14ac:dyDescent="0.3">
      <c r="A60" s="2" t="s">
        <v>44</v>
      </c>
      <c r="B60" s="26" t="s">
        <v>169</v>
      </c>
      <c r="C60" s="26" t="s">
        <v>182</v>
      </c>
      <c r="D60" s="28" t="s">
        <v>47</v>
      </c>
      <c r="E60" s="28" t="s">
        <v>186</v>
      </c>
      <c r="F60" s="32">
        <v>6127</v>
      </c>
      <c r="G60" s="46" t="s">
        <v>187</v>
      </c>
      <c r="H60" s="46"/>
      <c r="I60" s="27" t="s">
        <v>185</v>
      </c>
      <c r="J60" s="27" t="s">
        <v>7</v>
      </c>
    </row>
    <row r="61" spans="1:10" ht="48.6" x14ac:dyDescent="0.3">
      <c r="A61" s="2" t="s">
        <v>44</v>
      </c>
      <c r="B61" s="26" t="s">
        <v>169</v>
      </c>
      <c r="C61" s="26" t="s">
        <v>182</v>
      </c>
      <c r="D61" s="28" t="s">
        <v>47</v>
      </c>
      <c r="E61" s="28" t="s">
        <v>188</v>
      </c>
      <c r="F61" s="32">
        <v>6127</v>
      </c>
      <c r="G61" s="46" t="s">
        <v>189</v>
      </c>
      <c r="H61" s="46"/>
      <c r="I61" s="27" t="s">
        <v>185</v>
      </c>
      <c r="J61" s="27" t="s">
        <v>7</v>
      </c>
    </row>
    <row r="62" spans="1:10" ht="48.6" x14ac:dyDescent="0.3">
      <c r="A62" s="2" t="s">
        <v>44</v>
      </c>
      <c r="B62" s="26" t="s">
        <v>169</v>
      </c>
      <c r="C62" s="26" t="s">
        <v>182</v>
      </c>
      <c r="D62" s="28" t="s">
        <v>47</v>
      </c>
      <c r="E62" s="28" t="s">
        <v>190</v>
      </c>
      <c r="F62" s="32">
        <v>4084</v>
      </c>
      <c r="G62" s="46" t="s">
        <v>191</v>
      </c>
      <c r="H62" s="46"/>
      <c r="I62" s="27" t="s">
        <v>131</v>
      </c>
      <c r="J62" s="27" t="s">
        <v>7</v>
      </c>
    </row>
    <row r="63" spans="1:10" ht="48.6" x14ac:dyDescent="0.3">
      <c r="A63" s="2" t="s">
        <v>44</v>
      </c>
      <c r="B63" s="26" t="s">
        <v>169</v>
      </c>
      <c r="C63" s="26" t="s">
        <v>182</v>
      </c>
      <c r="D63" s="28" t="s">
        <v>47</v>
      </c>
      <c r="E63" s="28" t="s">
        <v>192</v>
      </c>
      <c r="F63" s="32">
        <v>4084</v>
      </c>
      <c r="G63" s="46" t="s">
        <v>193</v>
      </c>
      <c r="H63" s="46"/>
      <c r="I63" s="27" t="s">
        <v>194</v>
      </c>
      <c r="J63" s="27" t="s">
        <v>7</v>
      </c>
    </row>
    <row r="64" spans="1:10" ht="48.6" x14ac:dyDescent="0.3">
      <c r="A64" s="2" t="s">
        <v>44</v>
      </c>
      <c r="B64" s="26" t="s">
        <v>169</v>
      </c>
      <c r="C64" s="26" t="s">
        <v>182</v>
      </c>
      <c r="D64" s="28" t="s">
        <v>47</v>
      </c>
      <c r="E64" s="28" t="s">
        <v>195</v>
      </c>
      <c r="F64" s="32">
        <v>6127</v>
      </c>
      <c r="G64" s="46" t="s">
        <v>196</v>
      </c>
      <c r="H64" s="46"/>
      <c r="I64" s="27" t="s">
        <v>86</v>
      </c>
      <c r="J64" s="27" t="s">
        <v>7</v>
      </c>
    </row>
    <row r="65" spans="1:10" ht="48.6" x14ac:dyDescent="0.3">
      <c r="A65" s="2" t="s">
        <v>44</v>
      </c>
      <c r="B65" s="26" t="s">
        <v>169</v>
      </c>
      <c r="C65" s="26" t="s">
        <v>182</v>
      </c>
      <c r="D65" s="28" t="s">
        <v>47</v>
      </c>
      <c r="E65" s="28" t="s">
        <v>197</v>
      </c>
      <c r="F65" s="32">
        <v>2042</v>
      </c>
      <c r="G65" s="46" t="s">
        <v>198</v>
      </c>
      <c r="H65" s="46"/>
      <c r="I65" s="27" t="s">
        <v>199</v>
      </c>
      <c r="J65" s="27" t="s">
        <v>7</v>
      </c>
    </row>
    <row r="66" spans="1:10" ht="32.4" x14ac:dyDescent="0.3">
      <c r="A66" s="2" t="s">
        <v>44</v>
      </c>
      <c r="B66" s="26" t="s">
        <v>200</v>
      </c>
      <c r="C66" s="26" t="s">
        <v>201</v>
      </c>
      <c r="D66" s="28" t="s">
        <v>202</v>
      </c>
      <c r="E66" s="28" t="s">
        <v>203</v>
      </c>
      <c r="F66" s="32">
        <v>420</v>
      </c>
      <c r="G66" s="46" t="s">
        <v>204</v>
      </c>
      <c r="H66" s="46"/>
      <c r="I66" s="27" t="s">
        <v>162</v>
      </c>
      <c r="J66" s="27" t="s">
        <v>7</v>
      </c>
    </row>
    <row r="67" spans="1:10" ht="32.4" x14ac:dyDescent="0.3">
      <c r="A67" s="2" t="s">
        <v>44</v>
      </c>
      <c r="B67" s="26" t="s">
        <v>200</v>
      </c>
      <c r="C67" s="26" t="s">
        <v>201</v>
      </c>
      <c r="D67" s="28" t="s">
        <v>96</v>
      </c>
      <c r="E67" s="28" t="s">
        <v>205</v>
      </c>
      <c r="F67" s="32">
        <v>5000</v>
      </c>
      <c r="G67" s="46" t="s">
        <v>206</v>
      </c>
      <c r="H67" s="46"/>
      <c r="I67" s="27" t="s">
        <v>94</v>
      </c>
      <c r="J67" s="27" t="s">
        <v>7</v>
      </c>
    </row>
    <row r="68" spans="1:10" ht="32.4" x14ac:dyDescent="0.3">
      <c r="A68" s="2" t="s">
        <v>44</v>
      </c>
      <c r="B68" s="26" t="s">
        <v>200</v>
      </c>
      <c r="C68" s="26" t="s">
        <v>201</v>
      </c>
      <c r="D68" s="28" t="s">
        <v>207</v>
      </c>
      <c r="E68" s="28" t="s">
        <v>208</v>
      </c>
      <c r="F68" s="32">
        <v>9734</v>
      </c>
      <c r="G68" s="46" t="s">
        <v>209</v>
      </c>
      <c r="H68" s="46"/>
      <c r="I68" s="27" t="s">
        <v>210</v>
      </c>
      <c r="J68" s="27" t="s">
        <v>7</v>
      </c>
    </row>
    <row r="69" spans="1:10" ht="32.4" x14ac:dyDescent="0.3">
      <c r="A69" s="2" t="s">
        <v>44</v>
      </c>
      <c r="B69" s="26" t="s">
        <v>200</v>
      </c>
      <c r="C69" s="26" t="s">
        <v>201</v>
      </c>
      <c r="D69" s="28" t="s">
        <v>83</v>
      </c>
      <c r="E69" s="28" t="s">
        <v>211</v>
      </c>
      <c r="F69" s="32">
        <v>3550</v>
      </c>
      <c r="G69" s="46" t="s">
        <v>212</v>
      </c>
      <c r="H69" s="46"/>
      <c r="I69" s="27" t="s">
        <v>131</v>
      </c>
      <c r="J69" s="27" t="s">
        <v>7</v>
      </c>
    </row>
    <row r="70" spans="1:10" ht="32.4" x14ac:dyDescent="0.3">
      <c r="A70" s="2" t="s">
        <v>44</v>
      </c>
      <c r="B70" s="26" t="s">
        <v>200</v>
      </c>
      <c r="C70" s="26" t="s">
        <v>213</v>
      </c>
      <c r="D70" s="28" t="s">
        <v>96</v>
      </c>
      <c r="E70" s="28" t="s">
        <v>214</v>
      </c>
      <c r="F70" s="32">
        <v>20000</v>
      </c>
      <c r="G70" s="46" t="s">
        <v>215</v>
      </c>
      <c r="H70" s="46"/>
      <c r="I70" s="27" t="s">
        <v>162</v>
      </c>
      <c r="J70" s="27" t="s">
        <v>7</v>
      </c>
    </row>
    <row r="71" spans="1:10" ht="32.4" x14ac:dyDescent="0.3">
      <c r="A71" s="2" t="s">
        <v>44</v>
      </c>
      <c r="B71" s="26" t="s">
        <v>200</v>
      </c>
      <c r="C71" s="26" t="s">
        <v>216</v>
      </c>
      <c r="D71" s="28" t="s">
        <v>113</v>
      </c>
      <c r="E71" s="28" t="s">
        <v>217</v>
      </c>
      <c r="F71" s="32">
        <v>1400</v>
      </c>
      <c r="G71" s="46" t="s">
        <v>218</v>
      </c>
      <c r="H71" s="46"/>
      <c r="I71" s="27" t="s">
        <v>219</v>
      </c>
      <c r="J71" s="27" t="s">
        <v>7</v>
      </c>
    </row>
    <row r="72" spans="1:10" ht="32.4" x14ac:dyDescent="0.3">
      <c r="A72" s="2" t="s">
        <v>44</v>
      </c>
      <c r="B72" s="26" t="s">
        <v>200</v>
      </c>
      <c r="C72" s="26" t="s">
        <v>216</v>
      </c>
      <c r="D72" s="28" t="s">
        <v>173</v>
      </c>
      <c r="E72" s="28" t="s">
        <v>220</v>
      </c>
      <c r="F72" s="32">
        <v>624</v>
      </c>
      <c r="G72" s="46" t="s">
        <v>221</v>
      </c>
      <c r="H72" s="46"/>
      <c r="I72" s="27" t="s">
        <v>131</v>
      </c>
      <c r="J72" s="27" t="s">
        <v>7</v>
      </c>
    </row>
    <row r="73" spans="1:10" ht="32.4" x14ac:dyDescent="0.3">
      <c r="A73" s="2" t="s">
        <v>44</v>
      </c>
      <c r="B73" s="26" t="s">
        <v>200</v>
      </c>
      <c r="C73" s="26" t="s">
        <v>222</v>
      </c>
      <c r="D73" s="28" t="s">
        <v>123</v>
      </c>
      <c r="E73" s="28" t="s">
        <v>223</v>
      </c>
      <c r="F73" s="32">
        <v>3380</v>
      </c>
      <c r="G73" s="46" t="s">
        <v>224</v>
      </c>
      <c r="H73" s="46"/>
      <c r="I73" s="27" t="s">
        <v>131</v>
      </c>
      <c r="J73" s="27" t="s">
        <v>7</v>
      </c>
    </row>
    <row r="74" spans="1:10" ht="32.4" x14ac:dyDescent="0.3">
      <c r="A74" s="2" t="s">
        <v>44</v>
      </c>
      <c r="B74" s="26" t="s">
        <v>200</v>
      </c>
      <c r="C74" s="26" t="s">
        <v>222</v>
      </c>
      <c r="D74" s="28" t="s">
        <v>123</v>
      </c>
      <c r="E74" s="28" t="s">
        <v>225</v>
      </c>
      <c r="F74" s="32">
        <v>2700</v>
      </c>
      <c r="G74" s="46" t="s">
        <v>226</v>
      </c>
      <c r="H74" s="46"/>
      <c r="I74" s="27" t="s">
        <v>227</v>
      </c>
      <c r="J74" s="27" t="s">
        <v>7</v>
      </c>
    </row>
    <row r="75" spans="1:10" ht="32.4" x14ac:dyDescent="0.3">
      <c r="A75" s="2" t="s">
        <v>44</v>
      </c>
      <c r="B75" s="26" t="s">
        <v>200</v>
      </c>
      <c r="C75" s="26" t="s">
        <v>222</v>
      </c>
      <c r="D75" s="28" t="s">
        <v>142</v>
      </c>
      <c r="E75" s="28" t="s">
        <v>228</v>
      </c>
      <c r="F75" s="32">
        <v>2980</v>
      </c>
      <c r="G75" s="46" t="s">
        <v>229</v>
      </c>
      <c r="H75" s="46"/>
      <c r="I75" s="27" t="s">
        <v>230</v>
      </c>
      <c r="J75" s="27" t="s">
        <v>7</v>
      </c>
    </row>
    <row r="76" spans="1:10" ht="32.4" x14ac:dyDescent="0.3">
      <c r="A76" s="2" t="s">
        <v>44</v>
      </c>
      <c r="B76" s="26" t="s">
        <v>200</v>
      </c>
      <c r="C76" s="26" t="s">
        <v>222</v>
      </c>
      <c r="D76" s="28" t="s">
        <v>142</v>
      </c>
      <c r="E76" s="28" t="s">
        <v>231</v>
      </c>
      <c r="F76" s="32">
        <v>1490</v>
      </c>
      <c r="G76" s="46" t="s">
        <v>232</v>
      </c>
      <c r="H76" s="46"/>
      <c r="I76" s="27" t="s">
        <v>230</v>
      </c>
      <c r="J76" s="27" t="s">
        <v>7</v>
      </c>
    </row>
    <row r="77" spans="1:10" ht="32.4" x14ac:dyDescent="0.3">
      <c r="A77" s="2" t="s">
        <v>44</v>
      </c>
      <c r="B77" s="26" t="s">
        <v>200</v>
      </c>
      <c r="C77" s="26" t="s">
        <v>222</v>
      </c>
      <c r="D77" s="28" t="s">
        <v>142</v>
      </c>
      <c r="E77" s="28" t="s">
        <v>233</v>
      </c>
      <c r="F77" s="32">
        <v>2980</v>
      </c>
      <c r="G77" s="46" t="s">
        <v>234</v>
      </c>
      <c r="H77" s="46"/>
      <c r="I77" s="27" t="s">
        <v>230</v>
      </c>
      <c r="J77" s="27" t="s">
        <v>7</v>
      </c>
    </row>
    <row r="78" spans="1:10" ht="32.4" x14ac:dyDescent="0.3">
      <c r="A78" s="2" t="s">
        <v>44</v>
      </c>
      <c r="B78" s="26" t="s">
        <v>200</v>
      </c>
      <c r="C78" s="26" t="s">
        <v>222</v>
      </c>
      <c r="D78" s="28" t="s">
        <v>142</v>
      </c>
      <c r="E78" s="28" t="s">
        <v>235</v>
      </c>
      <c r="F78" s="32">
        <v>2980</v>
      </c>
      <c r="G78" s="46" t="s">
        <v>236</v>
      </c>
      <c r="H78" s="46"/>
      <c r="I78" s="27" t="s">
        <v>230</v>
      </c>
      <c r="J78" s="27" t="s">
        <v>7</v>
      </c>
    </row>
    <row r="79" spans="1:10" ht="32.4" x14ac:dyDescent="0.3">
      <c r="A79" s="2" t="s">
        <v>44</v>
      </c>
      <c r="B79" s="26" t="s">
        <v>200</v>
      </c>
      <c r="C79" s="26" t="s">
        <v>237</v>
      </c>
      <c r="D79" s="28" t="s">
        <v>238</v>
      </c>
      <c r="E79" s="28" t="s">
        <v>239</v>
      </c>
      <c r="F79" s="32">
        <v>2765</v>
      </c>
      <c r="G79" s="46" t="s">
        <v>240</v>
      </c>
      <c r="H79" s="46"/>
      <c r="I79" s="27" t="s">
        <v>241</v>
      </c>
      <c r="J79" s="27" t="s">
        <v>7</v>
      </c>
    </row>
    <row r="80" spans="1:10" ht="32.4" x14ac:dyDescent="0.3">
      <c r="A80" s="2" t="s">
        <v>44</v>
      </c>
      <c r="B80" s="26" t="s">
        <v>242</v>
      </c>
      <c r="C80" s="26" t="s">
        <v>243</v>
      </c>
      <c r="D80" s="28" t="s">
        <v>142</v>
      </c>
      <c r="E80" s="28" t="s">
        <v>244</v>
      </c>
      <c r="F80" s="32">
        <v>4415</v>
      </c>
      <c r="G80" s="46" t="s">
        <v>245</v>
      </c>
      <c r="H80" s="46"/>
      <c r="I80" s="27" t="s">
        <v>105</v>
      </c>
      <c r="J80" s="27" t="s">
        <v>7</v>
      </c>
    </row>
    <row r="81" spans="1:10" ht="32.4" x14ac:dyDescent="0.3">
      <c r="A81" s="2" t="s">
        <v>44</v>
      </c>
      <c r="B81" s="26" t="s">
        <v>242</v>
      </c>
      <c r="C81" s="26" t="s">
        <v>243</v>
      </c>
      <c r="D81" s="28" t="s">
        <v>142</v>
      </c>
      <c r="E81" s="28" t="s">
        <v>246</v>
      </c>
      <c r="F81" s="32">
        <v>5960</v>
      </c>
      <c r="G81" s="46" t="s">
        <v>247</v>
      </c>
      <c r="H81" s="46"/>
      <c r="I81" s="27" t="s">
        <v>105</v>
      </c>
      <c r="J81" s="27" t="s">
        <v>7</v>
      </c>
    </row>
    <row r="82" spans="1:10" x14ac:dyDescent="0.3">
      <c r="A82" s="2" t="s">
        <v>44</v>
      </c>
      <c r="B82" s="26" t="s">
        <v>242</v>
      </c>
      <c r="C82" s="26" t="s">
        <v>248</v>
      </c>
      <c r="D82" s="28" t="s">
        <v>249</v>
      </c>
      <c r="E82" s="28" t="s">
        <v>250</v>
      </c>
      <c r="F82" s="32">
        <v>240</v>
      </c>
      <c r="G82" s="46" t="s">
        <v>251</v>
      </c>
      <c r="H82" s="46"/>
      <c r="I82" s="27" t="s">
        <v>154</v>
      </c>
      <c r="J82" s="27" t="s">
        <v>7</v>
      </c>
    </row>
    <row r="83" spans="1:10" ht="32.4" x14ac:dyDescent="0.3">
      <c r="A83" s="2" t="s">
        <v>44</v>
      </c>
      <c r="B83" s="26" t="s">
        <v>242</v>
      </c>
      <c r="C83" s="26" t="s">
        <v>248</v>
      </c>
      <c r="D83" s="28" t="s">
        <v>83</v>
      </c>
      <c r="E83" s="28" t="s">
        <v>252</v>
      </c>
      <c r="F83" s="32">
        <v>699</v>
      </c>
      <c r="G83" s="46" t="s">
        <v>253</v>
      </c>
      <c r="H83" s="46"/>
      <c r="I83" s="27" t="s">
        <v>99</v>
      </c>
      <c r="J83" s="27" t="s">
        <v>7</v>
      </c>
    </row>
    <row r="84" spans="1:10" ht="32.4" x14ac:dyDescent="0.3">
      <c r="A84" s="2" t="s">
        <v>44</v>
      </c>
      <c r="B84" s="26" t="s">
        <v>242</v>
      </c>
      <c r="C84" s="26" t="s">
        <v>248</v>
      </c>
      <c r="D84" s="28" t="s">
        <v>142</v>
      </c>
      <c r="E84" s="28" t="s">
        <v>254</v>
      </c>
      <c r="F84" s="32">
        <v>2000</v>
      </c>
      <c r="G84" s="46" t="s">
        <v>255</v>
      </c>
      <c r="H84" s="46"/>
      <c r="I84" s="27" t="s">
        <v>230</v>
      </c>
      <c r="J84" s="27" t="s">
        <v>7</v>
      </c>
    </row>
    <row r="85" spans="1:10" ht="32.4" x14ac:dyDescent="0.3">
      <c r="A85" s="2" t="s">
        <v>44</v>
      </c>
      <c r="B85" s="26" t="s">
        <v>242</v>
      </c>
      <c r="C85" s="26" t="s">
        <v>248</v>
      </c>
      <c r="D85" s="28" t="s">
        <v>142</v>
      </c>
      <c r="E85" s="28" t="s">
        <v>256</v>
      </c>
      <c r="F85" s="32">
        <v>600</v>
      </c>
      <c r="G85" s="46" t="s">
        <v>257</v>
      </c>
      <c r="H85" s="46"/>
      <c r="I85" s="27" t="s">
        <v>230</v>
      </c>
      <c r="J85" s="27" t="s">
        <v>7</v>
      </c>
    </row>
    <row r="86" spans="1:10" ht="32.4" x14ac:dyDescent="0.3">
      <c r="A86" s="2" t="s">
        <v>44</v>
      </c>
      <c r="B86" s="26" t="s">
        <v>242</v>
      </c>
      <c r="C86" s="26" t="s">
        <v>258</v>
      </c>
      <c r="D86" s="28" t="s">
        <v>149</v>
      </c>
      <c r="E86" s="28" t="s">
        <v>259</v>
      </c>
      <c r="F86" s="32">
        <v>2920</v>
      </c>
      <c r="G86" s="46" t="s">
        <v>260</v>
      </c>
      <c r="H86" s="46"/>
      <c r="I86" s="27" t="s">
        <v>185</v>
      </c>
      <c r="J86" s="27" t="s">
        <v>7</v>
      </c>
    </row>
    <row r="87" spans="1:10" ht="32.4" x14ac:dyDescent="0.3">
      <c r="A87" s="2" t="s">
        <v>44</v>
      </c>
      <c r="B87" s="26" t="s">
        <v>242</v>
      </c>
      <c r="C87" s="26" t="s">
        <v>258</v>
      </c>
      <c r="D87" s="28" t="s">
        <v>149</v>
      </c>
      <c r="E87" s="28" t="s">
        <v>261</v>
      </c>
      <c r="F87" s="32">
        <v>280</v>
      </c>
      <c r="G87" s="46" t="s">
        <v>262</v>
      </c>
      <c r="H87" s="46"/>
      <c r="I87" s="27" t="s">
        <v>185</v>
      </c>
      <c r="J87" s="27" t="s">
        <v>7</v>
      </c>
    </row>
    <row r="88" spans="1:10" ht="32.4" x14ac:dyDescent="0.3">
      <c r="A88" s="2" t="s">
        <v>44</v>
      </c>
      <c r="B88" s="26" t="s">
        <v>242</v>
      </c>
      <c r="C88" s="26" t="s">
        <v>258</v>
      </c>
      <c r="D88" s="28" t="s">
        <v>142</v>
      </c>
      <c r="E88" s="28" t="s">
        <v>263</v>
      </c>
      <c r="F88" s="32">
        <v>382</v>
      </c>
      <c r="G88" s="46" t="s">
        <v>264</v>
      </c>
      <c r="H88" s="46"/>
      <c r="I88" s="27" t="s">
        <v>105</v>
      </c>
      <c r="J88" s="27" t="s">
        <v>7</v>
      </c>
    </row>
    <row r="89" spans="1:10" ht="32.4" x14ac:dyDescent="0.3">
      <c r="A89" s="2" t="s">
        <v>44</v>
      </c>
      <c r="B89" s="26" t="s">
        <v>242</v>
      </c>
      <c r="C89" s="26" t="s">
        <v>258</v>
      </c>
      <c r="D89" s="28" t="s">
        <v>142</v>
      </c>
      <c r="E89" s="28" t="s">
        <v>265</v>
      </c>
      <c r="F89" s="32">
        <v>4470</v>
      </c>
      <c r="G89" s="46" t="s">
        <v>266</v>
      </c>
      <c r="H89" s="46"/>
      <c r="I89" s="27" t="s">
        <v>105</v>
      </c>
      <c r="J89" s="27" t="s">
        <v>7</v>
      </c>
    </row>
    <row r="90" spans="1:10" ht="32.4" x14ac:dyDescent="0.3">
      <c r="A90" s="2" t="s">
        <v>44</v>
      </c>
      <c r="B90" s="26" t="s">
        <v>242</v>
      </c>
      <c r="C90" s="26" t="s">
        <v>258</v>
      </c>
      <c r="D90" s="28" t="s">
        <v>142</v>
      </c>
      <c r="E90" s="28" t="s">
        <v>267</v>
      </c>
      <c r="F90" s="32">
        <v>1816</v>
      </c>
      <c r="G90" s="46" t="s">
        <v>268</v>
      </c>
      <c r="H90" s="46"/>
      <c r="I90" s="27" t="s">
        <v>105</v>
      </c>
      <c r="J90" s="27" t="s">
        <v>7</v>
      </c>
    </row>
    <row r="91" spans="1:10" ht="32.4" x14ac:dyDescent="0.3">
      <c r="A91" s="2" t="s">
        <v>44</v>
      </c>
      <c r="B91" s="26" t="s">
        <v>242</v>
      </c>
      <c r="C91" s="26" t="s">
        <v>269</v>
      </c>
      <c r="D91" s="28" t="s">
        <v>173</v>
      </c>
      <c r="E91" s="28" t="s">
        <v>270</v>
      </c>
      <c r="F91" s="32">
        <v>1255</v>
      </c>
      <c r="G91" s="46" t="s">
        <v>271</v>
      </c>
      <c r="H91" s="46"/>
      <c r="I91" s="27" t="s">
        <v>194</v>
      </c>
      <c r="J91" s="27" t="s">
        <v>7</v>
      </c>
    </row>
    <row r="92" spans="1:10" ht="48.6" x14ac:dyDescent="0.3">
      <c r="A92" s="2" t="s">
        <v>44</v>
      </c>
      <c r="B92" s="26" t="s">
        <v>242</v>
      </c>
      <c r="C92" s="26" t="s">
        <v>272</v>
      </c>
      <c r="D92" s="28" t="s">
        <v>47</v>
      </c>
      <c r="E92" s="28" t="s">
        <v>273</v>
      </c>
      <c r="F92" s="32">
        <v>14890</v>
      </c>
      <c r="G92" s="46" t="s">
        <v>274</v>
      </c>
      <c r="H92" s="46"/>
      <c r="I92" s="27" t="s">
        <v>219</v>
      </c>
      <c r="J92" s="27" t="s">
        <v>7</v>
      </c>
    </row>
    <row r="93" spans="1:10" x14ac:dyDescent="0.3">
      <c r="A93" s="2" t="s">
        <v>44</v>
      </c>
      <c r="B93" s="26" t="s">
        <v>242</v>
      </c>
      <c r="C93" s="26" t="s">
        <v>275</v>
      </c>
      <c r="D93" s="28" t="s">
        <v>96</v>
      </c>
      <c r="E93" s="28" t="s">
        <v>276</v>
      </c>
      <c r="F93" s="32">
        <v>17500</v>
      </c>
      <c r="G93" s="46" t="s">
        <v>277</v>
      </c>
      <c r="H93" s="46"/>
      <c r="I93" s="27" t="s">
        <v>168</v>
      </c>
      <c r="J93" s="27" t="s">
        <v>7</v>
      </c>
    </row>
    <row r="94" spans="1:10" ht="32.4" x14ac:dyDescent="0.3">
      <c r="A94" s="2" t="s">
        <v>44</v>
      </c>
      <c r="B94" s="26" t="s">
        <v>242</v>
      </c>
      <c r="C94" s="26" t="s">
        <v>278</v>
      </c>
      <c r="D94" s="28" t="s">
        <v>83</v>
      </c>
      <c r="E94" s="28" t="s">
        <v>279</v>
      </c>
      <c r="F94" s="32">
        <v>17976</v>
      </c>
      <c r="G94" s="46" t="s">
        <v>280</v>
      </c>
      <c r="H94" s="46"/>
      <c r="I94" s="27" t="s">
        <v>281</v>
      </c>
      <c r="J94" s="27" t="s">
        <v>7</v>
      </c>
    </row>
    <row r="95" spans="1:10" x14ac:dyDescent="0.3">
      <c r="A95" s="2" t="s">
        <v>44</v>
      </c>
      <c r="B95" s="26" t="s">
        <v>242</v>
      </c>
      <c r="C95" s="26" t="s">
        <v>282</v>
      </c>
      <c r="D95" s="28" t="s">
        <v>96</v>
      </c>
      <c r="E95" s="28" t="s">
        <v>283</v>
      </c>
      <c r="F95" s="32">
        <v>10000</v>
      </c>
      <c r="G95" s="46" t="s">
        <v>284</v>
      </c>
      <c r="H95" s="46"/>
      <c r="I95" s="27" t="s">
        <v>194</v>
      </c>
      <c r="J95" s="27" t="s">
        <v>7</v>
      </c>
    </row>
    <row r="96" spans="1:10" x14ac:dyDescent="0.3">
      <c r="A96" s="2" t="s">
        <v>44</v>
      </c>
      <c r="B96" s="26" t="s">
        <v>242</v>
      </c>
      <c r="C96" s="26" t="s">
        <v>282</v>
      </c>
      <c r="D96" s="28" t="s">
        <v>102</v>
      </c>
      <c r="E96" s="28" t="s">
        <v>285</v>
      </c>
      <c r="F96" s="32">
        <v>7560</v>
      </c>
      <c r="G96" s="46" t="s">
        <v>286</v>
      </c>
      <c r="H96" s="46"/>
      <c r="I96" s="27" t="s">
        <v>287</v>
      </c>
      <c r="J96" s="27" t="s">
        <v>7</v>
      </c>
    </row>
    <row r="97" spans="1:10" ht="32.4" x14ac:dyDescent="0.3">
      <c r="A97" s="2" t="s">
        <v>44</v>
      </c>
      <c r="B97" s="26" t="s">
        <v>242</v>
      </c>
      <c r="C97" s="26" t="s">
        <v>282</v>
      </c>
      <c r="D97" s="28" t="s">
        <v>102</v>
      </c>
      <c r="E97" s="28" t="s">
        <v>288</v>
      </c>
      <c r="F97" s="32">
        <v>1200</v>
      </c>
      <c r="G97" s="46" t="s">
        <v>289</v>
      </c>
      <c r="H97" s="46"/>
      <c r="I97" s="27" t="s">
        <v>199</v>
      </c>
      <c r="J97" s="27" t="s">
        <v>7</v>
      </c>
    </row>
    <row r="98" spans="1:10" x14ac:dyDescent="0.3">
      <c r="A98" s="2" t="s">
        <v>44</v>
      </c>
      <c r="B98" s="26" t="s">
        <v>242</v>
      </c>
      <c r="C98" s="26" t="s">
        <v>282</v>
      </c>
      <c r="D98" s="28" t="s">
        <v>91</v>
      </c>
      <c r="E98" s="28" t="s">
        <v>290</v>
      </c>
      <c r="F98" s="32">
        <v>9450</v>
      </c>
      <c r="G98" s="46" t="s">
        <v>291</v>
      </c>
      <c r="H98" s="46"/>
      <c r="I98" s="27" t="s">
        <v>194</v>
      </c>
      <c r="J98" s="27" t="s">
        <v>7</v>
      </c>
    </row>
    <row r="99" spans="1:10" ht="32.4" x14ac:dyDescent="0.3">
      <c r="A99" s="2" t="s">
        <v>44</v>
      </c>
      <c r="B99" s="26" t="s">
        <v>242</v>
      </c>
      <c r="C99" s="26" t="s">
        <v>292</v>
      </c>
      <c r="D99" s="28" t="s">
        <v>113</v>
      </c>
      <c r="E99" s="28" t="s">
        <v>293</v>
      </c>
      <c r="F99" s="32">
        <v>4000</v>
      </c>
      <c r="G99" s="46" t="s">
        <v>294</v>
      </c>
      <c r="H99" s="46"/>
      <c r="I99" s="27" t="s">
        <v>295</v>
      </c>
      <c r="J99" s="27" t="s">
        <v>7</v>
      </c>
    </row>
    <row r="100" spans="1:10" ht="32.4" x14ac:dyDescent="0.3">
      <c r="A100" s="2" t="s">
        <v>44</v>
      </c>
      <c r="B100" s="26" t="s">
        <v>242</v>
      </c>
      <c r="C100" s="26" t="s">
        <v>292</v>
      </c>
      <c r="D100" s="28" t="s">
        <v>113</v>
      </c>
      <c r="E100" s="28" t="s">
        <v>296</v>
      </c>
      <c r="F100" s="32">
        <v>393</v>
      </c>
      <c r="G100" s="46" t="s">
        <v>297</v>
      </c>
      <c r="H100" s="46"/>
      <c r="I100" s="27" t="s">
        <v>141</v>
      </c>
      <c r="J100" s="27" t="s">
        <v>7</v>
      </c>
    </row>
    <row r="101" spans="1:10" ht="32.4" x14ac:dyDescent="0.3">
      <c r="A101" s="2" t="s">
        <v>44</v>
      </c>
      <c r="B101" s="26" t="s">
        <v>242</v>
      </c>
      <c r="C101" s="26" t="s">
        <v>292</v>
      </c>
      <c r="D101" s="28" t="s">
        <v>202</v>
      </c>
      <c r="E101" s="28" t="s">
        <v>298</v>
      </c>
      <c r="F101" s="32">
        <v>2916</v>
      </c>
      <c r="G101" s="46" t="s">
        <v>299</v>
      </c>
      <c r="H101" s="46"/>
      <c r="I101" s="27" t="s">
        <v>94</v>
      </c>
      <c r="J101" s="27" t="s">
        <v>7</v>
      </c>
    </row>
    <row r="102" spans="1:10" x14ac:dyDescent="0.3">
      <c r="A102" s="2" t="s">
        <v>44</v>
      </c>
      <c r="B102" s="26" t="s">
        <v>242</v>
      </c>
      <c r="C102" s="26" t="s">
        <v>300</v>
      </c>
      <c r="D102" s="28" t="s">
        <v>96</v>
      </c>
      <c r="E102" s="28" t="s">
        <v>301</v>
      </c>
      <c r="F102" s="32">
        <v>16196</v>
      </c>
      <c r="G102" s="46" t="s">
        <v>302</v>
      </c>
      <c r="H102" s="46"/>
      <c r="I102" s="27" t="s">
        <v>168</v>
      </c>
      <c r="J102" s="27" t="s">
        <v>7</v>
      </c>
    </row>
    <row r="103" spans="1:10" ht="32.4" x14ac:dyDescent="0.3">
      <c r="A103" s="2" t="s">
        <v>44</v>
      </c>
      <c r="B103" s="26" t="s">
        <v>242</v>
      </c>
      <c r="C103" s="26" t="s">
        <v>303</v>
      </c>
      <c r="D103" s="28" t="s">
        <v>113</v>
      </c>
      <c r="E103" s="28" t="s">
        <v>304</v>
      </c>
      <c r="F103" s="32">
        <v>1346</v>
      </c>
      <c r="G103" s="46" t="s">
        <v>305</v>
      </c>
      <c r="H103" s="46"/>
      <c r="I103" s="27" t="s">
        <v>306</v>
      </c>
      <c r="J103" s="27" t="s">
        <v>307</v>
      </c>
    </row>
    <row r="104" spans="1:10" x14ac:dyDescent="0.3">
      <c r="A104" s="2" t="s">
        <v>44</v>
      </c>
      <c r="B104" s="26" t="s">
        <v>242</v>
      </c>
      <c r="C104" s="26" t="s">
        <v>303</v>
      </c>
      <c r="D104" s="28" t="s">
        <v>96</v>
      </c>
      <c r="E104" s="28" t="s">
        <v>304</v>
      </c>
      <c r="F104" s="32">
        <v>318</v>
      </c>
      <c r="G104" s="46" t="s">
        <v>305</v>
      </c>
      <c r="H104" s="46"/>
      <c r="I104" s="27" t="s">
        <v>306</v>
      </c>
      <c r="J104" s="27" t="s">
        <v>307</v>
      </c>
    </row>
    <row r="105" spans="1:10" ht="32.4" x14ac:dyDescent="0.3">
      <c r="A105" s="2" t="s">
        <v>44</v>
      </c>
      <c r="B105" s="26" t="s">
        <v>242</v>
      </c>
      <c r="C105" s="26" t="s">
        <v>303</v>
      </c>
      <c r="D105" s="28" t="s">
        <v>96</v>
      </c>
      <c r="E105" s="28" t="s">
        <v>308</v>
      </c>
      <c r="F105" s="32">
        <v>3500</v>
      </c>
      <c r="G105" s="46" t="s">
        <v>309</v>
      </c>
      <c r="H105" s="46"/>
      <c r="I105" s="27" t="s">
        <v>94</v>
      </c>
      <c r="J105" s="27" t="s">
        <v>7</v>
      </c>
    </row>
    <row r="106" spans="1:10" ht="32.4" x14ac:dyDescent="0.3">
      <c r="A106" s="2" t="s">
        <v>44</v>
      </c>
      <c r="B106" s="26" t="s">
        <v>242</v>
      </c>
      <c r="C106" s="26" t="s">
        <v>303</v>
      </c>
      <c r="D106" s="28" t="s">
        <v>207</v>
      </c>
      <c r="E106" s="28" t="s">
        <v>310</v>
      </c>
      <c r="F106" s="32">
        <v>5000</v>
      </c>
      <c r="G106" s="46" t="s">
        <v>311</v>
      </c>
      <c r="H106" s="46"/>
      <c r="I106" s="27" t="s">
        <v>210</v>
      </c>
      <c r="J106" s="27" t="s">
        <v>7</v>
      </c>
    </row>
    <row r="107" spans="1:10" x14ac:dyDescent="0.3">
      <c r="A107" s="2" t="s">
        <v>44</v>
      </c>
      <c r="B107" s="26" t="s">
        <v>242</v>
      </c>
      <c r="C107" s="26" t="s">
        <v>303</v>
      </c>
      <c r="D107" s="28" t="s">
        <v>102</v>
      </c>
      <c r="E107" s="28" t="s">
        <v>312</v>
      </c>
      <c r="F107" s="32">
        <v>2280</v>
      </c>
      <c r="G107" s="46" t="s">
        <v>313</v>
      </c>
      <c r="H107" s="46"/>
      <c r="I107" s="27" t="s">
        <v>287</v>
      </c>
      <c r="J107" s="27" t="s">
        <v>7</v>
      </c>
    </row>
    <row r="108" spans="1:10" ht="32.4" x14ac:dyDescent="0.3">
      <c r="A108" s="2" t="s">
        <v>44</v>
      </c>
      <c r="B108" s="26" t="s">
        <v>242</v>
      </c>
      <c r="C108" s="26" t="s">
        <v>303</v>
      </c>
      <c r="D108" s="28" t="s">
        <v>142</v>
      </c>
      <c r="E108" s="28" t="s">
        <v>314</v>
      </c>
      <c r="F108" s="32">
        <v>2000</v>
      </c>
      <c r="G108" s="46" t="s">
        <v>315</v>
      </c>
      <c r="H108" s="46"/>
      <c r="I108" s="27" t="s">
        <v>210</v>
      </c>
      <c r="J108" s="27" t="s">
        <v>7</v>
      </c>
    </row>
    <row r="109" spans="1:10" ht="32.4" x14ac:dyDescent="0.3">
      <c r="A109" s="2" t="s">
        <v>44</v>
      </c>
      <c r="B109" s="26" t="s">
        <v>242</v>
      </c>
      <c r="C109" s="26" t="s">
        <v>303</v>
      </c>
      <c r="D109" s="28" t="s">
        <v>142</v>
      </c>
      <c r="E109" s="28" t="s">
        <v>316</v>
      </c>
      <c r="F109" s="32">
        <v>786</v>
      </c>
      <c r="G109" s="46" t="s">
        <v>317</v>
      </c>
      <c r="H109" s="46"/>
      <c r="I109" s="27" t="s">
        <v>126</v>
      </c>
      <c r="J109" s="27" t="s">
        <v>7</v>
      </c>
    </row>
    <row r="110" spans="1:10" ht="32.4" x14ac:dyDescent="0.3">
      <c r="A110" s="2" t="s">
        <v>44</v>
      </c>
      <c r="B110" s="26" t="s">
        <v>242</v>
      </c>
      <c r="C110" s="26" t="s">
        <v>318</v>
      </c>
      <c r="D110" s="28" t="s">
        <v>149</v>
      </c>
      <c r="E110" s="28" t="s">
        <v>319</v>
      </c>
      <c r="F110" s="32">
        <v>1580</v>
      </c>
      <c r="G110" s="46" t="s">
        <v>320</v>
      </c>
      <c r="H110" s="46"/>
      <c r="I110" s="27" t="s">
        <v>287</v>
      </c>
      <c r="J110" s="27" t="s">
        <v>7</v>
      </c>
    </row>
    <row r="111" spans="1:10" ht="32.4" x14ac:dyDescent="0.3">
      <c r="A111" s="2" t="s">
        <v>44</v>
      </c>
      <c r="B111" s="26" t="s">
        <v>242</v>
      </c>
      <c r="C111" s="26" t="s">
        <v>318</v>
      </c>
      <c r="D111" s="28" t="s">
        <v>149</v>
      </c>
      <c r="E111" s="28" t="s">
        <v>321</v>
      </c>
      <c r="F111" s="32">
        <v>2980</v>
      </c>
      <c r="G111" s="46" t="s">
        <v>322</v>
      </c>
      <c r="H111" s="46"/>
      <c r="I111" s="27" t="s">
        <v>210</v>
      </c>
      <c r="J111" s="27" t="s">
        <v>7</v>
      </c>
    </row>
    <row r="112" spans="1:10" ht="32.4" x14ac:dyDescent="0.3">
      <c r="A112" s="2" t="s">
        <v>44</v>
      </c>
      <c r="B112" s="26" t="s">
        <v>242</v>
      </c>
      <c r="C112" s="26" t="s">
        <v>318</v>
      </c>
      <c r="D112" s="28" t="s">
        <v>83</v>
      </c>
      <c r="E112" s="28" t="s">
        <v>323</v>
      </c>
      <c r="F112" s="32">
        <v>4139</v>
      </c>
      <c r="G112" s="46" t="s">
        <v>324</v>
      </c>
      <c r="H112" s="46"/>
      <c r="I112" s="27" t="s">
        <v>99</v>
      </c>
      <c r="J112" s="27" t="s">
        <v>7</v>
      </c>
    </row>
    <row r="113" spans="1:10" ht="48.6" x14ac:dyDescent="0.3">
      <c r="A113" s="2" t="s">
        <v>44</v>
      </c>
      <c r="B113" s="26" t="s">
        <v>242</v>
      </c>
      <c r="C113" s="26" t="s">
        <v>325</v>
      </c>
      <c r="D113" s="28" t="s">
        <v>326</v>
      </c>
      <c r="E113" s="28" t="s">
        <v>327</v>
      </c>
      <c r="F113" s="32">
        <v>11400</v>
      </c>
      <c r="G113" s="46" t="s">
        <v>328</v>
      </c>
      <c r="H113" s="46"/>
      <c r="I113" s="27" t="s">
        <v>94</v>
      </c>
      <c r="J113" s="27" t="s">
        <v>7</v>
      </c>
    </row>
    <row r="114" spans="1:10" ht="32.4" x14ac:dyDescent="0.3">
      <c r="A114" s="2" t="s">
        <v>44</v>
      </c>
      <c r="B114" s="26" t="s">
        <v>242</v>
      </c>
      <c r="C114" s="26" t="s">
        <v>329</v>
      </c>
      <c r="D114" s="28" t="s">
        <v>123</v>
      </c>
      <c r="E114" s="28" t="s">
        <v>330</v>
      </c>
      <c r="F114" s="32">
        <v>1521</v>
      </c>
      <c r="G114" s="46" t="s">
        <v>331</v>
      </c>
      <c r="H114" s="46"/>
      <c r="I114" s="27" t="s">
        <v>227</v>
      </c>
      <c r="J114" s="27" t="s">
        <v>7</v>
      </c>
    </row>
    <row r="115" spans="1:10" ht="32.4" x14ac:dyDescent="0.3">
      <c r="A115" s="2" t="s">
        <v>44</v>
      </c>
      <c r="B115" s="26" t="s">
        <v>242</v>
      </c>
      <c r="C115" s="26" t="s">
        <v>329</v>
      </c>
      <c r="D115" s="28" t="s">
        <v>123</v>
      </c>
      <c r="E115" s="28" t="s">
        <v>332</v>
      </c>
      <c r="F115" s="32">
        <v>3380</v>
      </c>
      <c r="G115" s="46" t="s">
        <v>333</v>
      </c>
      <c r="H115" s="46"/>
      <c r="I115" s="27" t="s">
        <v>126</v>
      </c>
      <c r="J115" s="27" t="s">
        <v>7</v>
      </c>
    </row>
    <row r="116" spans="1:10" ht="32.4" x14ac:dyDescent="0.3">
      <c r="A116" s="2" t="s">
        <v>44</v>
      </c>
      <c r="B116" s="26" t="s">
        <v>242</v>
      </c>
      <c r="C116" s="26" t="s">
        <v>329</v>
      </c>
      <c r="D116" s="28" t="s">
        <v>142</v>
      </c>
      <c r="E116" s="28" t="s">
        <v>334</v>
      </c>
      <c r="F116" s="32">
        <v>5960</v>
      </c>
      <c r="G116" s="46" t="s">
        <v>335</v>
      </c>
      <c r="H116" s="46"/>
      <c r="I116" s="27" t="s">
        <v>306</v>
      </c>
      <c r="J116" s="27" t="s">
        <v>307</v>
      </c>
    </row>
    <row r="117" spans="1:10" ht="32.4" x14ac:dyDescent="0.3">
      <c r="A117" s="2" t="s">
        <v>44</v>
      </c>
      <c r="B117" s="26" t="s">
        <v>242</v>
      </c>
      <c r="C117" s="26" t="s">
        <v>329</v>
      </c>
      <c r="D117" s="28" t="s">
        <v>142</v>
      </c>
      <c r="E117" s="28" t="s">
        <v>336</v>
      </c>
      <c r="F117" s="32">
        <v>3308</v>
      </c>
      <c r="G117" s="46" t="s">
        <v>337</v>
      </c>
      <c r="H117" s="46"/>
      <c r="I117" s="27" t="s">
        <v>306</v>
      </c>
      <c r="J117" s="27" t="s">
        <v>307</v>
      </c>
    </row>
    <row r="118" spans="1:10" ht="32.4" x14ac:dyDescent="0.3">
      <c r="A118" s="2" t="s">
        <v>44</v>
      </c>
      <c r="B118" s="26" t="s">
        <v>242</v>
      </c>
      <c r="C118" s="26" t="s">
        <v>329</v>
      </c>
      <c r="D118" s="28" t="s">
        <v>142</v>
      </c>
      <c r="E118" s="28" t="s">
        <v>338</v>
      </c>
      <c r="F118" s="32">
        <v>5490</v>
      </c>
      <c r="G118" s="46" t="s">
        <v>339</v>
      </c>
      <c r="H118" s="46"/>
      <c r="I118" s="27" t="s">
        <v>306</v>
      </c>
      <c r="J118" s="27" t="s">
        <v>307</v>
      </c>
    </row>
    <row r="119" spans="1:10" ht="32.4" x14ac:dyDescent="0.3">
      <c r="A119" s="2" t="s">
        <v>44</v>
      </c>
      <c r="B119" s="26" t="s">
        <v>242</v>
      </c>
      <c r="C119" s="26" t="s">
        <v>340</v>
      </c>
      <c r="D119" s="28" t="s">
        <v>173</v>
      </c>
      <c r="E119" s="28" t="s">
        <v>341</v>
      </c>
      <c r="F119" s="32">
        <v>3250</v>
      </c>
      <c r="G119" s="46" t="s">
        <v>342</v>
      </c>
      <c r="H119" s="46"/>
      <c r="I119" s="27" t="s">
        <v>343</v>
      </c>
      <c r="J119" s="27" t="s">
        <v>7</v>
      </c>
    </row>
    <row r="120" spans="1:10" ht="32.4" x14ac:dyDescent="0.3">
      <c r="A120" s="2" t="s">
        <v>44</v>
      </c>
      <c r="B120" s="26" t="s">
        <v>242</v>
      </c>
      <c r="C120" s="26" t="s">
        <v>344</v>
      </c>
      <c r="D120" s="28" t="s">
        <v>142</v>
      </c>
      <c r="E120" s="28" t="s">
        <v>345</v>
      </c>
      <c r="F120" s="32">
        <v>5334</v>
      </c>
      <c r="G120" s="46" t="s">
        <v>346</v>
      </c>
      <c r="H120" s="46"/>
      <c r="I120" s="27" t="s">
        <v>306</v>
      </c>
      <c r="J120" s="27" t="s">
        <v>307</v>
      </c>
    </row>
    <row r="121" spans="1:10" ht="32.4" x14ac:dyDescent="0.3">
      <c r="A121" s="2" t="s">
        <v>44</v>
      </c>
      <c r="B121" s="26" t="s">
        <v>242</v>
      </c>
      <c r="C121" s="26" t="s">
        <v>344</v>
      </c>
      <c r="D121" s="28" t="s">
        <v>142</v>
      </c>
      <c r="E121" s="28" t="s">
        <v>347</v>
      </c>
      <c r="F121" s="32">
        <v>5334</v>
      </c>
      <c r="G121" s="46" t="s">
        <v>346</v>
      </c>
      <c r="H121" s="46"/>
      <c r="I121" s="27" t="s">
        <v>306</v>
      </c>
      <c r="J121" s="27" t="s">
        <v>307</v>
      </c>
    </row>
    <row r="122" spans="1:10" ht="32.4" x14ac:dyDescent="0.3">
      <c r="A122" s="2" t="s">
        <v>44</v>
      </c>
      <c r="B122" s="26" t="s">
        <v>242</v>
      </c>
      <c r="C122" s="26" t="s">
        <v>344</v>
      </c>
      <c r="D122" s="28" t="s">
        <v>142</v>
      </c>
      <c r="E122" s="28" t="s">
        <v>348</v>
      </c>
      <c r="F122" s="32">
        <v>4273</v>
      </c>
      <c r="G122" s="46" t="s">
        <v>349</v>
      </c>
      <c r="H122" s="46"/>
      <c r="I122" s="27" t="s">
        <v>306</v>
      </c>
      <c r="J122" s="27" t="s">
        <v>307</v>
      </c>
    </row>
    <row r="123" spans="1:10" ht="32.4" x14ac:dyDescent="0.3">
      <c r="A123" s="2" t="s">
        <v>44</v>
      </c>
      <c r="B123" s="26" t="s">
        <v>242</v>
      </c>
      <c r="C123" s="26" t="s">
        <v>344</v>
      </c>
      <c r="D123" s="28" t="s">
        <v>142</v>
      </c>
      <c r="E123" s="28" t="s">
        <v>350</v>
      </c>
      <c r="F123" s="32">
        <v>5295</v>
      </c>
      <c r="G123" s="46" t="s">
        <v>339</v>
      </c>
      <c r="H123" s="46"/>
      <c r="I123" s="27" t="s">
        <v>306</v>
      </c>
      <c r="J123" s="27" t="s">
        <v>307</v>
      </c>
    </row>
    <row r="124" spans="1:10" ht="48.6" x14ac:dyDescent="0.3">
      <c r="A124" s="2" t="s">
        <v>44</v>
      </c>
      <c r="B124" s="26" t="s">
        <v>242</v>
      </c>
      <c r="C124" s="26" t="s">
        <v>344</v>
      </c>
      <c r="D124" s="28" t="s">
        <v>351</v>
      </c>
      <c r="E124" s="28" t="s">
        <v>352</v>
      </c>
      <c r="F124" s="32">
        <v>10000</v>
      </c>
      <c r="G124" s="46" t="s">
        <v>353</v>
      </c>
      <c r="H124" s="46"/>
      <c r="I124" s="27" t="s">
        <v>158</v>
      </c>
      <c r="J124" s="27" t="s">
        <v>7</v>
      </c>
    </row>
    <row r="125" spans="1:10" ht="32.4" x14ac:dyDescent="0.3">
      <c r="A125" s="2" t="s">
        <v>44</v>
      </c>
      <c r="B125" s="26" t="s">
        <v>242</v>
      </c>
      <c r="C125" s="26" t="s">
        <v>354</v>
      </c>
      <c r="D125" s="28" t="s">
        <v>138</v>
      </c>
      <c r="E125" s="28" t="s">
        <v>355</v>
      </c>
      <c r="F125" s="32">
        <v>2500</v>
      </c>
      <c r="G125" s="46" t="s">
        <v>356</v>
      </c>
      <c r="H125" s="46"/>
      <c r="I125" s="27" t="s">
        <v>81</v>
      </c>
      <c r="J125" s="27" t="s">
        <v>7</v>
      </c>
    </row>
    <row r="126" spans="1:10" ht="32.4" x14ac:dyDescent="0.3">
      <c r="A126" s="2" t="s">
        <v>44</v>
      </c>
      <c r="B126" s="26" t="s">
        <v>242</v>
      </c>
      <c r="C126" s="26" t="s">
        <v>354</v>
      </c>
      <c r="D126" s="28" t="s">
        <v>138</v>
      </c>
      <c r="E126" s="28" t="s">
        <v>357</v>
      </c>
      <c r="F126" s="32">
        <v>2000</v>
      </c>
      <c r="G126" s="46" t="s">
        <v>358</v>
      </c>
      <c r="H126" s="46"/>
      <c r="I126" s="27" t="s">
        <v>81</v>
      </c>
      <c r="J126" s="27" t="s">
        <v>7</v>
      </c>
    </row>
    <row r="127" spans="1:10" ht="32.4" x14ac:dyDescent="0.3">
      <c r="A127" s="2" t="s">
        <v>44</v>
      </c>
      <c r="B127" s="26" t="s">
        <v>242</v>
      </c>
      <c r="C127" s="26" t="s">
        <v>354</v>
      </c>
      <c r="D127" s="28" t="s">
        <v>83</v>
      </c>
      <c r="E127" s="28" t="s">
        <v>359</v>
      </c>
      <c r="F127" s="32">
        <v>2309</v>
      </c>
      <c r="G127" s="46" t="s">
        <v>360</v>
      </c>
      <c r="H127" s="46"/>
      <c r="I127" s="27" t="s">
        <v>99</v>
      </c>
      <c r="J127" s="27" t="s">
        <v>7</v>
      </c>
    </row>
    <row r="128" spans="1:10" ht="32.4" x14ac:dyDescent="0.3">
      <c r="A128" s="2" t="s">
        <v>44</v>
      </c>
      <c r="B128" s="26" t="s">
        <v>242</v>
      </c>
      <c r="C128" s="26" t="s">
        <v>354</v>
      </c>
      <c r="D128" s="28" t="s">
        <v>83</v>
      </c>
      <c r="E128" s="28" t="s">
        <v>361</v>
      </c>
      <c r="F128" s="32">
        <v>3600</v>
      </c>
      <c r="G128" s="46" t="s">
        <v>362</v>
      </c>
      <c r="H128" s="46"/>
      <c r="I128" s="27" t="s">
        <v>81</v>
      </c>
      <c r="J128" s="27" t="s">
        <v>7</v>
      </c>
    </row>
    <row r="129" spans="1:10" ht="32.4" x14ac:dyDescent="0.3">
      <c r="A129" s="2" t="s">
        <v>44</v>
      </c>
      <c r="B129" s="26" t="s">
        <v>242</v>
      </c>
      <c r="C129" s="26" t="s">
        <v>354</v>
      </c>
      <c r="D129" s="28" t="s">
        <v>102</v>
      </c>
      <c r="E129" s="28" t="s">
        <v>363</v>
      </c>
      <c r="F129" s="32">
        <v>280</v>
      </c>
      <c r="G129" s="46" t="s">
        <v>364</v>
      </c>
      <c r="H129" s="46"/>
      <c r="I129" s="27" t="s">
        <v>199</v>
      </c>
      <c r="J129" s="27" t="s">
        <v>7</v>
      </c>
    </row>
    <row r="130" spans="1:10" x14ac:dyDescent="0.3">
      <c r="A130" s="2" t="s">
        <v>44</v>
      </c>
      <c r="B130" s="26" t="s">
        <v>242</v>
      </c>
      <c r="C130" s="26" t="s">
        <v>365</v>
      </c>
      <c r="D130" s="28" t="s">
        <v>249</v>
      </c>
      <c r="E130" s="28" t="s">
        <v>366</v>
      </c>
      <c r="F130" s="32">
        <v>535</v>
      </c>
      <c r="G130" s="46" t="s">
        <v>367</v>
      </c>
      <c r="H130" s="46"/>
      <c r="I130" s="27" t="s">
        <v>154</v>
      </c>
      <c r="J130" s="27" t="s">
        <v>7</v>
      </c>
    </row>
    <row r="131" spans="1:10" ht="32.4" x14ac:dyDescent="0.3">
      <c r="A131" s="2" t="s">
        <v>44</v>
      </c>
      <c r="B131" s="26" t="s">
        <v>242</v>
      </c>
      <c r="C131" s="26" t="s">
        <v>365</v>
      </c>
      <c r="D131" s="28" t="s">
        <v>113</v>
      </c>
      <c r="E131" s="28" t="s">
        <v>368</v>
      </c>
      <c r="F131" s="32">
        <v>2000</v>
      </c>
      <c r="G131" s="46" t="s">
        <v>369</v>
      </c>
      <c r="H131" s="46"/>
      <c r="I131" s="27" t="s">
        <v>370</v>
      </c>
      <c r="J131" s="27" t="s">
        <v>7</v>
      </c>
    </row>
    <row r="132" spans="1:10" ht="32.4" x14ac:dyDescent="0.3">
      <c r="A132" s="2" t="s">
        <v>44</v>
      </c>
      <c r="B132" s="26" t="s">
        <v>242</v>
      </c>
      <c r="C132" s="26" t="s">
        <v>365</v>
      </c>
      <c r="D132" s="28" t="s">
        <v>371</v>
      </c>
      <c r="E132" s="28" t="s">
        <v>372</v>
      </c>
      <c r="F132" s="32">
        <v>578</v>
      </c>
      <c r="G132" s="46" t="s">
        <v>373</v>
      </c>
      <c r="H132" s="46"/>
      <c r="I132" s="27" t="s">
        <v>141</v>
      </c>
      <c r="J132" s="27" t="s">
        <v>7</v>
      </c>
    </row>
    <row r="133" spans="1:10" ht="32.4" x14ac:dyDescent="0.3">
      <c r="A133" s="2" t="s">
        <v>44</v>
      </c>
      <c r="B133" s="26" t="s">
        <v>242</v>
      </c>
      <c r="C133" s="26" t="s">
        <v>374</v>
      </c>
      <c r="D133" s="28" t="s">
        <v>83</v>
      </c>
      <c r="E133" s="28" t="s">
        <v>375</v>
      </c>
      <c r="F133" s="32">
        <v>851</v>
      </c>
      <c r="G133" s="46" t="s">
        <v>376</v>
      </c>
      <c r="H133" s="46"/>
      <c r="I133" s="27" t="s">
        <v>126</v>
      </c>
      <c r="J133" s="27" t="s">
        <v>7</v>
      </c>
    </row>
    <row r="134" spans="1:10" ht="32.4" x14ac:dyDescent="0.3">
      <c r="A134" s="2" t="s">
        <v>44</v>
      </c>
      <c r="B134" s="26" t="s">
        <v>242</v>
      </c>
      <c r="C134" s="26" t="s">
        <v>377</v>
      </c>
      <c r="D134" s="28" t="s">
        <v>378</v>
      </c>
      <c r="E134" s="28" t="s">
        <v>379</v>
      </c>
      <c r="F134" s="32">
        <v>69300</v>
      </c>
      <c r="G134" s="46" t="s">
        <v>380</v>
      </c>
      <c r="H134" s="46"/>
      <c r="I134" s="27" t="s">
        <v>381</v>
      </c>
      <c r="J134" s="27" t="s">
        <v>7</v>
      </c>
    </row>
    <row r="135" spans="1:10" ht="48.6" x14ac:dyDescent="0.3">
      <c r="A135" s="2" t="s">
        <v>44</v>
      </c>
      <c r="B135" s="26" t="s">
        <v>242</v>
      </c>
      <c r="C135" s="26" t="s">
        <v>382</v>
      </c>
      <c r="D135" s="28" t="s">
        <v>351</v>
      </c>
      <c r="E135" s="28" t="s">
        <v>383</v>
      </c>
      <c r="F135" s="32">
        <v>5000</v>
      </c>
      <c r="G135" s="46" t="s">
        <v>384</v>
      </c>
      <c r="H135" s="46"/>
      <c r="I135" s="27" t="s">
        <v>385</v>
      </c>
      <c r="J135" s="27" t="s">
        <v>7</v>
      </c>
    </row>
    <row r="136" spans="1:10" x14ac:dyDescent="0.3">
      <c r="A136" s="2" t="s">
        <v>44</v>
      </c>
      <c r="B136" s="26" t="s">
        <v>242</v>
      </c>
      <c r="C136" s="26" t="s">
        <v>386</v>
      </c>
      <c r="D136" s="28" t="s">
        <v>102</v>
      </c>
      <c r="E136" s="28" t="s">
        <v>387</v>
      </c>
      <c r="F136" s="32">
        <v>3593</v>
      </c>
      <c r="G136" s="46" t="s">
        <v>388</v>
      </c>
      <c r="H136" s="46"/>
      <c r="I136" s="27" t="s">
        <v>185</v>
      </c>
      <c r="J136" s="27" t="s">
        <v>7</v>
      </c>
    </row>
    <row r="137" spans="1:10" ht="32.4" x14ac:dyDescent="0.3">
      <c r="A137" s="2" t="s">
        <v>44</v>
      </c>
      <c r="B137" s="26" t="s">
        <v>242</v>
      </c>
      <c r="C137" s="26" t="s">
        <v>386</v>
      </c>
      <c r="D137" s="28" t="s">
        <v>389</v>
      </c>
      <c r="E137" s="28" t="s">
        <v>390</v>
      </c>
      <c r="F137" s="32">
        <v>6000</v>
      </c>
      <c r="G137" s="46" t="s">
        <v>391</v>
      </c>
      <c r="H137" s="46"/>
      <c r="I137" s="27" t="s">
        <v>306</v>
      </c>
      <c r="J137" s="27" t="s">
        <v>307</v>
      </c>
    </row>
    <row r="138" spans="1:10" ht="32.4" x14ac:dyDescent="0.3">
      <c r="A138" s="2" t="s">
        <v>44</v>
      </c>
      <c r="B138" s="26" t="s">
        <v>242</v>
      </c>
      <c r="C138" s="26" t="s">
        <v>392</v>
      </c>
      <c r="D138" s="28" t="s">
        <v>202</v>
      </c>
      <c r="E138" s="28" t="s">
        <v>393</v>
      </c>
      <c r="F138" s="32">
        <v>624</v>
      </c>
      <c r="G138" s="46" t="s">
        <v>394</v>
      </c>
      <c r="H138" s="46"/>
      <c r="I138" s="27" t="s">
        <v>141</v>
      </c>
      <c r="J138" s="27" t="s">
        <v>7</v>
      </c>
    </row>
    <row r="139" spans="1:10" ht="32.4" x14ac:dyDescent="0.3">
      <c r="A139" s="2" t="s">
        <v>44</v>
      </c>
      <c r="B139" s="26" t="s">
        <v>242</v>
      </c>
      <c r="C139" s="26" t="s">
        <v>392</v>
      </c>
      <c r="D139" s="28" t="s">
        <v>102</v>
      </c>
      <c r="E139" s="28" t="s">
        <v>395</v>
      </c>
      <c r="F139" s="32">
        <v>3500</v>
      </c>
      <c r="G139" s="46" t="s">
        <v>396</v>
      </c>
      <c r="H139" s="46"/>
      <c r="I139" s="27" t="s">
        <v>141</v>
      </c>
      <c r="J139" s="27" t="s">
        <v>7</v>
      </c>
    </row>
    <row r="140" spans="1:10" ht="32.4" x14ac:dyDescent="0.3">
      <c r="A140" s="2" t="s">
        <v>44</v>
      </c>
      <c r="B140" s="26" t="s">
        <v>242</v>
      </c>
      <c r="C140" s="26" t="s">
        <v>392</v>
      </c>
      <c r="D140" s="28" t="s">
        <v>102</v>
      </c>
      <c r="E140" s="28" t="s">
        <v>397</v>
      </c>
      <c r="F140" s="32">
        <v>3600</v>
      </c>
      <c r="G140" s="46" t="s">
        <v>398</v>
      </c>
      <c r="H140" s="46"/>
      <c r="I140" s="27" t="s">
        <v>141</v>
      </c>
      <c r="J140" s="27" t="s">
        <v>7</v>
      </c>
    </row>
    <row r="141" spans="1:10" ht="32.4" x14ac:dyDescent="0.3">
      <c r="A141" s="2" t="s">
        <v>44</v>
      </c>
      <c r="B141" s="26" t="s">
        <v>242</v>
      </c>
      <c r="C141" s="26" t="s">
        <v>392</v>
      </c>
      <c r="D141" s="28" t="s">
        <v>102</v>
      </c>
      <c r="E141" s="28" t="s">
        <v>399</v>
      </c>
      <c r="F141" s="32">
        <v>3600</v>
      </c>
      <c r="G141" s="46" t="s">
        <v>400</v>
      </c>
      <c r="H141" s="46"/>
      <c r="I141" s="27" t="s">
        <v>141</v>
      </c>
      <c r="J141" s="27" t="s">
        <v>7</v>
      </c>
    </row>
    <row r="142" spans="1:10" ht="32.4" x14ac:dyDescent="0.3">
      <c r="A142" s="2" t="s">
        <v>44</v>
      </c>
      <c r="B142" s="26" t="s">
        <v>242</v>
      </c>
      <c r="C142" s="26" t="s">
        <v>392</v>
      </c>
      <c r="D142" s="28" t="s">
        <v>142</v>
      </c>
      <c r="E142" s="28" t="s">
        <v>401</v>
      </c>
      <c r="F142" s="32">
        <v>2241</v>
      </c>
      <c r="G142" s="46" t="s">
        <v>402</v>
      </c>
      <c r="H142" s="46"/>
      <c r="I142" s="27" t="s">
        <v>210</v>
      </c>
      <c r="J142" s="27" t="s">
        <v>7</v>
      </c>
    </row>
    <row r="143" spans="1:10" ht="32.4" x14ac:dyDescent="0.3">
      <c r="A143" s="2" t="s">
        <v>44</v>
      </c>
      <c r="B143" s="26" t="s">
        <v>242</v>
      </c>
      <c r="C143" s="26" t="s">
        <v>403</v>
      </c>
      <c r="D143" s="28" t="s">
        <v>123</v>
      </c>
      <c r="E143" s="28" t="s">
        <v>404</v>
      </c>
      <c r="F143" s="32">
        <v>2700</v>
      </c>
      <c r="G143" s="46" t="s">
        <v>405</v>
      </c>
      <c r="H143" s="46"/>
      <c r="I143" s="27" t="s">
        <v>227</v>
      </c>
      <c r="J143" s="27" t="s">
        <v>7</v>
      </c>
    </row>
    <row r="144" spans="1:10" ht="32.4" x14ac:dyDescent="0.3">
      <c r="A144" s="2" t="s">
        <v>44</v>
      </c>
      <c r="B144" s="26" t="s">
        <v>242</v>
      </c>
      <c r="C144" s="26" t="s">
        <v>403</v>
      </c>
      <c r="D144" s="28" t="s">
        <v>123</v>
      </c>
      <c r="E144" s="28" t="s">
        <v>406</v>
      </c>
      <c r="F144" s="32">
        <v>1580</v>
      </c>
      <c r="G144" s="46" t="s">
        <v>407</v>
      </c>
      <c r="H144" s="46"/>
      <c r="I144" s="27" t="s">
        <v>227</v>
      </c>
      <c r="J144" s="27" t="s">
        <v>7</v>
      </c>
    </row>
    <row r="145" spans="1:10" ht="32.4" x14ac:dyDescent="0.3">
      <c r="A145" s="2" t="s">
        <v>44</v>
      </c>
      <c r="B145" s="26" t="s">
        <v>242</v>
      </c>
      <c r="C145" s="26" t="s">
        <v>403</v>
      </c>
      <c r="D145" s="28" t="s">
        <v>123</v>
      </c>
      <c r="E145" s="28" t="s">
        <v>408</v>
      </c>
      <c r="F145" s="32">
        <v>2660</v>
      </c>
      <c r="G145" s="46" t="s">
        <v>409</v>
      </c>
      <c r="H145" s="46"/>
      <c r="I145" s="27" t="s">
        <v>81</v>
      </c>
      <c r="J145" s="27" t="s">
        <v>7</v>
      </c>
    </row>
    <row r="146" spans="1:10" ht="32.4" x14ac:dyDescent="0.3">
      <c r="A146" s="2" t="s">
        <v>44</v>
      </c>
      <c r="B146" s="26" t="s">
        <v>242</v>
      </c>
      <c r="C146" s="26" t="s">
        <v>403</v>
      </c>
      <c r="D146" s="28" t="s">
        <v>142</v>
      </c>
      <c r="E146" s="28" t="s">
        <v>410</v>
      </c>
      <c r="F146" s="32">
        <v>9620</v>
      </c>
      <c r="G146" s="46" t="s">
        <v>411</v>
      </c>
      <c r="H146" s="46"/>
      <c r="I146" s="27" t="s">
        <v>120</v>
      </c>
      <c r="J146" s="27" t="s">
        <v>7</v>
      </c>
    </row>
    <row r="147" spans="1:10" ht="32.4" x14ac:dyDescent="0.3">
      <c r="A147" s="2" t="s">
        <v>44</v>
      </c>
      <c r="B147" s="26" t="s">
        <v>242</v>
      </c>
      <c r="C147" s="26" t="s">
        <v>403</v>
      </c>
      <c r="D147" s="28" t="s">
        <v>142</v>
      </c>
      <c r="E147" s="28" t="s">
        <v>412</v>
      </c>
      <c r="F147" s="32">
        <v>5400</v>
      </c>
      <c r="G147" s="46" t="s">
        <v>413</v>
      </c>
      <c r="H147" s="46"/>
      <c r="I147" s="27" t="s">
        <v>120</v>
      </c>
      <c r="J147" s="27" t="s">
        <v>7</v>
      </c>
    </row>
    <row r="148" spans="1:10" ht="32.4" x14ac:dyDescent="0.3">
      <c r="A148" s="2" t="s">
        <v>44</v>
      </c>
      <c r="B148" s="26" t="s">
        <v>242</v>
      </c>
      <c r="C148" s="26" t="s">
        <v>403</v>
      </c>
      <c r="D148" s="28" t="s">
        <v>142</v>
      </c>
      <c r="E148" s="28" t="s">
        <v>414</v>
      </c>
      <c r="F148" s="32">
        <v>2660</v>
      </c>
      <c r="G148" s="46" t="s">
        <v>415</v>
      </c>
      <c r="H148" s="46"/>
      <c r="I148" s="27" t="s">
        <v>81</v>
      </c>
      <c r="J148" s="27" t="s">
        <v>7</v>
      </c>
    </row>
    <row r="149" spans="1:10" ht="32.4" x14ac:dyDescent="0.3">
      <c r="A149" s="2" t="s">
        <v>44</v>
      </c>
      <c r="B149" s="26" t="s">
        <v>242</v>
      </c>
      <c r="C149" s="26" t="s">
        <v>416</v>
      </c>
      <c r="D149" s="28" t="s">
        <v>173</v>
      </c>
      <c r="E149" s="28" t="s">
        <v>417</v>
      </c>
      <c r="F149" s="32">
        <v>638</v>
      </c>
      <c r="G149" s="46" t="s">
        <v>418</v>
      </c>
      <c r="H149" s="46"/>
      <c r="I149" s="27" t="s">
        <v>126</v>
      </c>
      <c r="J149" s="27" t="s">
        <v>7</v>
      </c>
    </row>
    <row r="150" spans="1:10" ht="32.4" x14ac:dyDescent="0.3">
      <c r="A150" s="2" t="s">
        <v>44</v>
      </c>
      <c r="B150" s="26" t="s">
        <v>242</v>
      </c>
      <c r="C150" s="26" t="s">
        <v>416</v>
      </c>
      <c r="D150" s="28" t="s">
        <v>142</v>
      </c>
      <c r="E150" s="28" t="s">
        <v>419</v>
      </c>
      <c r="F150" s="32">
        <v>7465</v>
      </c>
      <c r="G150" s="46" t="s">
        <v>420</v>
      </c>
      <c r="H150" s="46"/>
      <c r="I150" s="27" t="s">
        <v>105</v>
      </c>
      <c r="J150" s="27" t="s">
        <v>7</v>
      </c>
    </row>
    <row r="151" spans="1:10" ht="48.6" x14ac:dyDescent="0.3">
      <c r="A151" s="2" t="s">
        <v>44</v>
      </c>
      <c r="B151" s="26" t="s">
        <v>242</v>
      </c>
      <c r="C151" s="26" t="s">
        <v>421</v>
      </c>
      <c r="D151" s="28" t="s">
        <v>47</v>
      </c>
      <c r="E151" s="28" t="s">
        <v>422</v>
      </c>
      <c r="F151" s="32">
        <v>4084</v>
      </c>
      <c r="G151" s="46" t="s">
        <v>423</v>
      </c>
      <c r="H151" s="46"/>
      <c r="I151" s="27" t="s">
        <v>287</v>
      </c>
      <c r="J151" s="27" t="s">
        <v>7</v>
      </c>
    </row>
    <row r="152" spans="1:10" ht="48.6" x14ac:dyDescent="0.3">
      <c r="A152" s="2" t="s">
        <v>44</v>
      </c>
      <c r="B152" s="26" t="s">
        <v>242</v>
      </c>
      <c r="C152" s="26" t="s">
        <v>421</v>
      </c>
      <c r="D152" s="28" t="s">
        <v>47</v>
      </c>
      <c r="E152" s="28" t="s">
        <v>424</v>
      </c>
      <c r="F152" s="32">
        <v>3063</v>
      </c>
      <c r="G152" s="46" t="s">
        <v>425</v>
      </c>
      <c r="H152" s="46"/>
      <c r="I152" s="27" t="s">
        <v>194</v>
      </c>
      <c r="J152" s="27" t="s">
        <v>7</v>
      </c>
    </row>
    <row r="153" spans="1:10" ht="48.6" x14ac:dyDescent="0.3">
      <c r="A153" s="2" t="s">
        <v>44</v>
      </c>
      <c r="B153" s="26" t="s">
        <v>242</v>
      </c>
      <c r="C153" s="26" t="s">
        <v>421</v>
      </c>
      <c r="D153" s="28" t="s">
        <v>47</v>
      </c>
      <c r="E153" s="28" t="s">
        <v>426</v>
      </c>
      <c r="F153" s="32">
        <v>4084</v>
      </c>
      <c r="G153" s="46" t="s">
        <v>427</v>
      </c>
      <c r="H153" s="46"/>
      <c r="I153" s="27" t="s">
        <v>210</v>
      </c>
      <c r="J153" s="27" t="s">
        <v>7</v>
      </c>
    </row>
    <row r="154" spans="1:10" ht="32.4" x14ac:dyDescent="0.3">
      <c r="A154" s="2" t="s">
        <v>44</v>
      </c>
      <c r="B154" s="26" t="s">
        <v>242</v>
      </c>
      <c r="C154" s="26" t="s">
        <v>421</v>
      </c>
      <c r="D154" s="28" t="s">
        <v>165</v>
      </c>
      <c r="E154" s="28" t="s">
        <v>428</v>
      </c>
      <c r="F154" s="32">
        <v>4550</v>
      </c>
      <c r="G154" s="46" t="s">
        <v>429</v>
      </c>
      <c r="H154" s="46"/>
      <c r="I154" s="27" t="s">
        <v>168</v>
      </c>
      <c r="J154" s="27" t="s">
        <v>7</v>
      </c>
    </row>
    <row r="155" spans="1:10" ht="48.6" x14ac:dyDescent="0.3">
      <c r="A155" s="2" t="s">
        <v>44</v>
      </c>
      <c r="B155" s="26" t="s">
        <v>242</v>
      </c>
      <c r="C155" s="26" t="s">
        <v>430</v>
      </c>
      <c r="D155" s="28" t="s">
        <v>47</v>
      </c>
      <c r="E155" s="28" t="s">
        <v>431</v>
      </c>
      <c r="F155" s="32">
        <v>4084</v>
      </c>
      <c r="G155" s="46" t="s">
        <v>432</v>
      </c>
      <c r="H155" s="46"/>
      <c r="I155" s="27" t="s">
        <v>185</v>
      </c>
      <c r="J155" s="27" t="s">
        <v>7</v>
      </c>
    </row>
    <row r="156" spans="1:10" ht="48.6" x14ac:dyDescent="0.3">
      <c r="A156" s="2" t="s">
        <v>44</v>
      </c>
      <c r="B156" s="26" t="s">
        <v>242</v>
      </c>
      <c r="C156" s="26" t="s">
        <v>430</v>
      </c>
      <c r="D156" s="28" t="s">
        <v>47</v>
      </c>
      <c r="E156" s="28" t="s">
        <v>433</v>
      </c>
      <c r="F156" s="32">
        <v>4084</v>
      </c>
      <c r="G156" s="46" t="s">
        <v>434</v>
      </c>
      <c r="H156" s="46"/>
      <c r="I156" s="27" t="s">
        <v>287</v>
      </c>
      <c r="J156" s="27" t="s">
        <v>7</v>
      </c>
    </row>
    <row r="157" spans="1:10" ht="48.6" x14ac:dyDescent="0.3">
      <c r="A157" s="2" t="s">
        <v>44</v>
      </c>
      <c r="B157" s="26" t="s">
        <v>242</v>
      </c>
      <c r="C157" s="26" t="s">
        <v>430</v>
      </c>
      <c r="D157" s="28" t="s">
        <v>47</v>
      </c>
      <c r="E157" s="28" t="s">
        <v>435</v>
      </c>
      <c r="F157" s="32">
        <v>4084</v>
      </c>
      <c r="G157" s="46" t="s">
        <v>436</v>
      </c>
      <c r="H157" s="46"/>
      <c r="I157" s="27" t="s">
        <v>210</v>
      </c>
      <c r="J157" s="27" t="s">
        <v>7</v>
      </c>
    </row>
    <row r="158" spans="1:10" ht="48.6" x14ac:dyDescent="0.3">
      <c r="A158" s="2" t="s">
        <v>44</v>
      </c>
      <c r="B158" s="26" t="s">
        <v>242</v>
      </c>
      <c r="C158" s="26" t="s">
        <v>430</v>
      </c>
      <c r="D158" s="28" t="s">
        <v>47</v>
      </c>
      <c r="E158" s="28" t="s">
        <v>437</v>
      </c>
      <c r="F158" s="32">
        <v>2042</v>
      </c>
      <c r="G158" s="46" t="s">
        <v>438</v>
      </c>
      <c r="H158" s="46"/>
      <c r="I158" s="27" t="s">
        <v>199</v>
      </c>
      <c r="J158" s="27" t="s">
        <v>7</v>
      </c>
    </row>
    <row r="159" spans="1:10" ht="48.6" x14ac:dyDescent="0.3">
      <c r="A159" s="2" t="s">
        <v>44</v>
      </c>
      <c r="B159" s="26" t="s">
        <v>242</v>
      </c>
      <c r="C159" s="26" t="s">
        <v>430</v>
      </c>
      <c r="D159" s="28" t="s">
        <v>47</v>
      </c>
      <c r="E159" s="28" t="s">
        <v>439</v>
      </c>
      <c r="F159" s="32">
        <v>2042</v>
      </c>
      <c r="G159" s="46" t="s">
        <v>440</v>
      </c>
      <c r="H159" s="46"/>
      <c r="I159" s="27" t="s">
        <v>199</v>
      </c>
      <c r="J159" s="27" t="s">
        <v>7</v>
      </c>
    </row>
    <row r="160" spans="1:10" ht="48.6" x14ac:dyDescent="0.3">
      <c r="A160" s="2" t="s">
        <v>44</v>
      </c>
      <c r="B160" s="26" t="s">
        <v>242</v>
      </c>
      <c r="C160" s="26" t="s">
        <v>430</v>
      </c>
      <c r="D160" s="28" t="s">
        <v>47</v>
      </c>
      <c r="E160" s="28" t="s">
        <v>441</v>
      </c>
      <c r="F160" s="32">
        <v>2042</v>
      </c>
      <c r="G160" s="46" t="s">
        <v>442</v>
      </c>
      <c r="H160" s="46"/>
      <c r="I160" s="27" t="s">
        <v>199</v>
      </c>
      <c r="J160" s="27" t="s">
        <v>7</v>
      </c>
    </row>
    <row r="161" spans="1:10" ht="48.6" x14ac:dyDescent="0.3">
      <c r="A161" s="2" t="s">
        <v>44</v>
      </c>
      <c r="B161" s="26" t="s">
        <v>242</v>
      </c>
      <c r="C161" s="26" t="s">
        <v>430</v>
      </c>
      <c r="D161" s="28" t="s">
        <v>47</v>
      </c>
      <c r="E161" s="28" t="s">
        <v>443</v>
      </c>
      <c r="F161" s="32">
        <v>2042</v>
      </c>
      <c r="G161" s="46" t="s">
        <v>444</v>
      </c>
      <c r="H161" s="46"/>
      <c r="I161" s="27" t="s">
        <v>199</v>
      </c>
      <c r="J161" s="27" t="s">
        <v>7</v>
      </c>
    </row>
    <row r="162" spans="1:10" ht="48.6" x14ac:dyDescent="0.3">
      <c r="A162" s="2" t="s">
        <v>44</v>
      </c>
      <c r="B162" s="26" t="s">
        <v>242</v>
      </c>
      <c r="C162" s="26" t="s">
        <v>430</v>
      </c>
      <c r="D162" s="28" t="s">
        <v>47</v>
      </c>
      <c r="E162" s="28" t="s">
        <v>445</v>
      </c>
      <c r="F162" s="32">
        <v>6127</v>
      </c>
      <c r="G162" s="46" t="s">
        <v>446</v>
      </c>
      <c r="H162" s="46"/>
      <c r="I162" s="27" t="s">
        <v>381</v>
      </c>
      <c r="J162" s="27" t="s">
        <v>7</v>
      </c>
    </row>
    <row r="163" spans="1:10" ht="32.4" x14ac:dyDescent="0.3">
      <c r="A163" s="2" t="s">
        <v>44</v>
      </c>
      <c r="B163" s="26" t="s">
        <v>242</v>
      </c>
      <c r="C163" s="26" t="s">
        <v>447</v>
      </c>
      <c r="D163" s="28" t="s">
        <v>238</v>
      </c>
      <c r="E163" s="28" t="s">
        <v>448</v>
      </c>
      <c r="F163" s="32">
        <v>6842</v>
      </c>
      <c r="G163" s="46" t="s">
        <v>449</v>
      </c>
      <c r="H163" s="46"/>
      <c r="I163" s="27" t="s">
        <v>450</v>
      </c>
      <c r="J163" s="27" t="s">
        <v>7</v>
      </c>
    </row>
    <row r="164" spans="1:10" ht="32.4" x14ac:dyDescent="0.3">
      <c r="A164" s="2" t="s">
        <v>44</v>
      </c>
      <c r="B164" s="26" t="s">
        <v>242</v>
      </c>
      <c r="C164" s="26" t="s">
        <v>451</v>
      </c>
      <c r="D164" s="28" t="s">
        <v>238</v>
      </c>
      <c r="E164" s="28" t="s">
        <v>452</v>
      </c>
      <c r="F164" s="32">
        <v>6160</v>
      </c>
      <c r="G164" s="46" t="s">
        <v>453</v>
      </c>
      <c r="H164" s="46"/>
      <c r="I164" s="27" t="s">
        <v>450</v>
      </c>
      <c r="J164" s="27" t="s">
        <v>7</v>
      </c>
    </row>
    <row r="165" spans="1:10" ht="48.6" x14ac:dyDescent="0.3">
      <c r="A165" s="2" t="s">
        <v>44</v>
      </c>
      <c r="B165" s="26" t="s">
        <v>242</v>
      </c>
      <c r="C165" s="26" t="s">
        <v>454</v>
      </c>
      <c r="D165" s="28" t="s">
        <v>47</v>
      </c>
      <c r="E165" s="28" t="s">
        <v>455</v>
      </c>
      <c r="F165" s="32">
        <v>4084</v>
      </c>
      <c r="G165" s="46" t="s">
        <v>456</v>
      </c>
      <c r="H165" s="46"/>
      <c r="I165" s="27" t="s">
        <v>287</v>
      </c>
      <c r="J165" s="27" t="s">
        <v>7</v>
      </c>
    </row>
    <row r="166" spans="1:10" ht="48.6" x14ac:dyDescent="0.3">
      <c r="A166" s="2" t="s">
        <v>44</v>
      </c>
      <c r="B166" s="26" t="s">
        <v>242</v>
      </c>
      <c r="C166" s="26" t="s">
        <v>454</v>
      </c>
      <c r="D166" s="28" t="s">
        <v>47</v>
      </c>
      <c r="E166" s="28" t="s">
        <v>457</v>
      </c>
      <c r="F166" s="32">
        <v>6127</v>
      </c>
      <c r="G166" s="46" t="s">
        <v>458</v>
      </c>
      <c r="H166" s="46"/>
      <c r="I166" s="27" t="s">
        <v>86</v>
      </c>
      <c r="J166" s="27" t="s">
        <v>7</v>
      </c>
    </row>
    <row r="167" spans="1:10" ht="48.6" x14ac:dyDescent="0.3">
      <c r="A167" s="2" t="s">
        <v>44</v>
      </c>
      <c r="B167" s="26" t="s">
        <v>242</v>
      </c>
      <c r="C167" s="26" t="s">
        <v>454</v>
      </c>
      <c r="D167" s="28" t="s">
        <v>47</v>
      </c>
      <c r="E167" s="28" t="s">
        <v>459</v>
      </c>
      <c r="F167" s="32">
        <v>2042</v>
      </c>
      <c r="G167" s="46" t="s">
        <v>460</v>
      </c>
      <c r="H167" s="46"/>
      <c r="I167" s="27" t="s">
        <v>86</v>
      </c>
      <c r="J167" s="27" t="s">
        <v>7</v>
      </c>
    </row>
    <row r="168" spans="1:10" ht="32.4" x14ac:dyDescent="0.3">
      <c r="A168" s="2" t="s">
        <v>44</v>
      </c>
      <c r="B168" s="26" t="s">
        <v>242</v>
      </c>
      <c r="C168" s="26" t="s">
        <v>461</v>
      </c>
      <c r="D168" s="28" t="s">
        <v>238</v>
      </c>
      <c r="E168" s="28" t="s">
        <v>462</v>
      </c>
      <c r="F168" s="32">
        <v>6403</v>
      </c>
      <c r="G168" s="46" t="s">
        <v>463</v>
      </c>
      <c r="H168" s="46"/>
      <c r="I168" s="27" t="s">
        <v>230</v>
      </c>
      <c r="J168" s="27" t="s">
        <v>7</v>
      </c>
    </row>
    <row r="169" spans="1:10" ht="32.4" x14ac:dyDescent="0.3">
      <c r="A169" s="2" t="s">
        <v>44</v>
      </c>
      <c r="B169" s="26" t="s">
        <v>242</v>
      </c>
      <c r="C169" s="26" t="s">
        <v>464</v>
      </c>
      <c r="D169" s="28" t="s">
        <v>238</v>
      </c>
      <c r="E169" s="28" t="s">
        <v>465</v>
      </c>
      <c r="F169" s="32">
        <v>3188</v>
      </c>
      <c r="G169" s="46" t="s">
        <v>466</v>
      </c>
      <c r="H169" s="46"/>
      <c r="I169" s="27" t="s">
        <v>230</v>
      </c>
      <c r="J169" s="27" t="s">
        <v>7</v>
      </c>
    </row>
    <row r="170" spans="1:10" ht="32.4" x14ac:dyDescent="0.3">
      <c r="A170" s="2" t="s">
        <v>44</v>
      </c>
      <c r="B170" s="26" t="s">
        <v>242</v>
      </c>
      <c r="C170" s="26" t="s">
        <v>467</v>
      </c>
      <c r="D170" s="28" t="s">
        <v>238</v>
      </c>
      <c r="E170" s="28" t="s">
        <v>468</v>
      </c>
      <c r="F170" s="32">
        <v>13044</v>
      </c>
      <c r="G170" s="46" t="s">
        <v>469</v>
      </c>
      <c r="H170" s="46"/>
      <c r="I170" s="27" t="s">
        <v>230</v>
      </c>
      <c r="J170" s="27" t="s">
        <v>7</v>
      </c>
    </row>
    <row r="171" spans="1:10" ht="32.4" x14ac:dyDescent="0.3">
      <c r="A171" s="2" t="s">
        <v>44</v>
      </c>
      <c r="B171" s="26" t="s">
        <v>242</v>
      </c>
      <c r="C171" s="26" t="s">
        <v>470</v>
      </c>
      <c r="D171" s="28" t="s">
        <v>238</v>
      </c>
      <c r="E171" s="28" t="s">
        <v>471</v>
      </c>
      <c r="F171" s="32">
        <v>13044</v>
      </c>
      <c r="G171" s="46" t="s">
        <v>472</v>
      </c>
      <c r="H171" s="46"/>
      <c r="I171" s="27" t="s">
        <v>230</v>
      </c>
      <c r="J171" s="27" t="s">
        <v>7</v>
      </c>
    </row>
    <row r="172" spans="1:10" ht="32.4" x14ac:dyDescent="0.3">
      <c r="A172" s="2" t="s">
        <v>44</v>
      </c>
      <c r="B172" s="26" t="s">
        <v>242</v>
      </c>
      <c r="C172" s="26" t="s">
        <v>473</v>
      </c>
      <c r="D172" s="28" t="s">
        <v>142</v>
      </c>
      <c r="E172" s="28" t="s">
        <v>474</v>
      </c>
      <c r="F172" s="32">
        <v>1000</v>
      </c>
      <c r="G172" s="46" t="s">
        <v>475</v>
      </c>
      <c r="H172" s="46"/>
      <c r="I172" s="27" t="s">
        <v>230</v>
      </c>
      <c r="J172" s="27" t="s">
        <v>7</v>
      </c>
    </row>
    <row r="173" spans="1:10" ht="32.4" x14ac:dyDescent="0.3">
      <c r="A173" s="2" t="s">
        <v>44</v>
      </c>
      <c r="B173" s="26" t="s">
        <v>242</v>
      </c>
      <c r="C173" s="26" t="s">
        <v>473</v>
      </c>
      <c r="D173" s="28" t="s">
        <v>142</v>
      </c>
      <c r="E173" s="28" t="s">
        <v>476</v>
      </c>
      <c r="F173" s="32">
        <v>1000</v>
      </c>
      <c r="G173" s="46" t="s">
        <v>477</v>
      </c>
      <c r="H173" s="46"/>
      <c r="I173" s="27" t="s">
        <v>230</v>
      </c>
      <c r="J173" s="27" t="s">
        <v>7</v>
      </c>
    </row>
    <row r="174" spans="1:10" ht="48.6" x14ac:dyDescent="0.3">
      <c r="A174" s="2" t="s">
        <v>44</v>
      </c>
      <c r="B174" s="26" t="s">
        <v>242</v>
      </c>
      <c r="C174" s="26" t="s">
        <v>478</v>
      </c>
      <c r="D174" s="28" t="s">
        <v>47</v>
      </c>
      <c r="E174" s="28" t="s">
        <v>479</v>
      </c>
      <c r="F174" s="32">
        <v>4084</v>
      </c>
      <c r="G174" s="46" t="s">
        <v>480</v>
      </c>
      <c r="H174" s="46"/>
      <c r="I174" s="27" t="s">
        <v>94</v>
      </c>
      <c r="J174" s="27" t="s">
        <v>7</v>
      </c>
    </row>
    <row r="175" spans="1:10" ht="48.6" x14ac:dyDescent="0.3">
      <c r="A175" s="2" t="s">
        <v>44</v>
      </c>
      <c r="B175" s="26" t="s">
        <v>242</v>
      </c>
      <c r="C175" s="26" t="s">
        <v>478</v>
      </c>
      <c r="D175" s="28" t="s">
        <v>47</v>
      </c>
      <c r="E175" s="28" t="s">
        <v>481</v>
      </c>
      <c r="F175" s="32">
        <v>2042</v>
      </c>
      <c r="G175" s="46" t="s">
        <v>482</v>
      </c>
      <c r="H175" s="46"/>
      <c r="I175" s="27" t="s">
        <v>199</v>
      </c>
      <c r="J175" s="27" t="s">
        <v>7</v>
      </c>
    </row>
    <row r="176" spans="1:10" ht="32.4" x14ac:dyDescent="0.3">
      <c r="A176" s="2" t="s">
        <v>44</v>
      </c>
      <c r="B176" s="26" t="s">
        <v>242</v>
      </c>
      <c r="C176" s="26" t="s">
        <v>483</v>
      </c>
      <c r="D176" s="28" t="s">
        <v>238</v>
      </c>
      <c r="E176" s="28" t="s">
        <v>484</v>
      </c>
      <c r="F176" s="32">
        <v>4792</v>
      </c>
      <c r="G176" s="46" t="s">
        <v>485</v>
      </c>
      <c r="H176" s="46"/>
      <c r="I176" s="27" t="s">
        <v>81</v>
      </c>
      <c r="J176" s="27" t="s">
        <v>7</v>
      </c>
    </row>
    <row r="177" spans="1:10" ht="48.6" x14ac:dyDescent="0.3">
      <c r="A177" s="2" t="s">
        <v>44</v>
      </c>
      <c r="B177" s="26" t="s">
        <v>242</v>
      </c>
      <c r="C177" s="26" t="s">
        <v>486</v>
      </c>
      <c r="D177" s="28" t="s">
        <v>47</v>
      </c>
      <c r="E177" s="28" t="s">
        <v>487</v>
      </c>
      <c r="F177" s="32">
        <v>44847</v>
      </c>
      <c r="G177" s="46" t="s">
        <v>488</v>
      </c>
      <c r="H177" s="46"/>
      <c r="I177" s="27" t="s">
        <v>287</v>
      </c>
      <c r="J177" s="27" t="s">
        <v>7</v>
      </c>
    </row>
    <row r="178" spans="1:10" ht="32.4" x14ac:dyDescent="0.3">
      <c r="A178" s="2" t="s">
        <v>44</v>
      </c>
      <c r="B178" s="26" t="s">
        <v>242</v>
      </c>
      <c r="C178" s="26" t="s">
        <v>489</v>
      </c>
      <c r="D178" s="28" t="s">
        <v>238</v>
      </c>
      <c r="E178" s="28" t="s">
        <v>490</v>
      </c>
      <c r="F178" s="32">
        <v>3261</v>
      </c>
      <c r="G178" s="46" t="s">
        <v>491</v>
      </c>
      <c r="H178" s="46"/>
      <c r="I178" s="27" t="s">
        <v>241</v>
      </c>
      <c r="J178" s="27" t="s">
        <v>7</v>
      </c>
    </row>
    <row r="179" spans="1:10" ht="32.4" x14ac:dyDescent="0.3">
      <c r="A179" s="2" t="s">
        <v>44</v>
      </c>
      <c r="B179" s="26" t="s">
        <v>242</v>
      </c>
      <c r="C179" s="26" t="s">
        <v>492</v>
      </c>
      <c r="D179" s="28" t="s">
        <v>238</v>
      </c>
      <c r="E179" s="28" t="s">
        <v>493</v>
      </c>
      <c r="F179" s="32">
        <v>3261</v>
      </c>
      <c r="G179" s="46" t="s">
        <v>491</v>
      </c>
      <c r="H179" s="46"/>
      <c r="I179" s="27" t="s">
        <v>241</v>
      </c>
      <c r="J179" s="27" t="s">
        <v>7</v>
      </c>
    </row>
    <row r="180" spans="1:10" ht="32.4" x14ac:dyDescent="0.3">
      <c r="A180" s="2" t="s">
        <v>44</v>
      </c>
      <c r="B180" s="26" t="s">
        <v>242</v>
      </c>
      <c r="C180" s="26" t="s">
        <v>494</v>
      </c>
      <c r="D180" s="28" t="s">
        <v>238</v>
      </c>
      <c r="E180" s="28" t="s">
        <v>495</v>
      </c>
      <c r="F180" s="32">
        <v>3261</v>
      </c>
      <c r="G180" s="46" t="s">
        <v>491</v>
      </c>
      <c r="H180" s="46"/>
      <c r="I180" s="27" t="s">
        <v>241</v>
      </c>
      <c r="J180" s="27" t="s">
        <v>7</v>
      </c>
    </row>
    <row r="181" spans="1:10" ht="32.4" x14ac:dyDescent="0.3">
      <c r="A181" s="2" t="s">
        <v>44</v>
      </c>
      <c r="B181" s="26" t="s">
        <v>242</v>
      </c>
      <c r="C181" s="26" t="s">
        <v>496</v>
      </c>
      <c r="D181" s="28" t="s">
        <v>238</v>
      </c>
      <c r="E181" s="28" t="s">
        <v>497</v>
      </c>
      <c r="F181" s="32">
        <v>3261</v>
      </c>
      <c r="G181" s="46" t="s">
        <v>491</v>
      </c>
      <c r="H181" s="46"/>
      <c r="I181" s="27" t="s">
        <v>241</v>
      </c>
      <c r="J181" s="27" t="s">
        <v>7</v>
      </c>
    </row>
    <row r="182" spans="1:10" ht="32.4" x14ac:dyDescent="0.3">
      <c r="A182" s="2" t="s">
        <v>44</v>
      </c>
      <c r="B182" s="26" t="s">
        <v>242</v>
      </c>
      <c r="C182" s="26" t="s">
        <v>498</v>
      </c>
      <c r="D182" s="28" t="s">
        <v>238</v>
      </c>
      <c r="E182" s="28" t="s">
        <v>499</v>
      </c>
      <c r="F182" s="32">
        <v>3261</v>
      </c>
      <c r="G182" s="46" t="s">
        <v>491</v>
      </c>
      <c r="H182" s="46"/>
      <c r="I182" s="27" t="s">
        <v>241</v>
      </c>
      <c r="J182" s="27" t="s">
        <v>7</v>
      </c>
    </row>
    <row r="183" spans="1:10" ht="32.4" x14ac:dyDescent="0.3">
      <c r="A183" s="2" t="s">
        <v>44</v>
      </c>
      <c r="B183" s="26" t="s">
        <v>242</v>
      </c>
      <c r="C183" s="26" t="s">
        <v>500</v>
      </c>
      <c r="D183" s="28" t="s">
        <v>238</v>
      </c>
      <c r="E183" s="28" t="s">
        <v>501</v>
      </c>
      <c r="F183" s="32">
        <v>1201</v>
      </c>
      <c r="G183" s="46" t="s">
        <v>502</v>
      </c>
      <c r="H183" s="46"/>
      <c r="I183" s="27" t="s">
        <v>94</v>
      </c>
      <c r="J183" s="27" t="s">
        <v>7</v>
      </c>
    </row>
    <row r="184" spans="1:10" ht="48.6" x14ac:dyDescent="0.3">
      <c r="A184" s="2" t="s">
        <v>44</v>
      </c>
      <c r="B184" s="26" t="s">
        <v>242</v>
      </c>
      <c r="C184" s="26" t="s">
        <v>500</v>
      </c>
      <c r="D184" s="28" t="s">
        <v>47</v>
      </c>
      <c r="E184" s="28" t="s">
        <v>503</v>
      </c>
      <c r="F184" s="32">
        <v>4084</v>
      </c>
      <c r="G184" s="46" t="s">
        <v>504</v>
      </c>
      <c r="H184" s="46"/>
      <c r="I184" s="27" t="s">
        <v>287</v>
      </c>
      <c r="J184" s="27" t="s">
        <v>7</v>
      </c>
    </row>
    <row r="185" spans="1:10" ht="48.6" x14ac:dyDescent="0.3">
      <c r="A185" s="2" t="s">
        <v>44</v>
      </c>
      <c r="B185" s="26" t="s">
        <v>242</v>
      </c>
      <c r="C185" s="26" t="s">
        <v>500</v>
      </c>
      <c r="D185" s="28" t="s">
        <v>47</v>
      </c>
      <c r="E185" s="28" t="s">
        <v>505</v>
      </c>
      <c r="F185" s="32">
        <v>4084</v>
      </c>
      <c r="G185" s="46" t="s">
        <v>506</v>
      </c>
      <c r="H185" s="46"/>
      <c r="I185" s="27" t="s">
        <v>287</v>
      </c>
      <c r="J185" s="27" t="s">
        <v>7</v>
      </c>
    </row>
    <row r="186" spans="1:10" ht="48.6" x14ac:dyDescent="0.3">
      <c r="A186" s="2" t="s">
        <v>44</v>
      </c>
      <c r="B186" s="26" t="s">
        <v>242</v>
      </c>
      <c r="C186" s="26" t="s">
        <v>500</v>
      </c>
      <c r="D186" s="28" t="s">
        <v>47</v>
      </c>
      <c r="E186" s="28" t="s">
        <v>507</v>
      </c>
      <c r="F186" s="32">
        <v>2042</v>
      </c>
      <c r="G186" s="46" t="s">
        <v>508</v>
      </c>
      <c r="H186" s="46"/>
      <c r="I186" s="27" t="s">
        <v>94</v>
      </c>
      <c r="J186" s="27" t="s">
        <v>7</v>
      </c>
    </row>
    <row r="187" spans="1:10" ht="48.6" x14ac:dyDescent="0.3">
      <c r="A187" s="2" t="s">
        <v>44</v>
      </c>
      <c r="B187" s="26" t="s">
        <v>242</v>
      </c>
      <c r="C187" s="26" t="s">
        <v>500</v>
      </c>
      <c r="D187" s="28" t="s">
        <v>47</v>
      </c>
      <c r="E187" s="28" t="s">
        <v>509</v>
      </c>
      <c r="F187" s="32">
        <v>4084</v>
      </c>
      <c r="G187" s="46" t="s">
        <v>510</v>
      </c>
      <c r="H187" s="46"/>
      <c r="I187" s="27" t="s">
        <v>94</v>
      </c>
      <c r="J187" s="27" t="s">
        <v>7</v>
      </c>
    </row>
    <row r="188" spans="1:10" ht="48.6" x14ac:dyDescent="0.3">
      <c r="A188" s="2" t="s">
        <v>44</v>
      </c>
      <c r="B188" s="26" t="s">
        <v>242</v>
      </c>
      <c r="C188" s="26" t="s">
        <v>500</v>
      </c>
      <c r="D188" s="28" t="s">
        <v>47</v>
      </c>
      <c r="E188" s="28" t="s">
        <v>511</v>
      </c>
      <c r="F188" s="32">
        <v>4084</v>
      </c>
      <c r="G188" s="46" t="s">
        <v>512</v>
      </c>
      <c r="H188" s="46"/>
      <c r="I188" s="27" t="s">
        <v>136</v>
      </c>
      <c r="J188" s="27" t="s">
        <v>7</v>
      </c>
    </row>
    <row r="189" spans="1:10" ht="48.6" x14ac:dyDescent="0.3">
      <c r="A189" s="2" t="s">
        <v>44</v>
      </c>
      <c r="B189" s="26" t="s">
        <v>242</v>
      </c>
      <c r="C189" s="26" t="s">
        <v>513</v>
      </c>
      <c r="D189" s="28" t="s">
        <v>47</v>
      </c>
      <c r="E189" s="28" t="s">
        <v>514</v>
      </c>
      <c r="F189" s="32">
        <v>2042</v>
      </c>
      <c r="G189" s="46" t="s">
        <v>515</v>
      </c>
      <c r="H189" s="46"/>
      <c r="I189" s="27" t="s">
        <v>86</v>
      </c>
      <c r="J189" s="27" t="s">
        <v>7</v>
      </c>
    </row>
    <row r="190" spans="1:10" ht="48.6" x14ac:dyDescent="0.3">
      <c r="A190" s="2" t="s">
        <v>44</v>
      </c>
      <c r="B190" s="26" t="s">
        <v>242</v>
      </c>
      <c r="C190" s="26" t="s">
        <v>513</v>
      </c>
      <c r="D190" s="28" t="s">
        <v>47</v>
      </c>
      <c r="E190" s="28" t="s">
        <v>516</v>
      </c>
      <c r="F190" s="32">
        <v>2042</v>
      </c>
      <c r="G190" s="46" t="s">
        <v>517</v>
      </c>
      <c r="H190" s="46"/>
      <c r="I190" s="27" t="s">
        <v>86</v>
      </c>
      <c r="J190" s="27" t="s">
        <v>7</v>
      </c>
    </row>
    <row r="191" spans="1:10" ht="48.6" x14ac:dyDescent="0.3">
      <c r="A191" s="2" t="s">
        <v>44</v>
      </c>
      <c r="B191" s="26" t="s">
        <v>242</v>
      </c>
      <c r="C191" s="26" t="s">
        <v>518</v>
      </c>
      <c r="D191" s="28" t="s">
        <v>47</v>
      </c>
      <c r="E191" s="28" t="s">
        <v>519</v>
      </c>
      <c r="F191" s="32">
        <v>2042</v>
      </c>
      <c r="G191" s="46" t="s">
        <v>520</v>
      </c>
      <c r="H191" s="46"/>
      <c r="I191" s="27" t="s">
        <v>199</v>
      </c>
      <c r="J191" s="27" t="s">
        <v>7</v>
      </c>
    </row>
    <row r="192" spans="1:10" x14ac:dyDescent="0.3">
      <c r="B192" s="29" t="s">
        <v>40</v>
      </c>
      <c r="C192" s="46" t="s">
        <v>521</v>
      </c>
      <c r="D192" s="47"/>
      <c r="E192" s="48"/>
      <c r="F192" s="49"/>
      <c r="G192" s="46"/>
      <c r="H192" s="46"/>
      <c r="I192" s="46"/>
      <c r="J192" s="46"/>
    </row>
    <row r="193" spans="1:10" x14ac:dyDescent="0.3">
      <c r="A193" s="25" t="s">
        <v>522</v>
      </c>
      <c r="B193" s="22"/>
      <c r="C193" s="22"/>
      <c r="D193" s="30"/>
      <c r="E193" s="31"/>
      <c r="F193" s="24"/>
      <c r="G193" s="23"/>
      <c r="H193" s="23"/>
      <c r="I193" s="23"/>
      <c r="J193" s="23"/>
    </row>
    <row r="194" spans="1:10" x14ac:dyDescent="0.3">
      <c r="B194" s="29" t="s">
        <v>40</v>
      </c>
      <c r="C194" s="46" t="s">
        <v>523</v>
      </c>
      <c r="D194" s="47"/>
      <c r="E194" s="48"/>
      <c r="F194" s="49"/>
      <c r="G194" s="46"/>
      <c r="H194" s="46"/>
      <c r="I194" s="46"/>
      <c r="J194" s="46"/>
    </row>
  </sheetData>
  <mergeCells count="188">
    <mergeCell ref="G190:H190"/>
    <mergeCell ref="G191:H191"/>
    <mergeCell ref="C192:J192"/>
    <mergeCell ref="C194:J194"/>
    <mergeCell ref="G185:H185"/>
    <mergeCell ref="G186:H186"/>
    <mergeCell ref="G187:H187"/>
    <mergeCell ref="G188:H188"/>
    <mergeCell ref="G189:H189"/>
    <mergeCell ref="G180:H180"/>
    <mergeCell ref="G181:H181"/>
    <mergeCell ref="G182:H182"/>
    <mergeCell ref="G183:H183"/>
    <mergeCell ref="G184:H184"/>
    <mergeCell ref="G175:H175"/>
    <mergeCell ref="G176:H176"/>
    <mergeCell ref="G177:H177"/>
    <mergeCell ref="G178:H178"/>
    <mergeCell ref="G179:H179"/>
    <mergeCell ref="G170:H170"/>
    <mergeCell ref="G171:H171"/>
    <mergeCell ref="G172:H172"/>
    <mergeCell ref="G173:H173"/>
    <mergeCell ref="G174:H174"/>
    <mergeCell ref="G165:H165"/>
    <mergeCell ref="G166:H166"/>
    <mergeCell ref="G167:H167"/>
    <mergeCell ref="G168:H168"/>
    <mergeCell ref="G169:H169"/>
    <mergeCell ref="G160:H160"/>
    <mergeCell ref="G161:H161"/>
    <mergeCell ref="G162:H162"/>
    <mergeCell ref="G163:H163"/>
    <mergeCell ref="G164:H164"/>
    <mergeCell ref="G155:H155"/>
    <mergeCell ref="G156:H156"/>
    <mergeCell ref="G157:H157"/>
    <mergeCell ref="G158:H158"/>
    <mergeCell ref="G159:H159"/>
    <mergeCell ref="G150:H150"/>
    <mergeCell ref="G151:H151"/>
    <mergeCell ref="G152:H152"/>
    <mergeCell ref="G153:H153"/>
    <mergeCell ref="G154:H154"/>
    <mergeCell ref="G145:H145"/>
    <mergeCell ref="G146:H146"/>
    <mergeCell ref="G147:H147"/>
    <mergeCell ref="G148:H148"/>
    <mergeCell ref="G149:H149"/>
    <mergeCell ref="G140:H140"/>
    <mergeCell ref="G141:H141"/>
    <mergeCell ref="G142:H142"/>
    <mergeCell ref="G143:H143"/>
    <mergeCell ref="G144:H144"/>
    <mergeCell ref="G135:H135"/>
    <mergeCell ref="G136:H136"/>
    <mergeCell ref="G137:H137"/>
    <mergeCell ref="G138:H138"/>
    <mergeCell ref="G139:H139"/>
    <mergeCell ref="G130:H130"/>
    <mergeCell ref="G131:H131"/>
    <mergeCell ref="G132:H132"/>
    <mergeCell ref="G133:H133"/>
    <mergeCell ref="G134:H134"/>
    <mergeCell ref="G125:H125"/>
    <mergeCell ref="G126:H126"/>
    <mergeCell ref="G127:H127"/>
    <mergeCell ref="G128:H128"/>
    <mergeCell ref="G129:H129"/>
    <mergeCell ref="G120:H120"/>
    <mergeCell ref="G121:H121"/>
    <mergeCell ref="G122:H122"/>
    <mergeCell ref="G123:H123"/>
    <mergeCell ref="G124:H124"/>
    <mergeCell ref="G115:H115"/>
    <mergeCell ref="G116:H116"/>
    <mergeCell ref="G117:H117"/>
    <mergeCell ref="G118:H118"/>
    <mergeCell ref="G119:H119"/>
    <mergeCell ref="G110:H110"/>
    <mergeCell ref="G111:H111"/>
    <mergeCell ref="G112:H112"/>
    <mergeCell ref="G113:H113"/>
    <mergeCell ref="G114:H114"/>
    <mergeCell ref="G105:H105"/>
    <mergeCell ref="G106:H106"/>
    <mergeCell ref="G107:H107"/>
    <mergeCell ref="G108:H108"/>
    <mergeCell ref="G109:H109"/>
    <mergeCell ref="G100:H100"/>
    <mergeCell ref="G101:H101"/>
    <mergeCell ref="G102:H102"/>
    <mergeCell ref="G103:H103"/>
    <mergeCell ref="G104:H104"/>
    <mergeCell ref="G95:H95"/>
    <mergeCell ref="G96:H96"/>
    <mergeCell ref="G97:H97"/>
    <mergeCell ref="G98:H98"/>
    <mergeCell ref="G99:H99"/>
    <mergeCell ref="G90:H90"/>
    <mergeCell ref="G91:H91"/>
    <mergeCell ref="G92:H92"/>
    <mergeCell ref="G93:H93"/>
    <mergeCell ref="G94:H94"/>
    <mergeCell ref="G85:H85"/>
    <mergeCell ref="G86:H86"/>
    <mergeCell ref="G87:H87"/>
    <mergeCell ref="G88:H88"/>
    <mergeCell ref="G89:H89"/>
    <mergeCell ref="G80:H80"/>
    <mergeCell ref="G81:H81"/>
    <mergeCell ref="G82:H82"/>
    <mergeCell ref="G83:H83"/>
    <mergeCell ref="G84:H84"/>
    <mergeCell ref="G75:H75"/>
    <mergeCell ref="G76:H76"/>
    <mergeCell ref="G77:H77"/>
    <mergeCell ref="G78:H78"/>
    <mergeCell ref="G79:H79"/>
    <mergeCell ref="G70:H70"/>
    <mergeCell ref="G71:H71"/>
    <mergeCell ref="G72:H72"/>
    <mergeCell ref="G73:H73"/>
    <mergeCell ref="G74:H74"/>
    <mergeCell ref="G65:H65"/>
    <mergeCell ref="G66:H66"/>
    <mergeCell ref="G67:H67"/>
    <mergeCell ref="G68:H68"/>
    <mergeCell ref="G69:H69"/>
    <mergeCell ref="G60:H60"/>
    <mergeCell ref="G61:H61"/>
    <mergeCell ref="G62:H62"/>
    <mergeCell ref="G63:H63"/>
    <mergeCell ref="G64:H64"/>
    <mergeCell ref="G55:H55"/>
    <mergeCell ref="G56:H56"/>
    <mergeCell ref="G57:H57"/>
    <mergeCell ref="G58:H58"/>
    <mergeCell ref="G59:H59"/>
    <mergeCell ref="G50:H50"/>
    <mergeCell ref="G51:H51"/>
    <mergeCell ref="G52:H52"/>
    <mergeCell ref="G53:H53"/>
    <mergeCell ref="G54:H54"/>
    <mergeCell ref="G45:H45"/>
    <mergeCell ref="G46:H46"/>
    <mergeCell ref="G47:H47"/>
    <mergeCell ref="G48:H48"/>
    <mergeCell ref="G49:H49"/>
    <mergeCell ref="G40:H40"/>
    <mergeCell ref="G41:H41"/>
    <mergeCell ref="G42:H42"/>
    <mergeCell ref="G43:H43"/>
    <mergeCell ref="G44:H44"/>
    <mergeCell ref="G35:H35"/>
    <mergeCell ref="G36:H36"/>
    <mergeCell ref="G37:H37"/>
    <mergeCell ref="G38:H38"/>
    <mergeCell ref="G39:H39"/>
    <mergeCell ref="G30:H30"/>
    <mergeCell ref="G31:H31"/>
    <mergeCell ref="G32:H32"/>
    <mergeCell ref="G33:H33"/>
    <mergeCell ref="G34:H34"/>
    <mergeCell ref="G25:H25"/>
    <mergeCell ref="G26:H26"/>
    <mergeCell ref="G27:H27"/>
    <mergeCell ref="G28:H28"/>
    <mergeCell ref="G29:H29"/>
    <mergeCell ref="C18:J18"/>
    <mergeCell ref="C20:J20"/>
    <mergeCell ref="G22:H22"/>
    <mergeCell ref="G23:H23"/>
    <mergeCell ref="G24:H24"/>
    <mergeCell ref="A7:A8"/>
    <mergeCell ref="B9:E9"/>
    <mergeCell ref="A2:J2"/>
    <mergeCell ref="A3:J3"/>
    <mergeCell ref="G5:J5"/>
    <mergeCell ref="G6:J6"/>
    <mergeCell ref="B6:E6"/>
    <mergeCell ref="B5:E5"/>
    <mergeCell ref="B7:J8"/>
    <mergeCell ref="G9:J9"/>
    <mergeCell ref="G16:H16"/>
    <mergeCell ref="I10:J10"/>
    <mergeCell ref="I11:J11"/>
    <mergeCell ref="I12:J12"/>
  </mergeCells>
  <phoneticPr fontId="1" type="noConversion"/>
  <pageMargins left="0.70866141732283472" right="0.70866141732283472" top="0.74803149606299213" bottom="0.74803149606299213" header="0.31496062992125984" footer="0.31496062992125984"/>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8FC49-91D0-4F87-A0FD-3585AAB182B1}">
  <dimension ref="A1:M171"/>
  <sheetViews>
    <sheetView tabSelected="1" topLeftCell="C21" workbookViewId="0">
      <selection activeCell="L31" sqref="L31"/>
    </sheetView>
  </sheetViews>
  <sheetFormatPr defaultRowHeight="13.8" x14ac:dyDescent="0.3"/>
  <cols>
    <col min="1" max="3" width="8.88671875" style="53"/>
    <col min="4" max="4" width="25.88671875" style="53" customWidth="1"/>
    <col min="5" max="5" width="15.88671875" style="53" customWidth="1"/>
    <col min="6" max="6" width="8.88671875" style="53"/>
    <col min="7" max="7" width="77.21875" style="53" customWidth="1"/>
    <col min="8" max="8" width="11.5546875" style="53" customWidth="1"/>
    <col min="9" max="10" width="8.88671875" style="53"/>
    <col min="11" max="11" width="10.77734375" style="53" bestFit="1" customWidth="1"/>
    <col min="12" max="12" width="13.33203125" style="53" bestFit="1" customWidth="1"/>
    <col min="13" max="16384" width="8.88671875" style="53"/>
  </cols>
  <sheetData>
    <row r="1" spans="1:13" ht="16.2" x14ac:dyDescent="0.3">
      <c r="A1" s="50" t="s">
        <v>16</v>
      </c>
      <c r="B1" s="50" t="s">
        <v>31</v>
      </c>
      <c r="C1" s="50" t="s">
        <v>32</v>
      </c>
      <c r="D1" s="51" t="s">
        <v>33</v>
      </c>
      <c r="E1" s="51" t="s">
        <v>34</v>
      </c>
      <c r="F1" s="52" t="s">
        <v>35</v>
      </c>
      <c r="G1" s="52" t="s">
        <v>36</v>
      </c>
      <c r="H1" s="52" t="s">
        <v>37</v>
      </c>
      <c r="I1" s="52" t="s">
        <v>524</v>
      </c>
      <c r="K1" s="58" t="s">
        <v>575</v>
      </c>
      <c r="L1" t="s">
        <v>577</v>
      </c>
      <c r="M1"/>
    </row>
    <row r="2" spans="1:13" ht="27.6" x14ac:dyDescent="0.3">
      <c r="A2" s="54" t="s">
        <v>44</v>
      </c>
      <c r="B2" s="54" t="s">
        <v>45</v>
      </c>
      <c r="C2" s="54" t="s">
        <v>46</v>
      </c>
      <c r="D2" s="55" t="s">
        <v>47</v>
      </c>
      <c r="E2" s="55" t="s">
        <v>48</v>
      </c>
      <c r="F2" s="56">
        <v>67392</v>
      </c>
      <c r="G2" s="57" t="s">
        <v>49</v>
      </c>
      <c r="H2" s="57" t="s">
        <v>50</v>
      </c>
      <c r="I2" s="57" t="s">
        <v>526</v>
      </c>
      <c r="K2" s="59" t="s">
        <v>525</v>
      </c>
      <c r="L2" s="1">
        <v>450303</v>
      </c>
      <c r="M2"/>
    </row>
    <row r="3" spans="1:13" ht="27.6" x14ac:dyDescent="0.3">
      <c r="A3" s="54" t="s">
        <v>44</v>
      </c>
      <c r="B3" s="54" t="s">
        <v>45</v>
      </c>
      <c r="C3" s="54" t="s">
        <v>51</v>
      </c>
      <c r="D3" s="55" t="s">
        <v>47</v>
      </c>
      <c r="E3" s="55" t="s">
        <v>52</v>
      </c>
      <c r="F3" s="56">
        <v>30633</v>
      </c>
      <c r="G3" s="57" t="s">
        <v>53</v>
      </c>
      <c r="H3" s="57" t="s">
        <v>50</v>
      </c>
      <c r="I3" s="57" t="s">
        <v>526</v>
      </c>
      <c r="K3" s="59" t="s">
        <v>158</v>
      </c>
      <c r="L3" s="1">
        <v>12058</v>
      </c>
      <c r="M3"/>
    </row>
    <row r="4" spans="1:13" ht="27.6" x14ac:dyDescent="0.3">
      <c r="A4" s="54" t="s">
        <v>44</v>
      </c>
      <c r="B4" s="54" t="s">
        <v>45</v>
      </c>
      <c r="C4" s="54" t="s">
        <v>54</v>
      </c>
      <c r="D4" s="55" t="s">
        <v>47</v>
      </c>
      <c r="E4" s="55" t="s">
        <v>55</v>
      </c>
      <c r="F4" s="56">
        <v>33696</v>
      </c>
      <c r="G4" s="57" t="s">
        <v>56</v>
      </c>
      <c r="H4" s="57" t="s">
        <v>50</v>
      </c>
      <c r="I4" s="57" t="s">
        <v>526</v>
      </c>
      <c r="K4" s="59" t="s">
        <v>535</v>
      </c>
      <c r="L4" s="1">
        <v>5000</v>
      </c>
      <c r="M4"/>
    </row>
    <row r="5" spans="1:13" ht="27.6" x14ac:dyDescent="0.3">
      <c r="A5" s="54" t="s">
        <v>44</v>
      </c>
      <c r="B5" s="54" t="s">
        <v>45</v>
      </c>
      <c r="C5" s="54" t="s">
        <v>57</v>
      </c>
      <c r="D5" s="55" t="s">
        <v>47</v>
      </c>
      <c r="E5" s="55" t="s">
        <v>58</v>
      </c>
      <c r="F5" s="56">
        <v>52076</v>
      </c>
      <c r="G5" s="57" t="s">
        <v>59</v>
      </c>
      <c r="H5" s="57" t="s">
        <v>50</v>
      </c>
      <c r="I5" s="57" t="s">
        <v>526</v>
      </c>
      <c r="K5" s="59" t="s">
        <v>527</v>
      </c>
      <c r="L5" s="1">
        <v>42658</v>
      </c>
      <c r="M5"/>
    </row>
    <row r="6" spans="1:13" ht="27.6" x14ac:dyDescent="0.3">
      <c r="A6" s="54" t="s">
        <v>44</v>
      </c>
      <c r="B6" s="54" t="s">
        <v>45</v>
      </c>
      <c r="C6" s="54" t="s">
        <v>60</v>
      </c>
      <c r="D6" s="55" t="s">
        <v>47</v>
      </c>
      <c r="E6" s="55" t="s">
        <v>61</v>
      </c>
      <c r="F6" s="56">
        <v>49013</v>
      </c>
      <c r="G6" s="57" t="s">
        <v>62</v>
      </c>
      <c r="H6" s="57" t="s">
        <v>50</v>
      </c>
      <c r="I6" s="57" t="s">
        <v>526</v>
      </c>
      <c r="K6" s="59" t="s">
        <v>287</v>
      </c>
      <c r="L6" s="1">
        <v>76687</v>
      </c>
      <c r="M6"/>
    </row>
    <row r="7" spans="1:13" ht="27.6" x14ac:dyDescent="0.3">
      <c r="A7" s="54" t="s">
        <v>44</v>
      </c>
      <c r="B7" s="54" t="s">
        <v>45</v>
      </c>
      <c r="C7" s="54" t="s">
        <v>63</v>
      </c>
      <c r="D7" s="55" t="s">
        <v>47</v>
      </c>
      <c r="E7" s="55" t="s">
        <v>64</v>
      </c>
      <c r="F7" s="56">
        <v>45949</v>
      </c>
      <c r="G7" s="57" t="s">
        <v>65</v>
      </c>
      <c r="H7" s="57" t="s">
        <v>50</v>
      </c>
      <c r="I7" s="57" t="s">
        <v>526</v>
      </c>
      <c r="K7" s="59" t="s">
        <v>547</v>
      </c>
      <c r="L7" s="1">
        <v>13002</v>
      </c>
      <c r="M7"/>
    </row>
    <row r="8" spans="1:13" ht="27.6" x14ac:dyDescent="0.3">
      <c r="A8" s="54" t="s">
        <v>44</v>
      </c>
      <c r="B8" s="54" t="s">
        <v>45</v>
      </c>
      <c r="C8" s="54" t="s">
        <v>66</v>
      </c>
      <c r="D8" s="55" t="s">
        <v>47</v>
      </c>
      <c r="E8" s="55" t="s">
        <v>67</v>
      </c>
      <c r="F8" s="56">
        <v>64329</v>
      </c>
      <c r="G8" s="57" t="s">
        <v>68</v>
      </c>
      <c r="H8" s="57" t="s">
        <v>50</v>
      </c>
      <c r="I8" s="57" t="s">
        <v>526</v>
      </c>
      <c r="K8" s="59" t="s">
        <v>551</v>
      </c>
      <c r="L8" s="1">
        <v>54977</v>
      </c>
      <c r="M8"/>
    </row>
    <row r="9" spans="1:13" ht="27.6" x14ac:dyDescent="0.3">
      <c r="A9" s="54" t="s">
        <v>44</v>
      </c>
      <c r="B9" s="54" t="s">
        <v>45</v>
      </c>
      <c r="C9" s="54" t="s">
        <v>69</v>
      </c>
      <c r="D9" s="55" t="s">
        <v>47</v>
      </c>
      <c r="E9" s="55" t="s">
        <v>70</v>
      </c>
      <c r="F9" s="56">
        <v>52076</v>
      </c>
      <c r="G9" s="57" t="s">
        <v>71</v>
      </c>
      <c r="H9" s="57" t="s">
        <v>50</v>
      </c>
      <c r="I9" s="57" t="s">
        <v>526</v>
      </c>
      <c r="K9" s="59" t="s">
        <v>530</v>
      </c>
      <c r="L9" s="1">
        <v>24743</v>
      </c>
      <c r="M9"/>
    </row>
    <row r="10" spans="1:13" ht="27.6" x14ac:dyDescent="0.3">
      <c r="A10" s="54" t="s">
        <v>44</v>
      </c>
      <c r="B10" s="54" t="s">
        <v>72</v>
      </c>
      <c r="C10" s="54" t="s">
        <v>73</v>
      </c>
      <c r="D10" s="55" t="s">
        <v>47</v>
      </c>
      <c r="E10" s="55" t="s">
        <v>74</v>
      </c>
      <c r="F10" s="56">
        <v>55139</v>
      </c>
      <c r="G10" s="57" t="s">
        <v>75</v>
      </c>
      <c r="H10" s="57" t="s">
        <v>50</v>
      </c>
      <c r="I10" s="57" t="s">
        <v>526</v>
      </c>
      <c r="K10" s="59" t="s">
        <v>553</v>
      </c>
      <c r="L10" s="1">
        <v>14084</v>
      </c>
      <c r="M10"/>
    </row>
    <row r="11" spans="1:13" ht="27.6" x14ac:dyDescent="0.3">
      <c r="A11" s="54" t="s">
        <v>44</v>
      </c>
      <c r="B11" s="54" t="s">
        <v>76</v>
      </c>
      <c r="C11" s="54" t="s">
        <v>77</v>
      </c>
      <c r="D11" s="55" t="s">
        <v>78</v>
      </c>
      <c r="E11" s="55" t="s">
        <v>79</v>
      </c>
      <c r="F11" s="56">
        <v>79680</v>
      </c>
      <c r="G11" s="57" t="s">
        <v>80</v>
      </c>
      <c r="H11" s="57" t="s">
        <v>81</v>
      </c>
      <c r="I11" s="57" t="s">
        <v>570</v>
      </c>
      <c r="K11" s="59" t="s">
        <v>565</v>
      </c>
      <c r="L11" s="1">
        <v>15774</v>
      </c>
      <c r="M11"/>
    </row>
    <row r="12" spans="1:13" ht="27.6" x14ac:dyDescent="0.3">
      <c r="A12" s="54" t="s">
        <v>44</v>
      </c>
      <c r="B12" s="54" t="s">
        <v>76</v>
      </c>
      <c r="C12" s="54" t="s">
        <v>82</v>
      </c>
      <c r="D12" s="55" t="s">
        <v>83</v>
      </c>
      <c r="E12" s="55" t="s">
        <v>84</v>
      </c>
      <c r="F12" s="56">
        <v>29428</v>
      </c>
      <c r="G12" s="57" t="s">
        <v>85</v>
      </c>
      <c r="H12" s="57" t="s">
        <v>86</v>
      </c>
      <c r="I12" s="57" t="s">
        <v>556</v>
      </c>
      <c r="K12" s="59" t="s">
        <v>561</v>
      </c>
      <c r="L12" s="1">
        <v>16290</v>
      </c>
      <c r="M12"/>
    </row>
    <row r="13" spans="1:13" ht="27.6" x14ac:dyDescent="0.3">
      <c r="A13" s="54" t="s">
        <v>44</v>
      </c>
      <c r="B13" s="54" t="s">
        <v>76</v>
      </c>
      <c r="C13" s="54" t="s">
        <v>87</v>
      </c>
      <c r="D13" s="55" t="s">
        <v>83</v>
      </c>
      <c r="E13" s="55" t="s">
        <v>88</v>
      </c>
      <c r="F13" s="56">
        <v>15815</v>
      </c>
      <c r="G13" s="57" t="s">
        <v>89</v>
      </c>
      <c r="H13" s="57" t="s">
        <v>86</v>
      </c>
      <c r="I13" s="57" t="s">
        <v>556</v>
      </c>
      <c r="K13" s="59" t="s">
        <v>549</v>
      </c>
      <c r="L13" s="1">
        <v>31970</v>
      </c>
      <c r="M13"/>
    </row>
    <row r="14" spans="1:13" ht="27.6" x14ac:dyDescent="0.3">
      <c r="A14" s="54" t="s">
        <v>44</v>
      </c>
      <c r="B14" s="54" t="s">
        <v>76</v>
      </c>
      <c r="C14" s="54" t="s">
        <v>90</v>
      </c>
      <c r="D14" s="55" t="s">
        <v>91</v>
      </c>
      <c r="E14" s="55" t="s">
        <v>92</v>
      </c>
      <c r="F14" s="56">
        <v>15750</v>
      </c>
      <c r="G14" s="57" t="s">
        <v>93</v>
      </c>
      <c r="H14" s="57" t="s">
        <v>94</v>
      </c>
      <c r="I14" s="57" t="s">
        <v>552</v>
      </c>
      <c r="K14" s="59" t="s">
        <v>571</v>
      </c>
      <c r="L14" s="1">
        <v>6749</v>
      </c>
      <c r="M14"/>
    </row>
    <row r="15" spans="1:13" ht="27.6" x14ac:dyDescent="0.3">
      <c r="A15" s="54" t="s">
        <v>44</v>
      </c>
      <c r="B15" s="54" t="s">
        <v>76</v>
      </c>
      <c r="C15" s="54" t="s">
        <v>95</v>
      </c>
      <c r="D15" s="55" t="s">
        <v>96</v>
      </c>
      <c r="E15" s="55" t="s">
        <v>97</v>
      </c>
      <c r="F15" s="56">
        <v>22260</v>
      </c>
      <c r="G15" s="57" t="s">
        <v>98</v>
      </c>
      <c r="H15" s="57" t="s">
        <v>99</v>
      </c>
      <c r="I15" s="57" t="s">
        <v>546</v>
      </c>
      <c r="K15" s="59" t="s">
        <v>555</v>
      </c>
      <c r="L15" s="1">
        <v>78123</v>
      </c>
      <c r="M15"/>
    </row>
    <row r="16" spans="1:13" ht="27.6" x14ac:dyDescent="0.3">
      <c r="A16" s="54" t="s">
        <v>44</v>
      </c>
      <c r="B16" s="54" t="s">
        <v>100</v>
      </c>
      <c r="C16" s="54" t="s">
        <v>101</v>
      </c>
      <c r="D16" s="55" t="s">
        <v>102</v>
      </c>
      <c r="E16" s="55" t="s">
        <v>103</v>
      </c>
      <c r="F16" s="56">
        <v>4280</v>
      </c>
      <c r="G16" s="57" t="s">
        <v>104</v>
      </c>
      <c r="H16" s="57" t="s">
        <v>105</v>
      </c>
      <c r="I16" s="57" t="s">
        <v>574</v>
      </c>
      <c r="K16" s="59" t="s">
        <v>573</v>
      </c>
      <c r="L16" s="1">
        <v>52879</v>
      </c>
      <c r="M16"/>
    </row>
    <row r="17" spans="1:13" ht="27.6" x14ac:dyDescent="0.3">
      <c r="A17" s="54" t="s">
        <v>44</v>
      </c>
      <c r="B17" s="54" t="s">
        <v>100</v>
      </c>
      <c r="C17" s="54" t="s">
        <v>101</v>
      </c>
      <c r="D17" s="55" t="s">
        <v>102</v>
      </c>
      <c r="E17" s="55" t="s">
        <v>106</v>
      </c>
      <c r="F17" s="56">
        <v>360</v>
      </c>
      <c r="G17" s="57" t="s">
        <v>107</v>
      </c>
      <c r="H17" s="57" t="s">
        <v>105</v>
      </c>
      <c r="I17" s="57" t="s">
        <v>574</v>
      </c>
      <c r="K17" s="59" t="s">
        <v>185</v>
      </c>
      <c r="L17" s="1">
        <v>29258</v>
      </c>
      <c r="M17"/>
    </row>
    <row r="18" spans="1:13" ht="27.6" x14ac:dyDescent="0.3">
      <c r="A18" s="54" t="s">
        <v>44</v>
      </c>
      <c r="B18" s="54" t="s">
        <v>100</v>
      </c>
      <c r="C18" s="54" t="s">
        <v>108</v>
      </c>
      <c r="D18" s="55" t="s">
        <v>47</v>
      </c>
      <c r="E18" s="55" t="s">
        <v>109</v>
      </c>
      <c r="F18" s="56">
        <v>20423</v>
      </c>
      <c r="G18" s="57" t="s">
        <v>110</v>
      </c>
      <c r="H18" s="57" t="s">
        <v>105</v>
      </c>
      <c r="I18" s="57" t="s">
        <v>574</v>
      </c>
      <c r="K18" s="59" t="s">
        <v>559</v>
      </c>
      <c r="L18" s="1">
        <v>14295</v>
      </c>
      <c r="M18"/>
    </row>
    <row r="19" spans="1:13" ht="16.2" x14ac:dyDescent="0.3">
      <c r="A19" s="54" t="s">
        <v>44</v>
      </c>
      <c r="B19" s="54" t="s">
        <v>111</v>
      </c>
      <c r="C19" s="54" t="s">
        <v>112</v>
      </c>
      <c r="D19" s="55" t="s">
        <v>113</v>
      </c>
      <c r="E19" s="55" t="s">
        <v>114</v>
      </c>
      <c r="F19" s="56">
        <v>4500</v>
      </c>
      <c r="G19" s="57" t="s">
        <v>115</v>
      </c>
      <c r="H19" s="57" t="s">
        <v>86</v>
      </c>
      <c r="I19" s="57" t="s">
        <v>556</v>
      </c>
      <c r="K19" s="59" t="s">
        <v>569</v>
      </c>
      <c r="L19" s="1">
        <v>97892</v>
      </c>
    </row>
    <row r="20" spans="1:13" ht="16.2" x14ac:dyDescent="0.3">
      <c r="A20" s="54" t="s">
        <v>44</v>
      </c>
      <c r="B20" s="54" t="s">
        <v>111</v>
      </c>
      <c r="C20" s="54" t="s">
        <v>112</v>
      </c>
      <c r="D20" s="55" t="s">
        <v>113</v>
      </c>
      <c r="E20" s="55" t="s">
        <v>116</v>
      </c>
      <c r="F20" s="56">
        <v>7600</v>
      </c>
      <c r="G20" s="57" t="s">
        <v>117</v>
      </c>
      <c r="H20" s="57" t="s">
        <v>86</v>
      </c>
      <c r="I20" s="57" t="s">
        <v>556</v>
      </c>
      <c r="K20" s="59" t="s">
        <v>557</v>
      </c>
      <c r="L20" s="1">
        <v>16706</v>
      </c>
    </row>
    <row r="21" spans="1:13" ht="27.6" x14ac:dyDescent="0.3">
      <c r="A21" s="54" t="s">
        <v>44</v>
      </c>
      <c r="B21" s="54" t="s">
        <v>111</v>
      </c>
      <c r="C21" s="54" t="s">
        <v>112</v>
      </c>
      <c r="D21" s="55" t="s">
        <v>83</v>
      </c>
      <c r="E21" s="55" t="s">
        <v>118</v>
      </c>
      <c r="F21" s="56">
        <v>1686</v>
      </c>
      <c r="G21" s="57" t="s">
        <v>119</v>
      </c>
      <c r="H21" s="57" t="s">
        <v>120</v>
      </c>
      <c r="I21" s="57" t="s">
        <v>558</v>
      </c>
      <c r="K21" s="59" t="s">
        <v>532</v>
      </c>
      <c r="L21" s="1">
        <v>40296</v>
      </c>
    </row>
    <row r="22" spans="1:13" ht="16.2" x14ac:dyDescent="0.3">
      <c r="A22" s="54" t="s">
        <v>44</v>
      </c>
      <c r="B22" s="54" t="s">
        <v>121</v>
      </c>
      <c r="C22" s="54" t="s">
        <v>122</v>
      </c>
      <c r="D22" s="55" t="s">
        <v>123</v>
      </c>
      <c r="E22" s="55" t="s">
        <v>124</v>
      </c>
      <c r="F22" s="56">
        <v>1094</v>
      </c>
      <c r="G22" s="57" t="s">
        <v>125</v>
      </c>
      <c r="H22" s="57" t="s">
        <v>126</v>
      </c>
      <c r="I22" s="57" t="s">
        <v>572</v>
      </c>
      <c r="K22" s="59" t="s">
        <v>543</v>
      </c>
      <c r="L22" s="1">
        <v>30123</v>
      </c>
    </row>
    <row r="23" spans="1:13" ht="16.2" x14ac:dyDescent="0.3">
      <c r="A23" s="54" t="s">
        <v>44</v>
      </c>
      <c r="B23" s="54" t="s">
        <v>127</v>
      </c>
      <c r="C23" s="54" t="s">
        <v>128</v>
      </c>
      <c r="D23" s="55" t="s">
        <v>96</v>
      </c>
      <c r="E23" s="55" t="s">
        <v>129</v>
      </c>
      <c r="F23" s="56">
        <v>4791</v>
      </c>
      <c r="G23" s="57" t="s">
        <v>130</v>
      </c>
      <c r="H23" s="57" t="s">
        <v>131</v>
      </c>
      <c r="I23" s="57" t="s">
        <v>531</v>
      </c>
      <c r="K23" s="59" t="s">
        <v>545</v>
      </c>
      <c r="L23" s="1">
        <v>29407</v>
      </c>
    </row>
    <row r="24" spans="1:13" ht="16.2" x14ac:dyDescent="0.3">
      <c r="A24" s="54" t="s">
        <v>44</v>
      </c>
      <c r="B24" s="54" t="s">
        <v>127</v>
      </c>
      <c r="C24" s="54" t="s">
        <v>128</v>
      </c>
      <c r="D24" s="55" t="s">
        <v>96</v>
      </c>
      <c r="E24" s="55" t="s">
        <v>132</v>
      </c>
      <c r="F24" s="56">
        <v>3190</v>
      </c>
      <c r="G24" s="57" t="s">
        <v>130</v>
      </c>
      <c r="H24" s="57" t="s">
        <v>131</v>
      </c>
      <c r="I24" s="57" t="s">
        <v>531</v>
      </c>
      <c r="K24" s="59" t="s">
        <v>567</v>
      </c>
      <c r="L24" s="1">
        <v>75427</v>
      </c>
    </row>
    <row r="25" spans="1:13" ht="27.6" x14ac:dyDescent="0.3">
      <c r="A25" s="54" t="s">
        <v>44</v>
      </c>
      <c r="B25" s="54" t="s">
        <v>127</v>
      </c>
      <c r="C25" s="54" t="s">
        <v>133</v>
      </c>
      <c r="D25" s="55" t="s">
        <v>96</v>
      </c>
      <c r="E25" s="55" t="s">
        <v>134</v>
      </c>
      <c r="F25" s="56">
        <v>6000</v>
      </c>
      <c r="G25" s="57" t="s">
        <v>135</v>
      </c>
      <c r="H25" s="57" t="s">
        <v>136</v>
      </c>
      <c r="I25" s="57" t="s">
        <v>554</v>
      </c>
      <c r="K25" s="59" t="s">
        <v>563</v>
      </c>
      <c r="L25" s="1">
        <v>41796</v>
      </c>
    </row>
    <row r="26" spans="1:13" ht="27.6" x14ac:dyDescent="0.3">
      <c r="A26" s="54" t="s">
        <v>44</v>
      </c>
      <c r="B26" s="54" t="s">
        <v>127</v>
      </c>
      <c r="C26" s="54" t="s">
        <v>137</v>
      </c>
      <c r="D26" s="55" t="s">
        <v>138</v>
      </c>
      <c r="E26" s="55" t="s">
        <v>139</v>
      </c>
      <c r="F26" s="56">
        <v>2000</v>
      </c>
      <c r="G26" s="57" t="s">
        <v>140</v>
      </c>
      <c r="H26" s="57" t="s">
        <v>141</v>
      </c>
      <c r="I26" s="57" t="s">
        <v>560</v>
      </c>
      <c r="K26" s="59" t="s">
        <v>539</v>
      </c>
      <c r="L26" s="1">
        <v>11876</v>
      </c>
    </row>
    <row r="27" spans="1:13" ht="27.6" x14ac:dyDescent="0.3">
      <c r="A27" s="54" t="s">
        <v>44</v>
      </c>
      <c r="B27" s="54" t="s">
        <v>127</v>
      </c>
      <c r="C27" s="54" t="s">
        <v>137</v>
      </c>
      <c r="D27" s="55" t="s">
        <v>142</v>
      </c>
      <c r="E27" s="55" t="s">
        <v>143</v>
      </c>
      <c r="F27" s="56">
        <v>2500</v>
      </c>
      <c r="G27" s="57" t="s">
        <v>144</v>
      </c>
      <c r="H27" s="57" t="s">
        <v>94</v>
      </c>
      <c r="I27" s="57" t="s">
        <v>552</v>
      </c>
      <c r="K27" s="59" t="s">
        <v>537</v>
      </c>
      <c r="L27" s="1">
        <v>50709</v>
      </c>
    </row>
    <row r="28" spans="1:13" ht="27.6" x14ac:dyDescent="0.3">
      <c r="A28" s="54" t="s">
        <v>44</v>
      </c>
      <c r="B28" s="54" t="s">
        <v>127</v>
      </c>
      <c r="C28" s="54" t="s">
        <v>137</v>
      </c>
      <c r="D28" s="55" t="s">
        <v>142</v>
      </c>
      <c r="E28" s="55" t="s">
        <v>145</v>
      </c>
      <c r="F28" s="56">
        <v>2500</v>
      </c>
      <c r="G28" s="57" t="s">
        <v>146</v>
      </c>
      <c r="H28" s="57" t="s">
        <v>94</v>
      </c>
      <c r="I28" s="57" t="s">
        <v>552</v>
      </c>
      <c r="K28" s="59" t="s">
        <v>194</v>
      </c>
      <c r="L28" s="1">
        <v>27852</v>
      </c>
    </row>
    <row r="29" spans="1:13" ht="16.2" x14ac:dyDescent="0.3">
      <c r="A29" s="54" t="s">
        <v>44</v>
      </c>
      <c r="B29" s="54" t="s">
        <v>147</v>
      </c>
      <c r="C29" s="54" t="s">
        <v>148</v>
      </c>
      <c r="D29" s="55" t="s">
        <v>149</v>
      </c>
      <c r="E29" s="55" t="s">
        <v>150</v>
      </c>
      <c r="F29" s="56">
        <v>2400</v>
      </c>
      <c r="G29" s="57" t="s">
        <v>151</v>
      </c>
      <c r="H29" s="57" t="s">
        <v>86</v>
      </c>
      <c r="I29" s="57" t="s">
        <v>556</v>
      </c>
      <c r="K29" s="59" t="s">
        <v>576</v>
      </c>
      <c r="L29" s="1">
        <v>1360934</v>
      </c>
    </row>
    <row r="30" spans="1:13" ht="27.6" x14ac:dyDescent="0.3">
      <c r="A30" s="54" t="s">
        <v>44</v>
      </c>
      <c r="B30" s="54" t="s">
        <v>147</v>
      </c>
      <c r="C30" s="54" t="s">
        <v>148</v>
      </c>
      <c r="D30" s="55" t="s">
        <v>102</v>
      </c>
      <c r="E30" s="55" t="s">
        <v>152</v>
      </c>
      <c r="F30" s="56">
        <v>600</v>
      </c>
      <c r="G30" s="57" t="s">
        <v>153</v>
      </c>
      <c r="H30" s="57" t="s">
        <v>154</v>
      </c>
      <c r="I30" s="57" t="s">
        <v>540</v>
      </c>
      <c r="L30" s="53">
        <f>GETPIVOTDATA("金額",$K$1)-GETPIVOTDATA("金額",$K$1,"系所","IR")</f>
        <v>910631</v>
      </c>
    </row>
    <row r="31" spans="1:13" ht="27.6" x14ac:dyDescent="0.3">
      <c r="A31" s="54" t="s">
        <v>44</v>
      </c>
      <c r="B31" s="54" t="s">
        <v>147</v>
      </c>
      <c r="C31" s="54" t="s">
        <v>155</v>
      </c>
      <c r="D31" s="55" t="s">
        <v>83</v>
      </c>
      <c r="E31" s="55" t="s">
        <v>156</v>
      </c>
      <c r="F31" s="56">
        <v>2058</v>
      </c>
      <c r="G31" s="57" t="s">
        <v>157</v>
      </c>
      <c r="H31" s="57" t="s">
        <v>158</v>
      </c>
      <c r="I31" s="57" t="s">
        <v>534</v>
      </c>
    </row>
    <row r="32" spans="1:13" ht="27.6" x14ac:dyDescent="0.3">
      <c r="A32" s="54" t="s">
        <v>44</v>
      </c>
      <c r="B32" s="54" t="s">
        <v>147</v>
      </c>
      <c r="C32" s="54" t="s">
        <v>159</v>
      </c>
      <c r="D32" s="55" t="s">
        <v>91</v>
      </c>
      <c r="E32" s="55" t="s">
        <v>160</v>
      </c>
      <c r="F32" s="56">
        <v>11550</v>
      </c>
      <c r="G32" s="57" t="s">
        <v>161</v>
      </c>
      <c r="H32" s="57" t="s">
        <v>162</v>
      </c>
      <c r="I32" s="57" t="s">
        <v>550</v>
      </c>
    </row>
    <row r="33" spans="1:9" ht="41.4" x14ac:dyDescent="0.3">
      <c r="A33" s="54" t="s">
        <v>44</v>
      </c>
      <c r="B33" s="54" t="s">
        <v>163</v>
      </c>
      <c r="C33" s="54" t="s">
        <v>164</v>
      </c>
      <c r="D33" s="55" t="s">
        <v>165</v>
      </c>
      <c r="E33" s="55" t="s">
        <v>166</v>
      </c>
      <c r="F33" s="56">
        <v>2550</v>
      </c>
      <c r="G33" s="57" t="s">
        <v>167</v>
      </c>
      <c r="H33" s="57" t="s">
        <v>168</v>
      </c>
      <c r="I33" s="57" t="s">
        <v>564</v>
      </c>
    </row>
    <row r="34" spans="1:9" ht="41.4" x14ac:dyDescent="0.3">
      <c r="A34" s="54" t="s">
        <v>44</v>
      </c>
      <c r="B34" s="54" t="s">
        <v>163</v>
      </c>
      <c r="C34" s="54" t="s">
        <v>164</v>
      </c>
      <c r="D34" s="55" t="s">
        <v>96</v>
      </c>
      <c r="E34" s="55" t="s">
        <v>166</v>
      </c>
      <c r="F34" s="56">
        <v>1000</v>
      </c>
      <c r="G34" s="57" t="s">
        <v>167</v>
      </c>
      <c r="H34" s="57" t="s">
        <v>168</v>
      </c>
      <c r="I34" s="57" t="s">
        <v>564</v>
      </c>
    </row>
    <row r="35" spans="1:9" x14ac:dyDescent="0.3">
      <c r="A35" s="54" t="s">
        <v>44</v>
      </c>
      <c r="B35" s="54" t="s">
        <v>169</v>
      </c>
      <c r="C35" s="54" t="s">
        <v>170</v>
      </c>
      <c r="D35" s="55" t="s">
        <v>113</v>
      </c>
      <c r="E35" s="55" t="s">
        <v>171</v>
      </c>
      <c r="F35" s="56">
        <v>4500</v>
      </c>
      <c r="G35" s="57" t="s">
        <v>172</v>
      </c>
      <c r="H35" s="57" t="s">
        <v>131</v>
      </c>
      <c r="I35" s="57" t="s">
        <v>531</v>
      </c>
    </row>
    <row r="36" spans="1:9" x14ac:dyDescent="0.3">
      <c r="A36" s="54" t="s">
        <v>44</v>
      </c>
      <c r="B36" s="54" t="s">
        <v>169</v>
      </c>
      <c r="C36" s="54" t="s">
        <v>170</v>
      </c>
      <c r="D36" s="55" t="s">
        <v>173</v>
      </c>
      <c r="E36" s="55" t="s">
        <v>174</v>
      </c>
      <c r="F36" s="56">
        <v>624</v>
      </c>
      <c r="G36" s="57" t="s">
        <v>175</v>
      </c>
      <c r="H36" s="57" t="s">
        <v>131</v>
      </c>
      <c r="I36" s="57" t="s">
        <v>531</v>
      </c>
    </row>
    <row r="37" spans="1:9" ht="27.6" x14ac:dyDescent="0.3">
      <c r="A37" s="54" t="s">
        <v>44</v>
      </c>
      <c r="B37" s="54" t="s">
        <v>169</v>
      </c>
      <c r="C37" s="54" t="s">
        <v>176</v>
      </c>
      <c r="D37" s="55" t="s">
        <v>102</v>
      </c>
      <c r="E37" s="55" t="s">
        <v>177</v>
      </c>
      <c r="F37" s="56">
        <v>2000</v>
      </c>
      <c r="G37" s="57" t="s">
        <v>178</v>
      </c>
      <c r="H37" s="57" t="s">
        <v>105</v>
      </c>
      <c r="I37" s="57" t="s">
        <v>574</v>
      </c>
    </row>
    <row r="38" spans="1:9" ht="27.6" x14ac:dyDescent="0.3">
      <c r="A38" s="54" t="s">
        <v>44</v>
      </c>
      <c r="B38" s="54" t="s">
        <v>169</v>
      </c>
      <c r="C38" s="54" t="s">
        <v>179</v>
      </c>
      <c r="D38" s="55" t="s">
        <v>149</v>
      </c>
      <c r="E38" s="55" t="s">
        <v>180</v>
      </c>
      <c r="F38" s="56">
        <v>1308</v>
      </c>
      <c r="G38" s="57" t="s">
        <v>181</v>
      </c>
      <c r="H38" s="57" t="s">
        <v>105</v>
      </c>
      <c r="I38" s="57" t="s">
        <v>574</v>
      </c>
    </row>
    <row r="39" spans="1:9" ht="27.6" x14ac:dyDescent="0.3">
      <c r="A39" s="54" t="s">
        <v>44</v>
      </c>
      <c r="B39" s="54" t="s">
        <v>169</v>
      </c>
      <c r="C39" s="54" t="s">
        <v>182</v>
      </c>
      <c r="D39" s="55" t="s">
        <v>47</v>
      </c>
      <c r="E39" s="55" t="s">
        <v>183</v>
      </c>
      <c r="F39" s="56">
        <v>6127</v>
      </c>
      <c r="G39" s="57" t="s">
        <v>184</v>
      </c>
      <c r="H39" s="57" t="s">
        <v>185</v>
      </c>
      <c r="I39" s="57" t="s">
        <v>529</v>
      </c>
    </row>
    <row r="40" spans="1:9" ht="27.6" x14ac:dyDescent="0.3">
      <c r="A40" s="54" t="s">
        <v>44</v>
      </c>
      <c r="B40" s="54" t="s">
        <v>169</v>
      </c>
      <c r="C40" s="54" t="s">
        <v>182</v>
      </c>
      <c r="D40" s="55" t="s">
        <v>47</v>
      </c>
      <c r="E40" s="55" t="s">
        <v>186</v>
      </c>
      <c r="F40" s="56">
        <v>6127</v>
      </c>
      <c r="G40" s="57" t="s">
        <v>187</v>
      </c>
      <c r="H40" s="57" t="s">
        <v>185</v>
      </c>
      <c r="I40" s="57" t="s">
        <v>529</v>
      </c>
    </row>
    <row r="41" spans="1:9" ht="27.6" x14ac:dyDescent="0.3">
      <c r="A41" s="54" t="s">
        <v>44</v>
      </c>
      <c r="B41" s="54" t="s">
        <v>169</v>
      </c>
      <c r="C41" s="54" t="s">
        <v>182</v>
      </c>
      <c r="D41" s="55" t="s">
        <v>47</v>
      </c>
      <c r="E41" s="55" t="s">
        <v>188</v>
      </c>
      <c r="F41" s="56">
        <v>6127</v>
      </c>
      <c r="G41" s="57" t="s">
        <v>189</v>
      </c>
      <c r="H41" s="57" t="s">
        <v>185</v>
      </c>
      <c r="I41" s="57" t="s">
        <v>529</v>
      </c>
    </row>
    <row r="42" spans="1:9" ht="27.6" x14ac:dyDescent="0.3">
      <c r="A42" s="54" t="s">
        <v>44</v>
      </c>
      <c r="B42" s="54" t="s">
        <v>169</v>
      </c>
      <c r="C42" s="54" t="s">
        <v>182</v>
      </c>
      <c r="D42" s="55" t="s">
        <v>47</v>
      </c>
      <c r="E42" s="55" t="s">
        <v>190</v>
      </c>
      <c r="F42" s="56">
        <v>4084</v>
      </c>
      <c r="G42" s="57" t="s">
        <v>191</v>
      </c>
      <c r="H42" s="57" t="s">
        <v>131</v>
      </c>
      <c r="I42" s="57" t="s">
        <v>531</v>
      </c>
    </row>
    <row r="43" spans="1:9" ht="27.6" x14ac:dyDescent="0.3">
      <c r="A43" s="54" t="s">
        <v>44</v>
      </c>
      <c r="B43" s="54" t="s">
        <v>169</v>
      </c>
      <c r="C43" s="54" t="s">
        <v>182</v>
      </c>
      <c r="D43" s="55" t="s">
        <v>47</v>
      </c>
      <c r="E43" s="55" t="s">
        <v>192</v>
      </c>
      <c r="F43" s="56">
        <v>4084</v>
      </c>
      <c r="G43" s="57" t="s">
        <v>193</v>
      </c>
      <c r="H43" s="57" t="s">
        <v>194</v>
      </c>
      <c r="I43" s="57" t="s">
        <v>542</v>
      </c>
    </row>
    <row r="44" spans="1:9" ht="27.6" x14ac:dyDescent="0.3">
      <c r="A44" s="54" t="s">
        <v>44</v>
      </c>
      <c r="B44" s="54" t="s">
        <v>169</v>
      </c>
      <c r="C44" s="54" t="s">
        <v>182</v>
      </c>
      <c r="D44" s="55" t="s">
        <v>47</v>
      </c>
      <c r="E44" s="55" t="s">
        <v>195</v>
      </c>
      <c r="F44" s="56">
        <v>6127</v>
      </c>
      <c r="G44" s="57" t="s">
        <v>196</v>
      </c>
      <c r="H44" s="57" t="s">
        <v>86</v>
      </c>
      <c r="I44" s="57" t="s">
        <v>556</v>
      </c>
    </row>
    <row r="45" spans="1:9" ht="55.2" x14ac:dyDescent="0.3">
      <c r="A45" s="54" t="s">
        <v>44</v>
      </c>
      <c r="B45" s="54" t="s">
        <v>169</v>
      </c>
      <c r="C45" s="54" t="s">
        <v>182</v>
      </c>
      <c r="D45" s="55" t="s">
        <v>47</v>
      </c>
      <c r="E45" s="55" t="s">
        <v>197</v>
      </c>
      <c r="F45" s="56">
        <v>2042</v>
      </c>
      <c r="G45" s="57" t="s">
        <v>198</v>
      </c>
      <c r="H45" s="57" t="s">
        <v>199</v>
      </c>
      <c r="I45" s="57" t="s">
        <v>566</v>
      </c>
    </row>
    <row r="46" spans="1:9" ht="27.6" x14ac:dyDescent="0.3">
      <c r="A46" s="54" t="s">
        <v>44</v>
      </c>
      <c r="B46" s="54" t="s">
        <v>200</v>
      </c>
      <c r="C46" s="54" t="s">
        <v>201</v>
      </c>
      <c r="D46" s="55" t="s">
        <v>202</v>
      </c>
      <c r="E46" s="55" t="s">
        <v>203</v>
      </c>
      <c r="F46" s="56">
        <v>420</v>
      </c>
      <c r="G46" s="57" t="s">
        <v>204</v>
      </c>
      <c r="H46" s="57" t="s">
        <v>162</v>
      </c>
      <c r="I46" s="57" t="s">
        <v>550</v>
      </c>
    </row>
    <row r="47" spans="1:9" ht="55.2" x14ac:dyDescent="0.3">
      <c r="A47" s="54" t="s">
        <v>44</v>
      </c>
      <c r="B47" s="54" t="s">
        <v>200</v>
      </c>
      <c r="C47" s="54" t="s">
        <v>201</v>
      </c>
      <c r="D47" s="55" t="s">
        <v>96</v>
      </c>
      <c r="E47" s="55" t="s">
        <v>205</v>
      </c>
      <c r="F47" s="56">
        <v>5000</v>
      </c>
      <c r="G47" s="57" t="s">
        <v>206</v>
      </c>
      <c r="H47" s="57" t="s">
        <v>94</v>
      </c>
      <c r="I47" s="57" t="s">
        <v>552</v>
      </c>
    </row>
    <row r="48" spans="1:9" ht="27.6" x14ac:dyDescent="0.3">
      <c r="A48" s="54" t="s">
        <v>44</v>
      </c>
      <c r="B48" s="54" t="s">
        <v>200</v>
      </c>
      <c r="C48" s="54" t="s">
        <v>201</v>
      </c>
      <c r="D48" s="55" t="s">
        <v>207</v>
      </c>
      <c r="E48" s="55" t="s">
        <v>208</v>
      </c>
      <c r="F48" s="56">
        <v>9734</v>
      </c>
      <c r="G48" s="57" t="s">
        <v>209</v>
      </c>
      <c r="H48" s="57" t="s">
        <v>210</v>
      </c>
      <c r="I48" s="57" t="s">
        <v>544</v>
      </c>
    </row>
    <row r="49" spans="1:9" ht="27.6" x14ac:dyDescent="0.3">
      <c r="A49" s="54" t="s">
        <v>44</v>
      </c>
      <c r="B49" s="54" t="s">
        <v>200</v>
      </c>
      <c r="C49" s="54" t="s">
        <v>201</v>
      </c>
      <c r="D49" s="55" t="s">
        <v>83</v>
      </c>
      <c r="E49" s="55" t="s">
        <v>211</v>
      </c>
      <c r="F49" s="56">
        <v>3550</v>
      </c>
      <c r="G49" s="57" t="s">
        <v>212</v>
      </c>
      <c r="H49" s="57" t="s">
        <v>131</v>
      </c>
      <c r="I49" s="57" t="s">
        <v>531</v>
      </c>
    </row>
    <row r="50" spans="1:9" ht="27.6" x14ac:dyDescent="0.3">
      <c r="A50" s="54" t="s">
        <v>44</v>
      </c>
      <c r="B50" s="54" t="s">
        <v>200</v>
      </c>
      <c r="C50" s="54" t="s">
        <v>213</v>
      </c>
      <c r="D50" s="55" t="s">
        <v>96</v>
      </c>
      <c r="E50" s="55" t="s">
        <v>214</v>
      </c>
      <c r="F50" s="56">
        <v>20000</v>
      </c>
      <c r="G50" s="57" t="s">
        <v>215</v>
      </c>
      <c r="H50" s="57" t="s">
        <v>162</v>
      </c>
      <c r="I50" s="57" t="s">
        <v>550</v>
      </c>
    </row>
    <row r="51" spans="1:9" x14ac:dyDescent="0.3">
      <c r="A51" s="54" t="s">
        <v>44</v>
      </c>
      <c r="B51" s="54" t="s">
        <v>200</v>
      </c>
      <c r="C51" s="54" t="s">
        <v>216</v>
      </c>
      <c r="D51" s="55" t="s">
        <v>113</v>
      </c>
      <c r="E51" s="55" t="s">
        <v>217</v>
      </c>
      <c r="F51" s="56">
        <v>1400</v>
      </c>
      <c r="G51" s="57" t="s">
        <v>218</v>
      </c>
      <c r="H51" s="57" t="s">
        <v>219</v>
      </c>
      <c r="I51" s="57" t="s">
        <v>562</v>
      </c>
    </row>
    <row r="52" spans="1:9" x14ac:dyDescent="0.3">
      <c r="A52" s="54" t="s">
        <v>44</v>
      </c>
      <c r="B52" s="54" t="s">
        <v>200</v>
      </c>
      <c r="C52" s="54" t="s">
        <v>216</v>
      </c>
      <c r="D52" s="55" t="s">
        <v>173</v>
      </c>
      <c r="E52" s="55" t="s">
        <v>220</v>
      </c>
      <c r="F52" s="56">
        <v>624</v>
      </c>
      <c r="G52" s="57" t="s">
        <v>221</v>
      </c>
      <c r="H52" s="57" t="s">
        <v>131</v>
      </c>
      <c r="I52" s="57" t="s">
        <v>531</v>
      </c>
    </row>
    <row r="53" spans="1:9" x14ac:dyDescent="0.3">
      <c r="A53" s="54" t="s">
        <v>44</v>
      </c>
      <c r="B53" s="54" t="s">
        <v>200</v>
      </c>
      <c r="C53" s="54" t="s">
        <v>222</v>
      </c>
      <c r="D53" s="55" t="s">
        <v>123</v>
      </c>
      <c r="E53" s="55" t="s">
        <v>223</v>
      </c>
      <c r="F53" s="56">
        <v>3380</v>
      </c>
      <c r="G53" s="57" t="s">
        <v>224</v>
      </c>
      <c r="H53" s="57" t="s">
        <v>131</v>
      </c>
      <c r="I53" s="57" t="s">
        <v>531</v>
      </c>
    </row>
    <row r="54" spans="1:9" ht="27.6" x14ac:dyDescent="0.3">
      <c r="A54" s="54" t="s">
        <v>44</v>
      </c>
      <c r="B54" s="54" t="s">
        <v>200</v>
      </c>
      <c r="C54" s="54" t="s">
        <v>222</v>
      </c>
      <c r="D54" s="55" t="s">
        <v>123</v>
      </c>
      <c r="E54" s="55" t="s">
        <v>225</v>
      </c>
      <c r="F54" s="56">
        <v>2700</v>
      </c>
      <c r="G54" s="57" t="s">
        <v>226</v>
      </c>
      <c r="H54" s="57" t="s">
        <v>227</v>
      </c>
      <c r="I54" s="57" t="s">
        <v>540</v>
      </c>
    </row>
    <row r="55" spans="1:9" ht="27.6" x14ac:dyDescent="0.3">
      <c r="A55" s="54" t="s">
        <v>44</v>
      </c>
      <c r="B55" s="54" t="s">
        <v>200</v>
      </c>
      <c r="C55" s="54" t="s">
        <v>222</v>
      </c>
      <c r="D55" s="55" t="s">
        <v>142</v>
      </c>
      <c r="E55" s="55" t="s">
        <v>228</v>
      </c>
      <c r="F55" s="56">
        <v>2980</v>
      </c>
      <c r="G55" s="57" t="s">
        <v>229</v>
      </c>
      <c r="H55" s="57" t="s">
        <v>230</v>
      </c>
      <c r="I55" s="57" t="s">
        <v>538</v>
      </c>
    </row>
    <row r="56" spans="1:9" ht="27.6" x14ac:dyDescent="0.3">
      <c r="A56" s="54" t="s">
        <v>44</v>
      </c>
      <c r="B56" s="54" t="s">
        <v>200</v>
      </c>
      <c r="C56" s="54" t="s">
        <v>222</v>
      </c>
      <c r="D56" s="55" t="s">
        <v>142</v>
      </c>
      <c r="E56" s="55" t="s">
        <v>231</v>
      </c>
      <c r="F56" s="56">
        <v>1490</v>
      </c>
      <c r="G56" s="57" t="s">
        <v>232</v>
      </c>
      <c r="H56" s="57" t="s">
        <v>230</v>
      </c>
      <c r="I56" s="57" t="s">
        <v>538</v>
      </c>
    </row>
    <row r="57" spans="1:9" ht="27.6" x14ac:dyDescent="0.3">
      <c r="A57" s="54" t="s">
        <v>44</v>
      </c>
      <c r="B57" s="54" t="s">
        <v>200</v>
      </c>
      <c r="C57" s="54" t="s">
        <v>222</v>
      </c>
      <c r="D57" s="55" t="s">
        <v>142</v>
      </c>
      <c r="E57" s="55" t="s">
        <v>233</v>
      </c>
      <c r="F57" s="56">
        <v>2980</v>
      </c>
      <c r="G57" s="57" t="s">
        <v>234</v>
      </c>
      <c r="H57" s="57" t="s">
        <v>230</v>
      </c>
      <c r="I57" s="57" t="s">
        <v>538</v>
      </c>
    </row>
    <row r="58" spans="1:9" ht="27.6" x14ac:dyDescent="0.3">
      <c r="A58" s="54" t="s">
        <v>44</v>
      </c>
      <c r="B58" s="54" t="s">
        <v>200</v>
      </c>
      <c r="C58" s="54" t="s">
        <v>222</v>
      </c>
      <c r="D58" s="55" t="s">
        <v>142</v>
      </c>
      <c r="E58" s="55" t="s">
        <v>235</v>
      </c>
      <c r="F58" s="56">
        <v>2980</v>
      </c>
      <c r="G58" s="57" t="s">
        <v>236</v>
      </c>
      <c r="H58" s="57" t="s">
        <v>230</v>
      </c>
      <c r="I58" s="57" t="s">
        <v>538</v>
      </c>
    </row>
    <row r="59" spans="1:9" x14ac:dyDescent="0.3">
      <c r="A59" s="54" t="s">
        <v>44</v>
      </c>
      <c r="B59" s="54" t="s">
        <v>200</v>
      </c>
      <c r="C59" s="54" t="s">
        <v>237</v>
      </c>
      <c r="D59" s="55" t="s">
        <v>238</v>
      </c>
      <c r="E59" s="55" t="s">
        <v>239</v>
      </c>
      <c r="F59" s="56">
        <v>2765</v>
      </c>
      <c r="G59" s="57" t="s">
        <v>240</v>
      </c>
      <c r="H59" s="57" t="s">
        <v>241</v>
      </c>
      <c r="I59" s="57" t="s">
        <v>533</v>
      </c>
    </row>
    <row r="60" spans="1:9" ht="27.6" x14ac:dyDescent="0.3">
      <c r="A60" s="54" t="s">
        <v>44</v>
      </c>
      <c r="B60" s="54" t="s">
        <v>242</v>
      </c>
      <c r="C60" s="54" t="s">
        <v>243</v>
      </c>
      <c r="D60" s="55" t="s">
        <v>142</v>
      </c>
      <c r="E60" s="55" t="s">
        <v>244</v>
      </c>
      <c r="F60" s="56">
        <v>4415</v>
      </c>
      <c r="G60" s="57" t="s">
        <v>245</v>
      </c>
      <c r="H60" s="57" t="s">
        <v>105</v>
      </c>
      <c r="I60" s="57" t="s">
        <v>574</v>
      </c>
    </row>
    <row r="61" spans="1:9" ht="55.2" x14ac:dyDescent="0.3">
      <c r="A61" s="54" t="s">
        <v>44</v>
      </c>
      <c r="B61" s="54" t="s">
        <v>242</v>
      </c>
      <c r="C61" s="54" t="s">
        <v>243</v>
      </c>
      <c r="D61" s="55" t="s">
        <v>142</v>
      </c>
      <c r="E61" s="55" t="s">
        <v>246</v>
      </c>
      <c r="F61" s="56">
        <v>5960</v>
      </c>
      <c r="G61" s="57" t="s">
        <v>247</v>
      </c>
      <c r="H61" s="57" t="s">
        <v>105</v>
      </c>
      <c r="I61" s="57" t="s">
        <v>574</v>
      </c>
    </row>
    <row r="62" spans="1:9" x14ac:dyDescent="0.3">
      <c r="A62" s="54" t="s">
        <v>44</v>
      </c>
      <c r="B62" s="54" t="s">
        <v>242</v>
      </c>
      <c r="C62" s="54" t="s">
        <v>248</v>
      </c>
      <c r="D62" s="55" t="s">
        <v>249</v>
      </c>
      <c r="E62" s="55" t="s">
        <v>250</v>
      </c>
      <c r="F62" s="56">
        <v>240</v>
      </c>
      <c r="G62" s="57" t="s">
        <v>251</v>
      </c>
      <c r="H62" s="57" t="s">
        <v>154</v>
      </c>
      <c r="I62" s="57" t="s">
        <v>540</v>
      </c>
    </row>
    <row r="63" spans="1:9" ht="27.6" x14ac:dyDescent="0.3">
      <c r="A63" s="54" t="s">
        <v>44</v>
      </c>
      <c r="B63" s="54" t="s">
        <v>242</v>
      </c>
      <c r="C63" s="54" t="s">
        <v>248</v>
      </c>
      <c r="D63" s="55" t="s">
        <v>83</v>
      </c>
      <c r="E63" s="55" t="s">
        <v>252</v>
      </c>
      <c r="F63" s="56">
        <v>699</v>
      </c>
      <c r="G63" s="57" t="s">
        <v>253</v>
      </c>
      <c r="H63" s="57" t="s">
        <v>99</v>
      </c>
      <c r="I63" s="57" t="s">
        <v>546</v>
      </c>
    </row>
    <row r="64" spans="1:9" ht="27.6" x14ac:dyDescent="0.3">
      <c r="A64" s="54" t="s">
        <v>44</v>
      </c>
      <c r="B64" s="54" t="s">
        <v>242</v>
      </c>
      <c r="C64" s="54" t="s">
        <v>248</v>
      </c>
      <c r="D64" s="55" t="s">
        <v>142</v>
      </c>
      <c r="E64" s="55" t="s">
        <v>254</v>
      </c>
      <c r="F64" s="56">
        <v>2000</v>
      </c>
      <c r="G64" s="57" t="s">
        <v>255</v>
      </c>
      <c r="H64" s="57" t="s">
        <v>230</v>
      </c>
      <c r="I64" s="57" t="s">
        <v>538</v>
      </c>
    </row>
    <row r="65" spans="1:9" ht="27.6" x14ac:dyDescent="0.3">
      <c r="A65" s="54" t="s">
        <v>44</v>
      </c>
      <c r="B65" s="54" t="s">
        <v>242</v>
      </c>
      <c r="C65" s="54" t="s">
        <v>248</v>
      </c>
      <c r="D65" s="55" t="s">
        <v>142</v>
      </c>
      <c r="E65" s="55" t="s">
        <v>256</v>
      </c>
      <c r="F65" s="56">
        <v>600</v>
      </c>
      <c r="G65" s="57" t="s">
        <v>257</v>
      </c>
      <c r="H65" s="57" t="s">
        <v>230</v>
      </c>
      <c r="I65" s="57" t="s">
        <v>538</v>
      </c>
    </row>
    <row r="66" spans="1:9" x14ac:dyDescent="0.3">
      <c r="A66" s="54" t="s">
        <v>44</v>
      </c>
      <c r="B66" s="54" t="s">
        <v>242</v>
      </c>
      <c r="C66" s="54" t="s">
        <v>258</v>
      </c>
      <c r="D66" s="55" t="s">
        <v>149</v>
      </c>
      <c r="E66" s="55" t="s">
        <v>259</v>
      </c>
      <c r="F66" s="56">
        <v>2920</v>
      </c>
      <c r="G66" s="57" t="s">
        <v>260</v>
      </c>
      <c r="H66" s="57" t="s">
        <v>185</v>
      </c>
      <c r="I66" s="57" t="s">
        <v>529</v>
      </c>
    </row>
    <row r="67" spans="1:9" x14ac:dyDescent="0.3">
      <c r="A67" s="54" t="s">
        <v>44</v>
      </c>
      <c r="B67" s="54" t="s">
        <v>242</v>
      </c>
      <c r="C67" s="54" t="s">
        <v>258</v>
      </c>
      <c r="D67" s="55" t="s">
        <v>149</v>
      </c>
      <c r="E67" s="55" t="s">
        <v>261</v>
      </c>
      <c r="F67" s="56">
        <v>280</v>
      </c>
      <c r="G67" s="57" t="s">
        <v>262</v>
      </c>
      <c r="H67" s="57" t="s">
        <v>185</v>
      </c>
      <c r="I67" s="57" t="s">
        <v>529</v>
      </c>
    </row>
    <row r="68" spans="1:9" ht="41.4" x14ac:dyDescent="0.3">
      <c r="A68" s="54" t="s">
        <v>44</v>
      </c>
      <c r="B68" s="54" t="s">
        <v>242</v>
      </c>
      <c r="C68" s="54" t="s">
        <v>258</v>
      </c>
      <c r="D68" s="55" t="s">
        <v>142</v>
      </c>
      <c r="E68" s="55" t="s">
        <v>263</v>
      </c>
      <c r="F68" s="56">
        <v>382</v>
      </c>
      <c r="G68" s="57" t="s">
        <v>264</v>
      </c>
      <c r="H68" s="57" t="s">
        <v>105</v>
      </c>
      <c r="I68" s="57" t="s">
        <v>574</v>
      </c>
    </row>
    <row r="69" spans="1:9" ht="27.6" x14ac:dyDescent="0.3">
      <c r="A69" s="54" t="s">
        <v>44</v>
      </c>
      <c r="B69" s="54" t="s">
        <v>242</v>
      </c>
      <c r="C69" s="54" t="s">
        <v>258</v>
      </c>
      <c r="D69" s="55" t="s">
        <v>142</v>
      </c>
      <c r="E69" s="55" t="s">
        <v>265</v>
      </c>
      <c r="F69" s="56">
        <v>4470</v>
      </c>
      <c r="G69" s="57" t="s">
        <v>266</v>
      </c>
      <c r="H69" s="57" t="s">
        <v>105</v>
      </c>
      <c r="I69" s="57" t="s">
        <v>574</v>
      </c>
    </row>
    <row r="70" spans="1:9" ht="27.6" x14ac:dyDescent="0.3">
      <c r="A70" s="54" t="s">
        <v>44</v>
      </c>
      <c r="B70" s="54" t="s">
        <v>242</v>
      </c>
      <c r="C70" s="54" t="s">
        <v>258</v>
      </c>
      <c r="D70" s="55" t="s">
        <v>142</v>
      </c>
      <c r="E70" s="55" t="s">
        <v>267</v>
      </c>
      <c r="F70" s="56">
        <v>1816</v>
      </c>
      <c r="G70" s="57" t="s">
        <v>268</v>
      </c>
      <c r="H70" s="57" t="s">
        <v>105</v>
      </c>
      <c r="I70" s="57" t="s">
        <v>574</v>
      </c>
    </row>
    <row r="71" spans="1:9" ht="27.6" x14ac:dyDescent="0.3">
      <c r="A71" s="54" t="s">
        <v>44</v>
      </c>
      <c r="B71" s="54" t="s">
        <v>242</v>
      </c>
      <c r="C71" s="54" t="s">
        <v>269</v>
      </c>
      <c r="D71" s="55" t="s">
        <v>173</v>
      </c>
      <c r="E71" s="55" t="s">
        <v>270</v>
      </c>
      <c r="F71" s="56">
        <v>1255</v>
      </c>
      <c r="G71" s="57" t="s">
        <v>271</v>
      </c>
      <c r="H71" s="57" t="s">
        <v>194</v>
      </c>
      <c r="I71" s="57" t="s">
        <v>542</v>
      </c>
    </row>
    <row r="72" spans="1:9" ht="27.6" x14ac:dyDescent="0.3">
      <c r="A72" s="54" t="s">
        <v>44</v>
      </c>
      <c r="B72" s="54" t="s">
        <v>242</v>
      </c>
      <c r="C72" s="54" t="s">
        <v>272</v>
      </c>
      <c r="D72" s="55" t="s">
        <v>47</v>
      </c>
      <c r="E72" s="55" t="s">
        <v>273</v>
      </c>
      <c r="F72" s="56">
        <v>14890</v>
      </c>
      <c r="G72" s="57" t="s">
        <v>274</v>
      </c>
      <c r="H72" s="57" t="s">
        <v>219</v>
      </c>
      <c r="I72" s="57" t="s">
        <v>562</v>
      </c>
    </row>
    <row r="73" spans="1:9" ht="27.6" x14ac:dyDescent="0.3">
      <c r="A73" s="54" t="s">
        <v>44</v>
      </c>
      <c r="B73" s="54" t="s">
        <v>242</v>
      </c>
      <c r="C73" s="54" t="s">
        <v>275</v>
      </c>
      <c r="D73" s="55" t="s">
        <v>96</v>
      </c>
      <c r="E73" s="55" t="s">
        <v>276</v>
      </c>
      <c r="F73" s="56">
        <v>17500</v>
      </c>
      <c r="G73" s="57" t="s">
        <v>277</v>
      </c>
      <c r="H73" s="57" t="s">
        <v>168</v>
      </c>
      <c r="I73" s="57" t="s">
        <v>564</v>
      </c>
    </row>
    <row r="74" spans="1:9" ht="27.6" x14ac:dyDescent="0.3">
      <c r="A74" s="54" t="s">
        <v>44</v>
      </c>
      <c r="B74" s="54" t="s">
        <v>242</v>
      </c>
      <c r="C74" s="54" t="s">
        <v>278</v>
      </c>
      <c r="D74" s="55" t="s">
        <v>83</v>
      </c>
      <c r="E74" s="55" t="s">
        <v>279</v>
      </c>
      <c r="F74" s="56">
        <v>17976</v>
      </c>
      <c r="G74" s="57" t="s">
        <v>280</v>
      </c>
      <c r="H74" s="57" t="s">
        <v>281</v>
      </c>
      <c r="I74" s="57" t="s">
        <v>533</v>
      </c>
    </row>
    <row r="75" spans="1:9" ht="27.6" x14ac:dyDescent="0.3">
      <c r="A75" s="54" t="s">
        <v>44</v>
      </c>
      <c r="B75" s="54" t="s">
        <v>242</v>
      </c>
      <c r="C75" s="54" t="s">
        <v>282</v>
      </c>
      <c r="D75" s="55" t="s">
        <v>96</v>
      </c>
      <c r="E75" s="55" t="s">
        <v>283</v>
      </c>
      <c r="F75" s="56">
        <v>10000</v>
      </c>
      <c r="G75" s="57" t="s">
        <v>284</v>
      </c>
      <c r="H75" s="57" t="s">
        <v>194</v>
      </c>
      <c r="I75" s="57" t="s">
        <v>542</v>
      </c>
    </row>
    <row r="76" spans="1:9" ht="27.6" x14ac:dyDescent="0.3">
      <c r="A76" s="54" t="s">
        <v>44</v>
      </c>
      <c r="B76" s="54" t="s">
        <v>242</v>
      </c>
      <c r="C76" s="54" t="s">
        <v>282</v>
      </c>
      <c r="D76" s="55" t="s">
        <v>102</v>
      </c>
      <c r="E76" s="55" t="s">
        <v>285</v>
      </c>
      <c r="F76" s="56">
        <v>7560</v>
      </c>
      <c r="G76" s="57" t="s">
        <v>286</v>
      </c>
      <c r="H76" s="57" t="s">
        <v>287</v>
      </c>
      <c r="I76" s="57" t="s">
        <v>541</v>
      </c>
    </row>
    <row r="77" spans="1:9" ht="27.6" x14ac:dyDescent="0.3">
      <c r="A77" s="54" t="s">
        <v>44</v>
      </c>
      <c r="B77" s="54" t="s">
        <v>242</v>
      </c>
      <c r="C77" s="54" t="s">
        <v>282</v>
      </c>
      <c r="D77" s="55" t="s">
        <v>102</v>
      </c>
      <c r="E77" s="55" t="s">
        <v>288</v>
      </c>
      <c r="F77" s="56">
        <v>1200</v>
      </c>
      <c r="G77" s="57" t="s">
        <v>289</v>
      </c>
      <c r="H77" s="57" t="s">
        <v>199</v>
      </c>
      <c r="I77" s="57" t="s">
        <v>566</v>
      </c>
    </row>
    <row r="78" spans="1:9" ht="27.6" x14ac:dyDescent="0.3">
      <c r="A78" s="54" t="s">
        <v>44</v>
      </c>
      <c r="B78" s="54" t="s">
        <v>242</v>
      </c>
      <c r="C78" s="54" t="s">
        <v>282</v>
      </c>
      <c r="D78" s="55" t="s">
        <v>91</v>
      </c>
      <c r="E78" s="55" t="s">
        <v>290</v>
      </c>
      <c r="F78" s="56">
        <v>9450</v>
      </c>
      <c r="G78" s="57" t="s">
        <v>291</v>
      </c>
      <c r="H78" s="57" t="s">
        <v>194</v>
      </c>
      <c r="I78" s="57" t="s">
        <v>542</v>
      </c>
    </row>
    <row r="79" spans="1:9" ht="27.6" x14ac:dyDescent="0.3">
      <c r="A79" s="54" t="s">
        <v>44</v>
      </c>
      <c r="B79" s="54" t="s">
        <v>242</v>
      </c>
      <c r="C79" s="54" t="s">
        <v>292</v>
      </c>
      <c r="D79" s="55" t="s">
        <v>113</v>
      </c>
      <c r="E79" s="55" t="s">
        <v>293</v>
      </c>
      <c r="F79" s="56">
        <v>4000</v>
      </c>
      <c r="G79" s="57" t="s">
        <v>294</v>
      </c>
      <c r="H79" s="57" t="s">
        <v>295</v>
      </c>
      <c r="I79" s="57" t="s">
        <v>554</v>
      </c>
    </row>
    <row r="80" spans="1:9" ht="27.6" x14ac:dyDescent="0.3">
      <c r="A80" s="54" t="s">
        <v>44</v>
      </c>
      <c r="B80" s="54" t="s">
        <v>242</v>
      </c>
      <c r="C80" s="54" t="s">
        <v>292</v>
      </c>
      <c r="D80" s="55" t="s">
        <v>113</v>
      </c>
      <c r="E80" s="55" t="s">
        <v>296</v>
      </c>
      <c r="F80" s="56">
        <v>393</v>
      </c>
      <c r="G80" s="57" t="s">
        <v>297</v>
      </c>
      <c r="H80" s="57" t="s">
        <v>141</v>
      </c>
      <c r="I80" s="57" t="s">
        <v>560</v>
      </c>
    </row>
    <row r="81" spans="1:9" ht="27.6" x14ac:dyDescent="0.3">
      <c r="A81" s="54" t="s">
        <v>44</v>
      </c>
      <c r="B81" s="54" t="s">
        <v>242</v>
      </c>
      <c r="C81" s="54" t="s">
        <v>292</v>
      </c>
      <c r="D81" s="55" t="s">
        <v>202</v>
      </c>
      <c r="E81" s="55" t="s">
        <v>298</v>
      </c>
      <c r="F81" s="56">
        <v>2916</v>
      </c>
      <c r="G81" s="57" t="s">
        <v>299</v>
      </c>
      <c r="H81" s="57" t="s">
        <v>94</v>
      </c>
      <c r="I81" s="57" t="s">
        <v>552</v>
      </c>
    </row>
    <row r="82" spans="1:9" ht="41.4" x14ac:dyDescent="0.3">
      <c r="A82" s="54" t="s">
        <v>44</v>
      </c>
      <c r="B82" s="54" t="s">
        <v>242</v>
      </c>
      <c r="C82" s="54" t="s">
        <v>300</v>
      </c>
      <c r="D82" s="55" t="s">
        <v>96</v>
      </c>
      <c r="E82" s="55" t="s">
        <v>301</v>
      </c>
      <c r="F82" s="56">
        <v>16196</v>
      </c>
      <c r="G82" s="57" t="s">
        <v>302</v>
      </c>
      <c r="H82" s="57" t="s">
        <v>168</v>
      </c>
      <c r="I82" s="57" t="s">
        <v>564</v>
      </c>
    </row>
    <row r="83" spans="1:9" ht="27.6" x14ac:dyDescent="0.3">
      <c r="A83" s="54" t="s">
        <v>44</v>
      </c>
      <c r="B83" s="54" t="s">
        <v>242</v>
      </c>
      <c r="C83" s="54" t="s">
        <v>303</v>
      </c>
      <c r="D83" s="55" t="s">
        <v>113</v>
      </c>
      <c r="E83" s="55" t="s">
        <v>304</v>
      </c>
      <c r="F83" s="56">
        <v>1346</v>
      </c>
      <c r="G83" s="57" t="s">
        <v>305</v>
      </c>
      <c r="H83" s="57" t="s">
        <v>306</v>
      </c>
      <c r="I83" s="57" t="s">
        <v>528</v>
      </c>
    </row>
    <row r="84" spans="1:9" ht="27.6" x14ac:dyDescent="0.3">
      <c r="A84" s="54" t="s">
        <v>44</v>
      </c>
      <c r="B84" s="54" t="s">
        <v>242</v>
      </c>
      <c r="C84" s="54" t="s">
        <v>303</v>
      </c>
      <c r="D84" s="55" t="s">
        <v>96</v>
      </c>
      <c r="E84" s="55" t="s">
        <v>304</v>
      </c>
      <c r="F84" s="56">
        <v>318</v>
      </c>
      <c r="G84" s="57" t="s">
        <v>305</v>
      </c>
      <c r="H84" s="57" t="s">
        <v>306</v>
      </c>
      <c r="I84" s="57" t="s">
        <v>528</v>
      </c>
    </row>
    <row r="85" spans="1:9" ht="27.6" x14ac:dyDescent="0.3">
      <c r="A85" s="54" t="s">
        <v>44</v>
      </c>
      <c r="B85" s="54" t="s">
        <v>242</v>
      </c>
      <c r="C85" s="54" t="s">
        <v>303</v>
      </c>
      <c r="D85" s="55" t="s">
        <v>96</v>
      </c>
      <c r="E85" s="55" t="s">
        <v>308</v>
      </c>
      <c r="F85" s="56">
        <v>3500</v>
      </c>
      <c r="G85" s="57" t="s">
        <v>309</v>
      </c>
      <c r="H85" s="57" t="s">
        <v>94</v>
      </c>
      <c r="I85" s="57" t="s">
        <v>552</v>
      </c>
    </row>
    <row r="86" spans="1:9" ht="27.6" x14ac:dyDescent="0.3">
      <c r="A86" s="54" t="s">
        <v>44</v>
      </c>
      <c r="B86" s="54" t="s">
        <v>242</v>
      </c>
      <c r="C86" s="54" t="s">
        <v>303</v>
      </c>
      <c r="D86" s="55" t="s">
        <v>207</v>
      </c>
      <c r="E86" s="55" t="s">
        <v>310</v>
      </c>
      <c r="F86" s="56">
        <v>5000</v>
      </c>
      <c r="G86" s="57" t="s">
        <v>311</v>
      </c>
      <c r="H86" s="57" t="s">
        <v>210</v>
      </c>
      <c r="I86" s="57" t="s">
        <v>544</v>
      </c>
    </row>
    <row r="87" spans="1:9" x14ac:dyDescent="0.3">
      <c r="A87" s="54" t="s">
        <v>44</v>
      </c>
      <c r="B87" s="54" t="s">
        <v>242</v>
      </c>
      <c r="C87" s="54" t="s">
        <v>303</v>
      </c>
      <c r="D87" s="55" t="s">
        <v>102</v>
      </c>
      <c r="E87" s="55" t="s">
        <v>312</v>
      </c>
      <c r="F87" s="56">
        <v>2280</v>
      </c>
      <c r="G87" s="57" t="s">
        <v>313</v>
      </c>
      <c r="H87" s="57" t="s">
        <v>287</v>
      </c>
      <c r="I87" s="57" t="s">
        <v>541</v>
      </c>
    </row>
    <row r="88" spans="1:9" ht="27.6" x14ac:dyDescent="0.3">
      <c r="A88" s="54" t="s">
        <v>44</v>
      </c>
      <c r="B88" s="54" t="s">
        <v>242</v>
      </c>
      <c r="C88" s="54" t="s">
        <v>303</v>
      </c>
      <c r="D88" s="55" t="s">
        <v>142</v>
      </c>
      <c r="E88" s="55" t="s">
        <v>314</v>
      </c>
      <c r="F88" s="56">
        <v>2000</v>
      </c>
      <c r="G88" s="57" t="s">
        <v>315</v>
      </c>
      <c r="H88" s="57" t="s">
        <v>210</v>
      </c>
      <c r="I88" s="57" t="s">
        <v>544</v>
      </c>
    </row>
    <row r="89" spans="1:9" ht="27.6" x14ac:dyDescent="0.3">
      <c r="A89" s="54" t="s">
        <v>44</v>
      </c>
      <c r="B89" s="54" t="s">
        <v>242</v>
      </c>
      <c r="C89" s="54" t="s">
        <v>303</v>
      </c>
      <c r="D89" s="55" t="s">
        <v>142</v>
      </c>
      <c r="E89" s="55" t="s">
        <v>316</v>
      </c>
      <c r="F89" s="56">
        <v>786</v>
      </c>
      <c r="G89" s="57" t="s">
        <v>317</v>
      </c>
      <c r="H89" s="57" t="s">
        <v>126</v>
      </c>
      <c r="I89" s="57" t="s">
        <v>572</v>
      </c>
    </row>
    <row r="90" spans="1:9" ht="27.6" x14ac:dyDescent="0.3">
      <c r="A90" s="54" t="s">
        <v>44</v>
      </c>
      <c r="B90" s="54" t="s">
        <v>242</v>
      </c>
      <c r="C90" s="54" t="s">
        <v>318</v>
      </c>
      <c r="D90" s="55" t="s">
        <v>149</v>
      </c>
      <c r="E90" s="55" t="s">
        <v>319</v>
      </c>
      <c r="F90" s="56">
        <v>1580</v>
      </c>
      <c r="G90" s="57" t="s">
        <v>320</v>
      </c>
      <c r="H90" s="57" t="s">
        <v>287</v>
      </c>
      <c r="I90" s="57" t="s">
        <v>541</v>
      </c>
    </row>
    <row r="91" spans="1:9" ht="27.6" x14ac:dyDescent="0.3">
      <c r="A91" s="54" t="s">
        <v>44</v>
      </c>
      <c r="B91" s="54" t="s">
        <v>242</v>
      </c>
      <c r="C91" s="54" t="s">
        <v>318</v>
      </c>
      <c r="D91" s="55" t="s">
        <v>149</v>
      </c>
      <c r="E91" s="55" t="s">
        <v>321</v>
      </c>
      <c r="F91" s="56">
        <v>2980</v>
      </c>
      <c r="G91" s="57" t="s">
        <v>322</v>
      </c>
      <c r="H91" s="57" t="s">
        <v>210</v>
      </c>
      <c r="I91" s="57" t="s">
        <v>544</v>
      </c>
    </row>
    <row r="92" spans="1:9" ht="27.6" x14ac:dyDescent="0.3">
      <c r="A92" s="54" t="s">
        <v>44</v>
      </c>
      <c r="B92" s="54" t="s">
        <v>242</v>
      </c>
      <c r="C92" s="54" t="s">
        <v>318</v>
      </c>
      <c r="D92" s="55" t="s">
        <v>83</v>
      </c>
      <c r="E92" s="55" t="s">
        <v>323</v>
      </c>
      <c r="F92" s="56">
        <v>4139</v>
      </c>
      <c r="G92" s="57" t="s">
        <v>324</v>
      </c>
      <c r="H92" s="57" t="s">
        <v>99</v>
      </c>
      <c r="I92" s="57" t="s">
        <v>546</v>
      </c>
    </row>
    <row r="93" spans="1:9" ht="27.6" x14ac:dyDescent="0.3">
      <c r="A93" s="54" t="s">
        <v>44</v>
      </c>
      <c r="B93" s="54" t="s">
        <v>242</v>
      </c>
      <c r="C93" s="54" t="s">
        <v>325</v>
      </c>
      <c r="D93" s="55" t="s">
        <v>326</v>
      </c>
      <c r="E93" s="55" t="s">
        <v>327</v>
      </c>
      <c r="F93" s="56">
        <v>11400</v>
      </c>
      <c r="G93" s="57" t="s">
        <v>328</v>
      </c>
      <c r="H93" s="57" t="s">
        <v>94</v>
      </c>
      <c r="I93" s="57" t="s">
        <v>552</v>
      </c>
    </row>
    <row r="94" spans="1:9" ht="41.4" x14ac:dyDescent="0.3">
      <c r="A94" s="54" t="s">
        <v>44</v>
      </c>
      <c r="B94" s="54" t="s">
        <v>242</v>
      </c>
      <c r="C94" s="54" t="s">
        <v>329</v>
      </c>
      <c r="D94" s="55" t="s">
        <v>123</v>
      </c>
      <c r="E94" s="55" t="s">
        <v>330</v>
      </c>
      <c r="F94" s="56">
        <v>1521</v>
      </c>
      <c r="G94" s="57" t="s">
        <v>331</v>
      </c>
      <c r="H94" s="57" t="s">
        <v>227</v>
      </c>
      <c r="I94" s="57" t="s">
        <v>540</v>
      </c>
    </row>
    <row r="95" spans="1:9" x14ac:dyDescent="0.3">
      <c r="A95" s="54" t="s">
        <v>44</v>
      </c>
      <c r="B95" s="54" t="s">
        <v>242</v>
      </c>
      <c r="C95" s="54" t="s">
        <v>329</v>
      </c>
      <c r="D95" s="55" t="s">
        <v>123</v>
      </c>
      <c r="E95" s="55" t="s">
        <v>332</v>
      </c>
      <c r="F95" s="56">
        <v>3380</v>
      </c>
      <c r="G95" s="57" t="s">
        <v>333</v>
      </c>
      <c r="H95" s="57" t="s">
        <v>126</v>
      </c>
      <c r="I95" s="57" t="s">
        <v>572</v>
      </c>
    </row>
    <row r="96" spans="1:9" ht="27.6" x14ac:dyDescent="0.3">
      <c r="A96" s="54" t="s">
        <v>44</v>
      </c>
      <c r="B96" s="54" t="s">
        <v>242</v>
      </c>
      <c r="C96" s="54" t="s">
        <v>329</v>
      </c>
      <c r="D96" s="55" t="s">
        <v>142</v>
      </c>
      <c r="E96" s="55" t="s">
        <v>334</v>
      </c>
      <c r="F96" s="56">
        <v>5960</v>
      </c>
      <c r="G96" s="57" t="s">
        <v>335</v>
      </c>
      <c r="H96" s="57" t="s">
        <v>306</v>
      </c>
      <c r="I96" s="57" t="s">
        <v>528</v>
      </c>
    </row>
    <row r="97" spans="1:9" ht="27.6" x14ac:dyDescent="0.3">
      <c r="A97" s="54" t="s">
        <v>44</v>
      </c>
      <c r="B97" s="54" t="s">
        <v>242</v>
      </c>
      <c r="C97" s="54" t="s">
        <v>329</v>
      </c>
      <c r="D97" s="55" t="s">
        <v>142</v>
      </c>
      <c r="E97" s="55" t="s">
        <v>336</v>
      </c>
      <c r="F97" s="56">
        <v>3308</v>
      </c>
      <c r="G97" s="57" t="s">
        <v>337</v>
      </c>
      <c r="H97" s="57" t="s">
        <v>306</v>
      </c>
      <c r="I97" s="57" t="s">
        <v>528</v>
      </c>
    </row>
    <row r="98" spans="1:9" ht="27.6" x14ac:dyDescent="0.3">
      <c r="A98" s="54" t="s">
        <v>44</v>
      </c>
      <c r="B98" s="54" t="s">
        <v>242</v>
      </c>
      <c r="C98" s="54" t="s">
        <v>329</v>
      </c>
      <c r="D98" s="55" t="s">
        <v>142</v>
      </c>
      <c r="E98" s="55" t="s">
        <v>338</v>
      </c>
      <c r="F98" s="56">
        <v>5490</v>
      </c>
      <c r="G98" s="57" t="s">
        <v>339</v>
      </c>
      <c r="H98" s="57" t="s">
        <v>306</v>
      </c>
      <c r="I98" s="57" t="s">
        <v>528</v>
      </c>
    </row>
    <row r="99" spans="1:9" ht="27.6" x14ac:dyDescent="0.3">
      <c r="A99" s="54" t="s">
        <v>44</v>
      </c>
      <c r="B99" s="54" t="s">
        <v>242</v>
      </c>
      <c r="C99" s="54" t="s">
        <v>340</v>
      </c>
      <c r="D99" s="55" t="s">
        <v>173</v>
      </c>
      <c r="E99" s="55" t="s">
        <v>341</v>
      </c>
      <c r="F99" s="56">
        <v>3250</v>
      </c>
      <c r="G99" s="57" t="s">
        <v>342</v>
      </c>
      <c r="H99" s="57" t="s">
        <v>343</v>
      </c>
      <c r="I99" s="57" t="s">
        <v>533</v>
      </c>
    </row>
    <row r="100" spans="1:9" ht="27.6" x14ac:dyDescent="0.3">
      <c r="A100" s="54" t="s">
        <v>44</v>
      </c>
      <c r="B100" s="54" t="s">
        <v>242</v>
      </c>
      <c r="C100" s="54" t="s">
        <v>344</v>
      </c>
      <c r="D100" s="55" t="s">
        <v>142</v>
      </c>
      <c r="E100" s="55" t="s">
        <v>345</v>
      </c>
      <c r="F100" s="56">
        <v>5334</v>
      </c>
      <c r="G100" s="57" t="s">
        <v>346</v>
      </c>
      <c r="H100" s="57" t="s">
        <v>306</v>
      </c>
      <c r="I100" s="57" t="s">
        <v>528</v>
      </c>
    </row>
    <row r="101" spans="1:9" ht="27.6" x14ac:dyDescent="0.3">
      <c r="A101" s="54" t="s">
        <v>44</v>
      </c>
      <c r="B101" s="54" t="s">
        <v>242</v>
      </c>
      <c r="C101" s="54" t="s">
        <v>344</v>
      </c>
      <c r="D101" s="55" t="s">
        <v>142</v>
      </c>
      <c r="E101" s="55" t="s">
        <v>347</v>
      </c>
      <c r="F101" s="56">
        <v>5334</v>
      </c>
      <c r="G101" s="57" t="s">
        <v>346</v>
      </c>
      <c r="H101" s="57" t="s">
        <v>306</v>
      </c>
      <c r="I101" s="57" t="s">
        <v>528</v>
      </c>
    </row>
    <row r="102" spans="1:9" ht="27.6" x14ac:dyDescent="0.3">
      <c r="A102" s="54" t="s">
        <v>44</v>
      </c>
      <c r="B102" s="54" t="s">
        <v>242</v>
      </c>
      <c r="C102" s="54" t="s">
        <v>344</v>
      </c>
      <c r="D102" s="55" t="s">
        <v>142</v>
      </c>
      <c r="E102" s="55" t="s">
        <v>348</v>
      </c>
      <c r="F102" s="56">
        <v>4273</v>
      </c>
      <c r="G102" s="57" t="s">
        <v>349</v>
      </c>
      <c r="H102" s="57" t="s">
        <v>306</v>
      </c>
      <c r="I102" s="57" t="s">
        <v>528</v>
      </c>
    </row>
    <row r="103" spans="1:9" ht="27.6" x14ac:dyDescent="0.3">
      <c r="A103" s="54" t="s">
        <v>44</v>
      </c>
      <c r="B103" s="54" t="s">
        <v>242</v>
      </c>
      <c r="C103" s="54" t="s">
        <v>344</v>
      </c>
      <c r="D103" s="55" t="s">
        <v>142</v>
      </c>
      <c r="E103" s="55" t="s">
        <v>350</v>
      </c>
      <c r="F103" s="56">
        <v>5295</v>
      </c>
      <c r="G103" s="57" t="s">
        <v>339</v>
      </c>
      <c r="H103" s="57" t="s">
        <v>306</v>
      </c>
      <c r="I103" s="57" t="s">
        <v>528</v>
      </c>
    </row>
    <row r="104" spans="1:9" ht="27.6" x14ac:dyDescent="0.3">
      <c r="A104" s="54" t="s">
        <v>44</v>
      </c>
      <c r="B104" s="54" t="s">
        <v>242</v>
      </c>
      <c r="C104" s="54" t="s">
        <v>344</v>
      </c>
      <c r="D104" s="55" t="s">
        <v>351</v>
      </c>
      <c r="E104" s="55" t="s">
        <v>352</v>
      </c>
      <c r="F104" s="56">
        <v>10000</v>
      </c>
      <c r="G104" s="57" t="s">
        <v>353</v>
      </c>
      <c r="H104" s="57" t="s">
        <v>158</v>
      </c>
      <c r="I104" s="57" t="s">
        <v>534</v>
      </c>
    </row>
    <row r="105" spans="1:9" ht="27.6" x14ac:dyDescent="0.3">
      <c r="A105" s="54" t="s">
        <v>44</v>
      </c>
      <c r="B105" s="54" t="s">
        <v>242</v>
      </c>
      <c r="C105" s="54" t="s">
        <v>354</v>
      </c>
      <c r="D105" s="55" t="s">
        <v>138</v>
      </c>
      <c r="E105" s="55" t="s">
        <v>355</v>
      </c>
      <c r="F105" s="56">
        <v>2500</v>
      </c>
      <c r="G105" s="57" t="s">
        <v>356</v>
      </c>
      <c r="H105" s="57" t="s">
        <v>81</v>
      </c>
      <c r="I105" s="57" t="s">
        <v>570</v>
      </c>
    </row>
    <row r="106" spans="1:9" ht="27.6" x14ac:dyDescent="0.3">
      <c r="A106" s="54" t="s">
        <v>44</v>
      </c>
      <c r="B106" s="54" t="s">
        <v>242</v>
      </c>
      <c r="C106" s="54" t="s">
        <v>354</v>
      </c>
      <c r="D106" s="55" t="s">
        <v>138</v>
      </c>
      <c r="E106" s="55" t="s">
        <v>357</v>
      </c>
      <c r="F106" s="56">
        <v>2000</v>
      </c>
      <c r="G106" s="57" t="s">
        <v>358</v>
      </c>
      <c r="H106" s="57" t="s">
        <v>81</v>
      </c>
      <c r="I106" s="57" t="s">
        <v>570</v>
      </c>
    </row>
    <row r="107" spans="1:9" ht="27.6" x14ac:dyDescent="0.3">
      <c r="A107" s="54" t="s">
        <v>44</v>
      </c>
      <c r="B107" s="54" t="s">
        <v>242</v>
      </c>
      <c r="C107" s="54" t="s">
        <v>354</v>
      </c>
      <c r="D107" s="55" t="s">
        <v>83</v>
      </c>
      <c r="E107" s="55" t="s">
        <v>359</v>
      </c>
      <c r="F107" s="56">
        <v>2309</v>
      </c>
      <c r="G107" s="57" t="s">
        <v>360</v>
      </c>
      <c r="H107" s="57" t="s">
        <v>99</v>
      </c>
      <c r="I107" s="57" t="s">
        <v>546</v>
      </c>
    </row>
    <row r="108" spans="1:9" ht="27.6" x14ac:dyDescent="0.3">
      <c r="A108" s="54" t="s">
        <v>44</v>
      </c>
      <c r="B108" s="54" t="s">
        <v>242</v>
      </c>
      <c r="C108" s="54" t="s">
        <v>354</v>
      </c>
      <c r="D108" s="55" t="s">
        <v>83</v>
      </c>
      <c r="E108" s="55" t="s">
        <v>361</v>
      </c>
      <c r="F108" s="56">
        <v>3600</v>
      </c>
      <c r="G108" s="57" t="s">
        <v>362</v>
      </c>
      <c r="H108" s="57" t="s">
        <v>81</v>
      </c>
      <c r="I108" s="57" t="s">
        <v>570</v>
      </c>
    </row>
    <row r="109" spans="1:9" ht="27.6" x14ac:dyDescent="0.3">
      <c r="A109" s="54" t="s">
        <v>44</v>
      </c>
      <c r="B109" s="54" t="s">
        <v>242</v>
      </c>
      <c r="C109" s="54" t="s">
        <v>354</v>
      </c>
      <c r="D109" s="55" t="s">
        <v>102</v>
      </c>
      <c r="E109" s="55" t="s">
        <v>363</v>
      </c>
      <c r="F109" s="56">
        <v>280</v>
      </c>
      <c r="G109" s="57" t="s">
        <v>364</v>
      </c>
      <c r="H109" s="57" t="s">
        <v>199</v>
      </c>
      <c r="I109" s="57" t="s">
        <v>566</v>
      </c>
    </row>
    <row r="110" spans="1:9" x14ac:dyDescent="0.3">
      <c r="A110" s="54" t="s">
        <v>44</v>
      </c>
      <c r="B110" s="54" t="s">
        <v>242</v>
      </c>
      <c r="C110" s="54" t="s">
        <v>365</v>
      </c>
      <c r="D110" s="55" t="s">
        <v>249</v>
      </c>
      <c r="E110" s="55" t="s">
        <v>366</v>
      </c>
      <c r="F110" s="56">
        <v>535</v>
      </c>
      <c r="G110" s="57" t="s">
        <v>367</v>
      </c>
      <c r="H110" s="57" t="s">
        <v>154</v>
      </c>
      <c r="I110" s="57" t="s">
        <v>540</v>
      </c>
    </row>
    <row r="111" spans="1:9" x14ac:dyDescent="0.3">
      <c r="A111" s="54" t="s">
        <v>44</v>
      </c>
      <c r="B111" s="54" t="s">
        <v>242</v>
      </c>
      <c r="C111" s="54" t="s">
        <v>365</v>
      </c>
      <c r="D111" s="55" t="s">
        <v>113</v>
      </c>
      <c r="E111" s="55" t="s">
        <v>368</v>
      </c>
      <c r="F111" s="56">
        <v>2000</v>
      </c>
      <c r="G111" s="57" t="s">
        <v>369</v>
      </c>
      <c r="H111" s="57" t="s">
        <v>370</v>
      </c>
      <c r="I111" s="57" t="s">
        <v>540</v>
      </c>
    </row>
    <row r="112" spans="1:9" ht="27.6" x14ac:dyDescent="0.3">
      <c r="A112" s="54" t="s">
        <v>44</v>
      </c>
      <c r="B112" s="54" t="s">
        <v>242</v>
      </c>
      <c r="C112" s="54" t="s">
        <v>365</v>
      </c>
      <c r="D112" s="55" t="s">
        <v>371</v>
      </c>
      <c r="E112" s="55" t="s">
        <v>372</v>
      </c>
      <c r="F112" s="56">
        <v>578</v>
      </c>
      <c r="G112" s="57" t="s">
        <v>373</v>
      </c>
      <c r="H112" s="57" t="s">
        <v>141</v>
      </c>
      <c r="I112" s="57" t="s">
        <v>560</v>
      </c>
    </row>
    <row r="113" spans="1:9" ht="27.6" x14ac:dyDescent="0.3">
      <c r="A113" s="54" t="s">
        <v>44</v>
      </c>
      <c r="B113" s="54" t="s">
        <v>242</v>
      </c>
      <c r="C113" s="54" t="s">
        <v>374</v>
      </c>
      <c r="D113" s="55" t="s">
        <v>83</v>
      </c>
      <c r="E113" s="55" t="s">
        <v>375</v>
      </c>
      <c r="F113" s="56">
        <v>851</v>
      </c>
      <c r="G113" s="57" t="s">
        <v>376</v>
      </c>
      <c r="H113" s="57" t="s">
        <v>126</v>
      </c>
      <c r="I113" s="57" t="s">
        <v>572</v>
      </c>
    </row>
    <row r="114" spans="1:9" ht="27.6" x14ac:dyDescent="0.3">
      <c r="A114" s="54" t="s">
        <v>44</v>
      </c>
      <c r="B114" s="54" t="s">
        <v>242</v>
      </c>
      <c r="C114" s="54" t="s">
        <v>377</v>
      </c>
      <c r="D114" s="55" t="s">
        <v>378</v>
      </c>
      <c r="E114" s="55" t="s">
        <v>379</v>
      </c>
      <c r="F114" s="56">
        <v>69300</v>
      </c>
      <c r="G114" s="57" t="s">
        <v>380</v>
      </c>
      <c r="H114" s="57" t="s">
        <v>381</v>
      </c>
      <c r="I114" s="57" t="s">
        <v>568</v>
      </c>
    </row>
    <row r="115" spans="1:9" ht="27.6" x14ac:dyDescent="0.3">
      <c r="A115" s="54" t="s">
        <v>44</v>
      </c>
      <c r="B115" s="54" t="s">
        <v>242</v>
      </c>
      <c r="C115" s="54" t="s">
        <v>382</v>
      </c>
      <c r="D115" s="55" t="s">
        <v>351</v>
      </c>
      <c r="E115" s="55" t="s">
        <v>383</v>
      </c>
      <c r="F115" s="56">
        <v>5000</v>
      </c>
      <c r="G115" s="57" t="s">
        <v>384</v>
      </c>
      <c r="H115" s="57" t="s">
        <v>385</v>
      </c>
      <c r="I115" s="57" t="s">
        <v>536</v>
      </c>
    </row>
    <row r="116" spans="1:9" x14ac:dyDescent="0.3">
      <c r="A116" s="54" t="s">
        <v>44</v>
      </c>
      <c r="B116" s="54" t="s">
        <v>242</v>
      </c>
      <c r="C116" s="54" t="s">
        <v>386</v>
      </c>
      <c r="D116" s="55" t="s">
        <v>102</v>
      </c>
      <c r="E116" s="55" t="s">
        <v>387</v>
      </c>
      <c r="F116" s="56">
        <v>3593</v>
      </c>
      <c r="G116" s="57" t="s">
        <v>388</v>
      </c>
      <c r="H116" s="57" t="s">
        <v>185</v>
      </c>
      <c r="I116" s="57" t="s">
        <v>529</v>
      </c>
    </row>
    <row r="117" spans="1:9" ht="27.6" x14ac:dyDescent="0.3">
      <c r="A117" s="54" t="s">
        <v>44</v>
      </c>
      <c r="B117" s="54" t="s">
        <v>242</v>
      </c>
      <c r="C117" s="54" t="s">
        <v>386</v>
      </c>
      <c r="D117" s="55" t="s">
        <v>389</v>
      </c>
      <c r="E117" s="55" t="s">
        <v>390</v>
      </c>
      <c r="F117" s="56">
        <v>6000</v>
      </c>
      <c r="G117" s="57" t="s">
        <v>391</v>
      </c>
      <c r="H117" s="57" t="s">
        <v>306</v>
      </c>
      <c r="I117" s="57" t="s">
        <v>528</v>
      </c>
    </row>
    <row r="118" spans="1:9" ht="27.6" x14ac:dyDescent="0.3">
      <c r="A118" s="54" t="s">
        <v>44</v>
      </c>
      <c r="B118" s="54" t="s">
        <v>242</v>
      </c>
      <c r="C118" s="54" t="s">
        <v>392</v>
      </c>
      <c r="D118" s="55" t="s">
        <v>202</v>
      </c>
      <c r="E118" s="55" t="s">
        <v>393</v>
      </c>
      <c r="F118" s="56">
        <v>624</v>
      </c>
      <c r="G118" s="57" t="s">
        <v>394</v>
      </c>
      <c r="H118" s="57" t="s">
        <v>141</v>
      </c>
      <c r="I118" s="57" t="s">
        <v>560</v>
      </c>
    </row>
    <row r="119" spans="1:9" ht="27.6" x14ac:dyDescent="0.3">
      <c r="A119" s="54" t="s">
        <v>44</v>
      </c>
      <c r="B119" s="54" t="s">
        <v>242</v>
      </c>
      <c r="C119" s="54" t="s">
        <v>392</v>
      </c>
      <c r="D119" s="55" t="s">
        <v>102</v>
      </c>
      <c r="E119" s="55" t="s">
        <v>395</v>
      </c>
      <c r="F119" s="56">
        <v>3500</v>
      </c>
      <c r="G119" s="57" t="s">
        <v>396</v>
      </c>
      <c r="H119" s="57" t="s">
        <v>141</v>
      </c>
      <c r="I119" s="57" t="s">
        <v>560</v>
      </c>
    </row>
    <row r="120" spans="1:9" ht="27.6" x14ac:dyDescent="0.3">
      <c r="A120" s="54" t="s">
        <v>44</v>
      </c>
      <c r="B120" s="54" t="s">
        <v>242</v>
      </c>
      <c r="C120" s="54" t="s">
        <v>392</v>
      </c>
      <c r="D120" s="55" t="s">
        <v>102</v>
      </c>
      <c r="E120" s="55" t="s">
        <v>397</v>
      </c>
      <c r="F120" s="56">
        <v>3600</v>
      </c>
      <c r="G120" s="57" t="s">
        <v>398</v>
      </c>
      <c r="H120" s="57" t="s">
        <v>141</v>
      </c>
      <c r="I120" s="57" t="s">
        <v>560</v>
      </c>
    </row>
    <row r="121" spans="1:9" ht="27.6" x14ac:dyDescent="0.3">
      <c r="A121" s="54" t="s">
        <v>44</v>
      </c>
      <c r="B121" s="54" t="s">
        <v>242</v>
      </c>
      <c r="C121" s="54" t="s">
        <v>392</v>
      </c>
      <c r="D121" s="55" t="s">
        <v>102</v>
      </c>
      <c r="E121" s="55" t="s">
        <v>399</v>
      </c>
      <c r="F121" s="56">
        <v>3600</v>
      </c>
      <c r="G121" s="57" t="s">
        <v>400</v>
      </c>
      <c r="H121" s="57" t="s">
        <v>141</v>
      </c>
      <c r="I121" s="57" t="s">
        <v>560</v>
      </c>
    </row>
    <row r="122" spans="1:9" ht="41.4" x14ac:dyDescent="0.3">
      <c r="A122" s="54" t="s">
        <v>44</v>
      </c>
      <c r="B122" s="54" t="s">
        <v>242</v>
      </c>
      <c r="C122" s="54" t="s">
        <v>392</v>
      </c>
      <c r="D122" s="55" t="s">
        <v>142</v>
      </c>
      <c r="E122" s="55" t="s">
        <v>401</v>
      </c>
      <c r="F122" s="56">
        <v>2241</v>
      </c>
      <c r="G122" s="57" t="s">
        <v>402</v>
      </c>
      <c r="H122" s="57" t="s">
        <v>210</v>
      </c>
      <c r="I122" s="57" t="s">
        <v>544</v>
      </c>
    </row>
    <row r="123" spans="1:9" ht="41.4" x14ac:dyDescent="0.3">
      <c r="A123" s="54" t="s">
        <v>44</v>
      </c>
      <c r="B123" s="54" t="s">
        <v>242</v>
      </c>
      <c r="C123" s="54" t="s">
        <v>403</v>
      </c>
      <c r="D123" s="55" t="s">
        <v>123</v>
      </c>
      <c r="E123" s="55" t="s">
        <v>404</v>
      </c>
      <c r="F123" s="56">
        <v>2700</v>
      </c>
      <c r="G123" s="57" t="s">
        <v>405</v>
      </c>
      <c r="H123" s="57" t="s">
        <v>227</v>
      </c>
      <c r="I123" s="57" t="s">
        <v>540</v>
      </c>
    </row>
    <row r="124" spans="1:9" ht="27.6" x14ac:dyDescent="0.3">
      <c r="A124" s="54" t="s">
        <v>44</v>
      </c>
      <c r="B124" s="54" t="s">
        <v>242</v>
      </c>
      <c r="C124" s="54" t="s">
        <v>403</v>
      </c>
      <c r="D124" s="55" t="s">
        <v>123</v>
      </c>
      <c r="E124" s="55" t="s">
        <v>406</v>
      </c>
      <c r="F124" s="56">
        <v>1580</v>
      </c>
      <c r="G124" s="57" t="s">
        <v>407</v>
      </c>
      <c r="H124" s="57" t="s">
        <v>227</v>
      </c>
      <c r="I124" s="57" t="s">
        <v>540</v>
      </c>
    </row>
    <row r="125" spans="1:9" ht="27.6" x14ac:dyDescent="0.3">
      <c r="A125" s="54" t="s">
        <v>44</v>
      </c>
      <c r="B125" s="54" t="s">
        <v>242</v>
      </c>
      <c r="C125" s="54" t="s">
        <v>403</v>
      </c>
      <c r="D125" s="55" t="s">
        <v>123</v>
      </c>
      <c r="E125" s="55" t="s">
        <v>408</v>
      </c>
      <c r="F125" s="56">
        <v>2660</v>
      </c>
      <c r="G125" s="57" t="s">
        <v>409</v>
      </c>
      <c r="H125" s="57" t="s">
        <v>81</v>
      </c>
      <c r="I125" s="57" t="s">
        <v>570</v>
      </c>
    </row>
    <row r="126" spans="1:9" ht="27.6" x14ac:dyDescent="0.3">
      <c r="A126" s="54" t="s">
        <v>44</v>
      </c>
      <c r="B126" s="54" t="s">
        <v>242</v>
      </c>
      <c r="C126" s="54" t="s">
        <v>403</v>
      </c>
      <c r="D126" s="55" t="s">
        <v>142</v>
      </c>
      <c r="E126" s="55" t="s">
        <v>410</v>
      </c>
      <c r="F126" s="56">
        <v>9620</v>
      </c>
      <c r="G126" s="57" t="s">
        <v>411</v>
      </c>
      <c r="H126" s="57" t="s">
        <v>120</v>
      </c>
      <c r="I126" s="57" t="s">
        <v>558</v>
      </c>
    </row>
    <row r="127" spans="1:9" ht="27.6" x14ac:dyDescent="0.3">
      <c r="A127" s="54" t="s">
        <v>44</v>
      </c>
      <c r="B127" s="54" t="s">
        <v>242</v>
      </c>
      <c r="C127" s="54" t="s">
        <v>403</v>
      </c>
      <c r="D127" s="55" t="s">
        <v>142</v>
      </c>
      <c r="E127" s="55" t="s">
        <v>412</v>
      </c>
      <c r="F127" s="56">
        <v>5400</v>
      </c>
      <c r="G127" s="57" t="s">
        <v>413</v>
      </c>
      <c r="H127" s="57" t="s">
        <v>120</v>
      </c>
      <c r="I127" s="57" t="s">
        <v>558</v>
      </c>
    </row>
    <row r="128" spans="1:9" ht="27.6" x14ac:dyDescent="0.3">
      <c r="A128" s="54" t="s">
        <v>44</v>
      </c>
      <c r="B128" s="54" t="s">
        <v>242</v>
      </c>
      <c r="C128" s="54" t="s">
        <v>403</v>
      </c>
      <c r="D128" s="55" t="s">
        <v>142</v>
      </c>
      <c r="E128" s="55" t="s">
        <v>414</v>
      </c>
      <c r="F128" s="56">
        <v>2660</v>
      </c>
      <c r="G128" s="57" t="s">
        <v>415</v>
      </c>
      <c r="H128" s="57" t="s">
        <v>81</v>
      </c>
      <c r="I128" s="57" t="s">
        <v>570</v>
      </c>
    </row>
    <row r="129" spans="1:9" ht="27.6" x14ac:dyDescent="0.3">
      <c r="A129" s="54" t="s">
        <v>44</v>
      </c>
      <c r="B129" s="54" t="s">
        <v>242</v>
      </c>
      <c r="C129" s="54" t="s">
        <v>416</v>
      </c>
      <c r="D129" s="55" t="s">
        <v>173</v>
      </c>
      <c r="E129" s="55" t="s">
        <v>417</v>
      </c>
      <c r="F129" s="56">
        <v>638</v>
      </c>
      <c r="G129" s="57" t="s">
        <v>418</v>
      </c>
      <c r="H129" s="57" t="s">
        <v>126</v>
      </c>
      <c r="I129" s="57" t="s">
        <v>572</v>
      </c>
    </row>
    <row r="130" spans="1:9" ht="41.4" x14ac:dyDescent="0.3">
      <c r="A130" s="54" t="s">
        <v>44</v>
      </c>
      <c r="B130" s="54" t="s">
        <v>242</v>
      </c>
      <c r="C130" s="54" t="s">
        <v>416</v>
      </c>
      <c r="D130" s="55" t="s">
        <v>142</v>
      </c>
      <c r="E130" s="55" t="s">
        <v>419</v>
      </c>
      <c r="F130" s="56">
        <v>7465</v>
      </c>
      <c r="G130" s="57" t="s">
        <v>420</v>
      </c>
      <c r="H130" s="57" t="s">
        <v>105</v>
      </c>
      <c r="I130" s="57" t="s">
        <v>574</v>
      </c>
    </row>
    <row r="131" spans="1:9" ht="27.6" x14ac:dyDescent="0.3">
      <c r="A131" s="54" t="s">
        <v>44</v>
      </c>
      <c r="B131" s="54" t="s">
        <v>242</v>
      </c>
      <c r="C131" s="54" t="s">
        <v>421</v>
      </c>
      <c r="D131" s="55" t="s">
        <v>47</v>
      </c>
      <c r="E131" s="55" t="s">
        <v>422</v>
      </c>
      <c r="F131" s="56">
        <v>4084</v>
      </c>
      <c r="G131" s="57" t="s">
        <v>423</v>
      </c>
      <c r="H131" s="57" t="s">
        <v>287</v>
      </c>
      <c r="I131" s="57" t="s">
        <v>541</v>
      </c>
    </row>
    <row r="132" spans="1:9" ht="27.6" x14ac:dyDescent="0.3">
      <c r="A132" s="54" t="s">
        <v>44</v>
      </c>
      <c r="B132" s="54" t="s">
        <v>242</v>
      </c>
      <c r="C132" s="54" t="s">
        <v>421</v>
      </c>
      <c r="D132" s="55" t="s">
        <v>47</v>
      </c>
      <c r="E132" s="55" t="s">
        <v>424</v>
      </c>
      <c r="F132" s="56">
        <v>3063</v>
      </c>
      <c r="G132" s="57" t="s">
        <v>425</v>
      </c>
      <c r="H132" s="57" t="s">
        <v>194</v>
      </c>
      <c r="I132" s="57" t="s">
        <v>542</v>
      </c>
    </row>
    <row r="133" spans="1:9" ht="27.6" x14ac:dyDescent="0.3">
      <c r="A133" s="54" t="s">
        <v>44</v>
      </c>
      <c r="B133" s="54" t="s">
        <v>242</v>
      </c>
      <c r="C133" s="54" t="s">
        <v>421</v>
      </c>
      <c r="D133" s="55" t="s">
        <v>47</v>
      </c>
      <c r="E133" s="55" t="s">
        <v>426</v>
      </c>
      <c r="F133" s="56">
        <v>4084</v>
      </c>
      <c r="G133" s="57" t="s">
        <v>427</v>
      </c>
      <c r="H133" s="57" t="s">
        <v>210</v>
      </c>
      <c r="I133" s="57" t="s">
        <v>544</v>
      </c>
    </row>
    <row r="134" spans="1:9" ht="41.4" x14ac:dyDescent="0.3">
      <c r="A134" s="54" t="s">
        <v>44</v>
      </c>
      <c r="B134" s="54" t="s">
        <v>242</v>
      </c>
      <c r="C134" s="54" t="s">
        <v>421</v>
      </c>
      <c r="D134" s="55" t="s">
        <v>165</v>
      </c>
      <c r="E134" s="55" t="s">
        <v>428</v>
      </c>
      <c r="F134" s="56">
        <v>4550</v>
      </c>
      <c r="G134" s="57" t="s">
        <v>429</v>
      </c>
      <c r="H134" s="57" t="s">
        <v>168</v>
      </c>
      <c r="I134" s="57" t="s">
        <v>564</v>
      </c>
    </row>
    <row r="135" spans="1:9" ht="27.6" x14ac:dyDescent="0.3">
      <c r="A135" s="54" t="s">
        <v>44</v>
      </c>
      <c r="B135" s="54" t="s">
        <v>242</v>
      </c>
      <c r="C135" s="54" t="s">
        <v>430</v>
      </c>
      <c r="D135" s="55" t="s">
        <v>47</v>
      </c>
      <c r="E135" s="55" t="s">
        <v>431</v>
      </c>
      <c r="F135" s="56">
        <v>4084</v>
      </c>
      <c r="G135" s="57" t="s">
        <v>432</v>
      </c>
      <c r="H135" s="57" t="s">
        <v>185</v>
      </c>
      <c r="I135" s="57" t="s">
        <v>529</v>
      </c>
    </row>
    <row r="136" spans="1:9" ht="27.6" x14ac:dyDescent="0.3">
      <c r="A136" s="54" t="s">
        <v>44</v>
      </c>
      <c r="B136" s="54" t="s">
        <v>242</v>
      </c>
      <c r="C136" s="54" t="s">
        <v>430</v>
      </c>
      <c r="D136" s="55" t="s">
        <v>47</v>
      </c>
      <c r="E136" s="55" t="s">
        <v>433</v>
      </c>
      <c r="F136" s="56">
        <v>4084</v>
      </c>
      <c r="G136" s="57" t="s">
        <v>434</v>
      </c>
      <c r="H136" s="57" t="s">
        <v>287</v>
      </c>
      <c r="I136" s="57" t="s">
        <v>541</v>
      </c>
    </row>
    <row r="137" spans="1:9" ht="27.6" x14ac:dyDescent="0.3">
      <c r="A137" s="54" t="s">
        <v>44</v>
      </c>
      <c r="B137" s="54" t="s">
        <v>242</v>
      </c>
      <c r="C137" s="54" t="s">
        <v>430</v>
      </c>
      <c r="D137" s="55" t="s">
        <v>47</v>
      </c>
      <c r="E137" s="55" t="s">
        <v>435</v>
      </c>
      <c r="F137" s="56">
        <v>4084</v>
      </c>
      <c r="G137" s="57" t="s">
        <v>436</v>
      </c>
      <c r="H137" s="57" t="s">
        <v>210</v>
      </c>
      <c r="I137" s="57" t="s">
        <v>544</v>
      </c>
    </row>
    <row r="138" spans="1:9" ht="27.6" x14ac:dyDescent="0.3">
      <c r="A138" s="54" t="s">
        <v>44</v>
      </c>
      <c r="B138" s="54" t="s">
        <v>242</v>
      </c>
      <c r="C138" s="54" t="s">
        <v>430</v>
      </c>
      <c r="D138" s="55" t="s">
        <v>47</v>
      </c>
      <c r="E138" s="55" t="s">
        <v>437</v>
      </c>
      <c r="F138" s="56">
        <v>2042</v>
      </c>
      <c r="G138" s="57" t="s">
        <v>438</v>
      </c>
      <c r="H138" s="57" t="s">
        <v>199</v>
      </c>
      <c r="I138" s="57" t="s">
        <v>566</v>
      </c>
    </row>
    <row r="139" spans="1:9" ht="27.6" x14ac:dyDescent="0.3">
      <c r="A139" s="54" t="s">
        <v>44</v>
      </c>
      <c r="B139" s="54" t="s">
        <v>242</v>
      </c>
      <c r="C139" s="54" t="s">
        <v>430</v>
      </c>
      <c r="D139" s="55" t="s">
        <v>47</v>
      </c>
      <c r="E139" s="55" t="s">
        <v>439</v>
      </c>
      <c r="F139" s="56">
        <v>2042</v>
      </c>
      <c r="G139" s="57" t="s">
        <v>440</v>
      </c>
      <c r="H139" s="57" t="s">
        <v>199</v>
      </c>
      <c r="I139" s="57" t="s">
        <v>566</v>
      </c>
    </row>
    <row r="140" spans="1:9" ht="27.6" x14ac:dyDescent="0.3">
      <c r="A140" s="54" t="s">
        <v>44</v>
      </c>
      <c r="B140" s="54" t="s">
        <v>242</v>
      </c>
      <c r="C140" s="54" t="s">
        <v>430</v>
      </c>
      <c r="D140" s="55" t="s">
        <v>47</v>
      </c>
      <c r="E140" s="55" t="s">
        <v>441</v>
      </c>
      <c r="F140" s="56">
        <v>2042</v>
      </c>
      <c r="G140" s="57" t="s">
        <v>442</v>
      </c>
      <c r="H140" s="57" t="s">
        <v>199</v>
      </c>
      <c r="I140" s="57" t="s">
        <v>566</v>
      </c>
    </row>
    <row r="141" spans="1:9" ht="27.6" x14ac:dyDescent="0.3">
      <c r="A141" s="54" t="s">
        <v>44</v>
      </c>
      <c r="B141" s="54" t="s">
        <v>242</v>
      </c>
      <c r="C141" s="54" t="s">
        <v>430</v>
      </c>
      <c r="D141" s="55" t="s">
        <v>47</v>
      </c>
      <c r="E141" s="55" t="s">
        <v>443</v>
      </c>
      <c r="F141" s="56">
        <v>2042</v>
      </c>
      <c r="G141" s="57" t="s">
        <v>444</v>
      </c>
      <c r="H141" s="57" t="s">
        <v>199</v>
      </c>
      <c r="I141" s="57" t="s">
        <v>566</v>
      </c>
    </row>
    <row r="142" spans="1:9" ht="27.6" x14ac:dyDescent="0.3">
      <c r="A142" s="54" t="s">
        <v>44</v>
      </c>
      <c r="B142" s="54" t="s">
        <v>242</v>
      </c>
      <c r="C142" s="54" t="s">
        <v>430</v>
      </c>
      <c r="D142" s="55" t="s">
        <v>47</v>
      </c>
      <c r="E142" s="55" t="s">
        <v>445</v>
      </c>
      <c r="F142" s="56">
        <v>6127</v>
      </c>
      <c r="G142" s="57" t="s">
        <v>446</v>
      </c>
      <c r="H142" s="57" t="s">
        <v>381</v>
      </c>
      <c r="I142" s="57" t="s">
        <v>568</v>
      </c>
    </row>
    <row r="143" spans="1:9" x14ac:dyDescent="0.3">
      <c r="A143" s="54" t="s">
        <v>44</v>
      </c>
      <c r="B143" s="54" t="s">
        <v>242</v>
      </c>
      <c r="C143" s="54" t="s">
        <v>447</v>
      </c>
      <c r="D143" s="55" t="s">
        <v>238</v>
      </c>
      <c r="E143" s="55" t="s">
        <v>448</v>
      </c>
      <c r="F143" s="56">
        <v>6842</v>
      </c>
      <c r="G143" s="57" t="s">
        <v>449</v>
      </c>
      <c r="H143" s="57" t="s">
        <v>450</v>
      </c>
      <c r="I143" s="57" t="s">
        <v>548</v>
      </c>
    </row>
    <row r="144" spans="1:9" x14ac:dyDescent="0.3">
      <c r="A144" s="54" t="s">
        <v>44</v>
      </c>
      <c r="B144" s="54" t="s">
        <v>242</v>
      </c>
      <c r="C144" s="54" t="s">
        <v>451</v>
      </c>
      <c r="D144" s="55" t="s">
        <v>238</v>
      </c>
      <c r="E144" s="55" t="s">
        <v>452</v>
      </c>
      <c r="F144" s="56">
        <v>6160</v>
      </c>
      <c r="G144" s="57" t="s">
        <v>453</v>
      </c>
      <c r="H144" s="57" t="s">
        <v>450</v>
      </c>
      <c r="I144" s="57" t="s">
        <v>548</v>
      </c>
    </row>
    <row r="145" spans="1:9" ht="27.6" x14ac:dyDescent="0.3">
      <c r="A145" s="54" t="s">
        <v>44</v>
      </c>
      <c r="B145" s="54" t="s">
        <v>242</v>
      </c>
      <c r="C145" s="54" t="s">
        <v>454</v>
      </c>
      <c r="D145" s="55" t="s">
        <v>47</v>
      </c>
      <c r="E145" s="55" t="s">
        <v>455</v>
      </c>
      <c r="F145" s="56">
        <v>4084</v>
      </c>
      <c r="G145" s="57" t="s">
        <v>456</v>
      </c>
      <c r="H145" s="57" t="s">
        <v>287</v>
      </c>
      <c r="I145" s="57" t="s">
        <v>541</v>
      </c>
    </row>
    <row r="146" spans="1:9" ht="27.6" x14ac:dyDescent="0.3">
      <c r="A146" s="54" t="s">
        <v>44</v>
      </c>
      <c r="B146" s="54" t="s">
        <v>242</v>
      </c>
      <c r="C146" s="54" t="s">
        <v>454</v>
      </c>
      <c r="D146" s="55" t="s">
        <v>47</v>
      </c>
      <c r="E146" s="55" t="s">
        <v>457</v>
      </c>
      <c r="F146" s="56">
        <v>6127</v>
      </c>
      <c r="G146" s="57" t="s">
        <v>458</v>
      </c>
      <c r="H146" s="57" t="s">
        <v>86</v>
      </c>
      <c r="I146" s="57" t="s">
        <v>556</v>
      </c>
    </row>
    <row r="147" spans="1:9" ht="27.6" x14ac:dyDescent="0.3">
      <c r="A147" s="54" t="s">
        <v>44</v>
      </c>
      <c r="B147" s="54" t="s">
        <v>242</v>
      </c>
      <c r="C147" s="54" t="s">
        <v>454</v>
      </c>
      <c r="D147" s="55" t="s">
        <v>47</v>
      </c>
      <c r="E147" s="55" t="s">
        <v>459</v>
      </c>
      <c r="F147" s="56">
        <v>2042</v>
      </c>
      <c r="G147" s="57" t="s">
        <v>460</v>
      </c>
      <c r="H147" s="57" t="s">
        <v>86</v>
      </c>
      <c r="I147" s="57" t="s">
        <v>556</v>
      </c>
    </row>
    <row r="148" spans="1:9" ht="27.6" x14ac:dyDescent="0.3">
      <c r="A148" s="54" t="s">
        <v>44</v>
      </c>
      <c r="B148" s="54" t="s">
        <v>242</v>
      </c>
      <c r="C148" s="54" t="s">
        <v>461</v>
      </c>
      <c r="D148" s="55" t="s">
        <v>238</v>
      </c>
      <c r="E148" s="55" t="s">
        <v>462</v>
      </c>
      <c r="F148" s="56">
        <v>6403</v>
      </c>
      <c r="G148" s="57" t="s">
        <v>463</v>
      </c>
      <c r="H148" s="57" t="s">
        <v>230</v>
      </c>
      <c r="I148" s="57" t="s">
        <v>538</v>
      </c>
    </row>
    <row r="149" spans="1:9" ht="27.6" x14ac:dyDescent="0.3">
      <c r="A149" s="54" t="s">
        <v>44</v>
      </c>
      <c r="B149" s="54" t="s">
        <v>242</v>
      </c>
      <c r="C149" s="54" t="s">
        <v>464</v>
      </c>
      <c r="D149" s="55" t="s">
        <v>238</v>
      </c>
      <c r="E149" s="55" t="s">
        <v>465</v>
      </c>
      <c r="F149" s="56">
        <v>3188</v>
      </c>
      <c r="G149" s="57" t="s">
        <v>466</v>
      </c>
      <c r="H149" s="57" t="s">
        <v>230</v>
      </c>
      <c r="I149" s="57" t="s">
        <v>538</v>
      </c>
    </row>
    <row r="150" spans="1:9" ht="27.6" x14ac:dyDescent="0.3">
      <c r="A150" s="54" t="s">
        <v>44</v>
      </c>
      <c r="B150" s="54" t="s">
        <v>242</v>
      </c>
      <c r="C150" s="54" t="s">
        <v>467</v>
      </c>
      <c r="D150" s="55" t="s">
        <v>238</v>
      </c>
      <c r="E150" s="55" t="s">
        <v>468</v>
      </c>
      <c r="F150" s="56">
        <v>13044</v>
      </c>
      <c r="G150" s="57" t="s">
        <v>469</v>
      </c>
      <c r="H150" s="57" t="s">
        <v>230</v>
      </c>
      <c r="I150" s="57" t="s">
        <v>538</v>
      </c>
    </row>
    <row r="151" spans="1:9" ht="27.6" x14ac:dyDescent="0.3">
      <c r="A151" s="54" t="s">
        <v>44</v>
      </c>
      <c r="B151" s="54" t="s">
        <v>242</v>
      </c>
      <c r="C151" s="54" t="s">
        <v>470</v>
      </c>
      <c r="D151" s="55" t="s">
        <v>238</v>
      </c>
      <c r="E151" s="55" t="s">
        <v>471</v>
      </c>
      <c r="F151" s="56">
        <v>13044</v>
      </c>
      <c r="G151" s="57" t="s">
        <v>472</v>
      </c>
      <c r="H151" s="57" t="s">
        <v>230</v>
      </c>
      <c r="I151" s="57" t="s">
        <v>538</v>
      </c>
    </row>
    <row r="152" spans="1:9" ht="27.6" x14ac:dyDescent="0.3">
      <c r="A152" s="54" t="s">
        <v>44</v>
      </c>
      <c r="B152" s="54" t="s">
        <v>242</v>
      </c>
      <c r="C152" s="54" t="s">
        <v>473</v>
      </c>
      <c r="D152" s="55" t="s">
        <v>142</v>
      </c>
      <c r="E152" s="55" t="s">
        <v>474</v>
      </c>
      <c r="F152" s="56">
        <v>1000</v>
      </c>
      <c r="G152" s="57" t="s">
        <v>475</v>
      </c>
      <c r="H152" s="57" t="s">
        <v>230</v>
      </c>
      <c r="I152" s="57" t="s">
        <v>538</v>
      </c>
    </row>
    <row r="153" spans="1:9" ht="27.6" x14ac:dyDescent="0.3">
      <c r="A153" s="54" t="s">
        <v>44</v>
      </c>
      <c r="B153" s="54" t="s">
        <v>242</v>
      </c>
      <c r="C153" s="54" t="s">
        <v>473</v>
      </c>
      <c r="D153" s="55" t="s">
        <v>142</v>
      </c>
      <c r="E153" s="55" t="s">
        <v>476</v>
      </c>
      <c r="F153" s="56">
        <v>1000</v>
      </c>
      <c r="G153" s="57" t="s">
        <v>477</v>
      </c>
      <c r="H153" s="57" t="s">
        <v>230</v>
      </c>
      <c r="I153" s="57" t="s">
        <v>538</v>
      </c>
    </row>
    <row r="154" spans="1:9" ht="27.6" x14ac:dyDescent="0.3">
      <c r="A154" s="54" t="s">
        <v>44</v>
      </c>
      <c r="B154" s="54" t="s">
        <v>242</v>
      </c>
      <c r="C154" s="54" t="s">
        <v>478</v>
      </c>
      <c r="D154" s="55" t="s">
        <v>47</v>
      </c>
      <c r="E154" s="55" t="s">
        <v>479</v>
      </c>
      <c r="F154" s="56">
        <v>4084</v>
      </c>
      <c r="G154" s="57" t="s">
        <v>480</v>
      </c>
      <c r="H154" s="57" t="s">
        <v>94</v>
      </c>
      <c r="I154" s="57" t="s">
        <v>552</v>
      </c>
    </row>
    <row r="155" spans="1:9" ht="27.6" x14ac:dyDescent="0.3">
      <c r="A155" s="54" t="s">
        <v>44</v>
      </c>
      <c r="B155" s="54" t="s">
        <v>242</v>
      </c>
      <c r="C155" s="54" t="s">
        <v>478</v>
      </c>
      <c r="D155" s="55" t="s">
        <v>47</v>
      </c>
      <c r="E155" s="55" t="s">
        <v>481</v>
      </c>
      <c r="F155" s="56">
        <v>2042</v>
      </c>
      <c r="G155" s="57" t="s">
        <v>482</v>
      </c>
      <c r="H155" s="57" t="s">
        <v>199</v>
      </c>
      <c r="I155" s="57" t="s">
        <v>566</v>
      </c>
    </row>
    <row r="156" spans="1:9" x14ac:dyDescent="0.3">
      <c r="A156" s="54" t="s">
        <v>44</v>
      </c>
      <c r="B156" s="54" t="s">
        <v>242</v>
      </c>
      <c r="C156" s="54" t="s">
        <v>483</v>
      </c>
      <c r="D156" s="55" t="s">
        <v>238</v>
      </c>
      <c r="E156" s="55" t="s">
        <v>484</v>
      </c>
      <c r="F156" s="56">
        <v>4792</v>
      </c>
      <c r="G156" s="57" t="s">
        <v>485</v>
      </c>
      <c r="H156" s="57" t="s">
        <v>81</v>
      </c>
      <c r="I156" s="57" t="s">
        <v>570</v>
      </c>
    </row>
    <row r="157" spans="1:9" ht="27.6" x14ac:dyDescent="0.3">
      <c r="A157" s="54" t="s">
        <v>44</v>
      </c>
      <c r="B157" s="54" t="s">
        <v>242</v>
      </c>
      <c r="C157" s="54" t="s">
        <v>486</v>
      </c>
      <c r="D157" s="55" t="s">
        <v>47</v>
      </c>
      <c r="E157" s="55" t="s">
        <v>487</v>
      </c>
      <c r="F157" s="56">
        <v>44847</v>
      </c>
      <c r="G157" s="57" t="s">
        <v>488</v>
      </c>
      <c r="H157" s="57" t="s">
        <v>287</v>
      </c>
      <c r="I157" s="57" t="s">
        <v>541</v>
      </c>
    </row>
    <row r="158" spans="1:9" x14ac:dyDescent="0.3">
      <c r="A158" s="54" t="s">
        <v>44</v>
      </c>
      <c r="B158" s="54" t="s">
        <v>242</v>
      </c>
      <c r="C158" s="54" t="s">
        <v>489</v>
      </c>
      <c r="D158" s="55" t="s">
        <v>238</v>
      </c>
      <c r="E158" s="55" t="s">
        <v>490</v>
      </c>
      <c r="F158" s="56">
        <v>3261</v>
      </c>
      <c r="G158" s="57" t="s">
        <v>491</v>
      </c>
      <c r="H158" s="57" t="s">
        <v>241</v>
      </c>
      <c r="I158" s="57" t="s">
        <v>533</v>
      </c>
    </row>
    <row r="159" spans="1:9" x14ac:dyDescent="0.3">
      <c r="A159" s="54" t="s">
        <v>44</v>
      </c>
      <c r="B159" s="54" t="s">
        <v>242</v>
      </c>
      <c r="C159" s="54" t="s">
        <v>492</v>
      </c>
      <c r="D159" s="55" t="s">
        <v>238</v>
      </c>
      <c r="E159" s="55" t="s">
        <v>493</v>
      </c>
      <c r="F159" s="56">
        <v>3261</v>
      </c>
      <c r="G159" s="57" t="s">
        <v>491</v>
      </c>
      <c r="H159" s="57" t="s">
        <v>241</v>
      </c>
      <c r="I159" s="57" t="s">
        <v>533</v>
      </c>
    </row>
    <row r="160" spans="1:9" x14ac:dyDescent="0.3">
      <c r="A160" s="54" t="s">
        <v>44</v>
      </c>
      <c r="B160" s="54" t="s">
        <v>242</v>
      </c>
      <c r="C160" s="54" t="s">
        <v>494</v>
      </c>
      <c r="D160" s="55" t="s">
        <v>238</v>
      </c>
      <c r="E160" s="55" t="s">
        <v>495</v>
      </c>
      <c r="F160" s="56">
        <v>3261</v>
      </c>
      <c r="G160" s="57" t="s">
        <v>491</v>
      </c>
      <c r="H160" s="57" t="s">
        <v>241</v>
      </c>
      <c r="I160" s="57" t="s">
        <v>533</v>
      </c>
    </row>
    <row r="161" spans="1:9" x14ac:dyDescent="0.3">
      <c r="A161" s="54" t="s">
        <v>44</v>
      </c>
      <c r="B161" s="54" t="s">
        <v>242</v>
      </c>
      <c r="C161" s="54" t="s">
        <v>496</v>
      </c>
      <c r="D161" s="55" t="s">
        <v>238</v>
      </c>
      <c r="E161" s="55" t="s">
        <v>497</v>
      </c>
      <c r="F161" s="56">
        <v>3261</v>
      </c>
      <c r="G161" s="57" t="s">
        <v>491</v>
      </c>
      <c r="H161" s="57" t="s">
        <v>241</v>
      </c>
      <c r="I161" s="57" t="s">
        <v>533</v>
      </c>
    </row>
    <row r="162" spans="1:9" x14ac:dyDescent="0.3">
      <c r="A162" s="54" t="s">
        <v>44</v>
      </c>
      <c r="B162" s="54" t="s">
        <v>242</v>
      </c>
      <c r="C162" s="54" t="s">
        <v>498</v>
      </c>
      <c r="D162" s="55" t="s">
        <v>238</v>
      </c>
      <c r="E162" s="55" t="s">
        <v>499</v>
      </c>
      <c r="F162" s="56">
        <v>3261</v>
      </c>
      <c r="G162" s="57" t="s">
        <v>491</v>
      </c>
      <c r="H162" s="57" t="s">
        <v>241</v>
      </c>
      <c r="I162" s="57" t="s">
        <v>533</v>
      </c>
    </row>
    <row r="163" spans="1:9" ht="27.6" x14ac:dyDescent="0.3">
      <c r="A163" s="54" t="s">
        <v>44</v>
      </c>
      <c r="B163" s="54" t="s">
        <v>242</v>
      </c>
      <c r="C163" s="54" t="s">
        <v>500</v>
      </c>
      <c r="D163" s="55" t="s">
        <v>238</v>
      </c>
      <c r="E163" s="55" t="s">
        <v>501</v>
      </c>
      <c r="F163" s="56">
        <v>1201</v>
      </c>
      <c r="G163" s="57" t="s">
        <v>502</v>
      </c>
      <c r="H163" s="57" t="s">
        <v>94</v>
      </c>
      <c r="I163" s="57" t="s">
        <v>552</v>
      </c>
    </row>
    <row r="164" spans="1:9" ht="27.6" x14ac:dyDescent="0.3">
      <c r="A164" s="54" t="s">
        <v>44</v>
      </c>
      <c r="B164" s="54" t="s">
        <v>242</v>
      </c>
      <c r="C164" s="54" t="s">
        <v>500</v>
      </c>
      <c r="D164" s="55" t="s">
        <v>47</v>
      </c>
      <c r="E164" s="55" t="s">
        <v>503</v>
      </c>
      <c r="F164" s="56">
        <v>4084</v>
      </c>
      <c r="G164" s="57" t="s">
        <v>504</v>
      </c>
      <c r="H164" s="57" t="s">
        <v>287</v>
      </c>
      <c r="I164" s="57" t="s">
        <v>541</v>
      </c>
    </row>
    <row r="165" spans="1:9" ht="27.6" x14ac:dyDescent="0.3">
      <c r="A165" s="54" t="s">
        <v>44</v>
      </c>
      <c r="B165" s="54" t="s">
        <v>242</v>
      </c>
      <c r="C165" s="54" t="s">
        <v>500</v>
      </c>
      <c r="D165" s="55" t="s">
        <v>47</v>
      </c>
      <c r="E165" s="55" t="s">
        <v>505</v>
      </c>
      <c r="F165" s="56">
        <v>4084</v>
      </c>
      <c r="G165" s="57" t="s">
        <v>506</v>
      </c>
      <c r="H165" s="57" t="s">
        <v>287</v>
      </c>
      <c r="I165" s="57" t="s">
        <v>541</v>
      </c>
    </row>
    <row r="166" spans="1:9" ht="27.6" x14ac:dyDescent="0.3">
      <c r="A166" s="54" t="s">
        <v>44</v>
      </c>
      <c r="B166" s="54" t="s">
        <v>242</v>
      </c>
      <c r="C166" s="54" t="s">
        <v>500</v>
      </c>
      <c r="D166" s="55" t="s">
        <v>47</v>
      </c>
      <c r="E166" s="55" t="s">
        <v>507</v>
      </c>
      <c r="F166" s="56">
        <v>2042</v>
      </c>
      <c r="G166" s="57" t="s">
        <v>508</v>
      </c>
      <c r="H166" s="57" t="s">
        <v>94</v>
      </c>
      <c r="I166" s="57" t="s">
        <v>552</v>
      </c>
    </row>
    <row r="167" spans="1:9" ht="27.6" x14ac:dyDescent="0.3">
      <c r="A167" s="54" t="s">
        <v>44</v>
      </c>
      <c r="B167" s="54" t="s">
        <v>242</v>
      </c>
      <c r="C167" s="54" t="s">
        <v>500</v>
      </c>
      <c r="D167" s="55" t="s">
        <v>47</v>
      </c>
      <c r="E167" s="55" t="s">
        <v>509</v>
      </c>
      <c r="F167" s="56">
        <v>4084</v>
      </c>
      <c r="G167" s="57" t="s">
        <v>510</v>
      </c>
      <c r="H167" s="57" t="s">
        <v>94</v>
      </c>
      <c r="I167" s="57" t="s">
        <v>552</v>
      </c>
    </row>
    <row r="168" spans="1:9" ht="41.4" x14ac:dyDescent="0.3">
      <c r="A168" s="54" t="s">
        <v>44</v>
      </c>
      <c r="B168" s="54" t="s">
        <v>242</v>
      </c>
      <c r="C168" s="54" t="s">
        <v>500</v>
      </c>
      <c r="D168" s="55" t="s">
        <v>47</v>
      </c>
      <c r="E168" s="55" t="s">
        <v>511</v>
      </c>
      <c r="F168" s="56">
        <v>4084</v>
      </c>
      <c r="G168" s="57" t="s">
        <v>512</v>
      </c>
      <c r="H168" s="57" t="s">
        <v>136</v>
      </c>
      <c r="I168" s="57" t="s">
        <v>554</v>
      </c>
    </row>
    <row r="169" spans="1:9" ht="27.6" x14ac:dyDescent="0.3">
      <c r="A169" s="54" t="s">
        <v>44</v>
      </c>
      <c r="B169" s="54" t="s">
        <v>242</v>
      </c>
      <c r="C169" s="54" t="s">
        <v>513</v>
      </c>
      <c r="D169" s="55" t="s">
        <v>47</v>
      </c>
      <c r="E169" s="55" t="s">
        <v>514</v>
      </c>
      <c r="F169" s="56">
        <v>2042</v>
      </c>
      <c r="G169" s="57" t="s">
        <v>515</v>
      </c>
      <c r="H169" s="57" t="s">
        <v>86</v>
      </c>
      <c r="I169" s="57" t="s">
        <v>556</v>
      </c>
    </row>
    <row r="170" spans="1:9" ht="27.6" x14ac:dyDescent="0.3">
      <c r="A170" s="54" t="s">
        <v>44</v>
      </c>
      <c r="B170" s="54" t="s">
        <v>242</v>
      </c>
      <c r="C170" s="54" t="s">
        <v>513</v>
      </c>
      <c r="D170" s="55" t="s">
        <v>47</v>
      </c>
      <c r="E170" s="55" t="s">
        <v>516</v>
      </c>
      <c r="F170" s="56">
        <v>2042</v>
      </c>
      <c r="G170" s="57" t="s">
        <v>517</v>
      </c>
      <c r="H170" s="57" t="s">
        <v>86</v>
      </c>
      <c r="I170" s="57" t="s">
        <v>556</v>
      </c>
    </row>
    <row r="171" spans="1:9" ht="27.6" x14ac:dyDescent="0.3">
      <c r="A171" s="54" t="s">
        <v>44</v>
      </c>
      <c r="B171" s="54" t="s">
        <v>242</v>
      </c>
      <c r="C171" s="54" t="s">
        <v>518</v>
      </c>
      <c r="D171" s="55" t="s">
        <v>47</v>
      </c>
      <c r="E171" s="55" t="s">
        <v>519</v>
      </c>
      <c r="F171" s="56">
        <v>2042</v>
      </c>
      <c r="G171" s="57" t="s">
        <v>520</v>
      </c>
      <c r="H171" s="57" t="s">
        <v>199</v>
      </c>
      <c r="I171" s="57" t="s">
        <v>566</v>
      </c>
    </row>
  </sheetData>
  <autoFilter ref="A1:J171" xr:uid="{84B8FC49-91D0-4F87-A0FD-3585AAB182B1}"/>
  <phoneticPr fontId="5"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1</vt:i4>
      </vt:variant>
    </vt:vector>
  </HeadingPairs>
  <TitlesOfParts>
    <vt:vector size="3" baseType="lpstr">
      <vt:lpstr>工作表1</vt:lpstr>
      <vt:lpstr>業務費</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于欣 趙</cp:lastModifiedBy>
  <cp:lastPrinted>2019-11-27T07:41:44Z</cp:lastPrinted>
  <dcterms:created xsi:type="dcterms:W3CDTF">2019-11-19T07:34:42Z</dcterms:created>
  <dcterms:modified xsi:type="dcterms:W3CDTF">2026-01-08T01:27:25Z</dcterms:modified>
</cp:coreProperties>
</file>