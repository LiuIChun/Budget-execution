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192.168.115.68\小天地\00改質躍升\第二輪(114-115年)躍升二期\第二年\06經費執行與控管\收支明細\"/>
    </mc:Choice>
  </mc:AlternateContent>
  <xr:revisionPtr revIDLastSave="0" documentId="13_ncr:1_{F02D1549-838D-40A3-9918-538466F4A2D7}" xr6:coauthVersionLast="47" xr6:coauthVersionMax="47" xr10:uidLastSave="{00000000-0000-0000-0000-000000000000}"/>
  <bookViews>
    <workbookView xWindow="-108" yWindow="-108" windowWidth="23256" windowHeight="12456" activeTab="1" xr2:uid="{4EC6783E-8B01-40B7-860E-F4AD7D070EAA}"/>
  </bookViews>
  <sheets>
    <sheet name="工作表1" sheetId="1" r:id="rId1"/>
    <sheet name="業務費" sheetId="3" r:id="rId2"/>
    <sheet name="國外旅費" sheetId="4" r:id="rId3"/>
    <sheet name="無形資產" sheetId="5" r:id="rId4"/>
    <sheet name="設備費" sheetId="2" r:id="rId5"/>
  </sheets>
  <definedNames>
    <definedName name="_xlnm._FilterDatabase" localSheetId="4" hidden="1">設備費!$A$1:$H$1</definedName>
    <definedName name="_xlnm._FilterDatabase" localSheetId="3" hidden="1">無形資產!$A$1:$H$1</definedName>
    <definedName name="_xlnm._FilterDatabase" localSheetId="1" hidden="1">業務費!$A$1:$H$218</definedName>
    <definedName name="_xlnm.Print_Titles" localSheetId="0">工作表1!$19:$19</definedName>
    <definedName name="Slicer_經費用途">#N/A</definedName>
    <definedName name="Slicer_經費用途1">#N/A</definedName>
    <definedName name="Slicer_經費用途2">#N/A</definedName>
    <definedName name="Slicer_經費用途3">#N/A</definedName>
  </definedNames>
  <calcPr calcId="191029"/>
  <pivotCaches>
    <pivotCache cacheId="0" r:id="rId6"/>
    <pivotCache cacheId="1" r:id="rId7"/>
    <pivotCache cacheId="2" r:id="rId8"/>
    <pivotCache cacheId="3"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12" i="1" l="1"/>
  <c r="L13" i="1"/>
  <c r="L14" i="1"/>
  <c r="L15" i="1"/>
  <c r="L16" i="1"/>
  <c r="L11" i="1"/>
  <c r="K12" i="1"/>
  <c r="K13" i="1"/>
  <c r="K14" i="1"/>
  <c r="K15" i="1"/>
  <c r="K16" i="1"/>
  <c r="K11" i="1"/>
  <c r="I16" i="1"/>
  <c r="H16" i="1"/>
  <c r="I15" i="1"/>
  <c r="H15" i="1"/>
  <c r="I14" i="1"/>
  <c r="H14" i="1"/>
  <c r="I13" i="1"/>
  <c r="H13" i="1"/>
  <c r="I12" i="1"/>
  <c r="H12" i="1"/>
  <c r="I11" i="1"/>
  <c r="H11" i="1"/>
</calcChain>
</file>

<file path=xl/sharedStrings.xml><?xml version="1.0" encoding="utf-8"?>
<sst xmlns="http://schemas.openxmlformats.org/spreadsheetml/2006/main" count="6070" uniqueCount="1261">
  <si>
    <t>ACC251</t>
  </si>
  <si>
    <t>國立高雄科技大學</t>
  </si>
  <si>
    <t>計畫收支明細表</t>
  </si>
  <si>
    <t>列印時間:115.05.29-11:17:31</t>
  </si>
  <si>
    <t>計畫代碼</t>
  </si>
  <si>
    <t xml:space="preserve">115TSD00-8     </t>
  </si>
  <si>
    <t>委託單位</t>
  </si>
  <si>
    <t/>
  </si>
  <si>
    <t>計畫編號</t>
  </si>
  <si>
    <t>執行單位</t>
  </si>
  <si>
    <t>SD00 永續發展處</t>
  </si>
  <si>
    <t>計畫名稱</t>
  </si>
  <si>
    <t>系所躍升計畫二期第二年(115/1/1-115/10/31)經費</t>
  </si>
  <si>
    <t>執行日期</t>
  </si>
  <si>
    <t>1150101至1151231</t>
  </si>
  <si>
    <t>主持人</t>
  </si>
  <si>
    <t>經費用途</t>
  </si>
  <si>
    <t>核定金額</t>
  </si>
  <si>
    <t>實支數</t>
  </si>
  <si>
    <t>暫付數</t>
  </si>
  <si>
    <t>核銷簽證</t>
  </si>
  <si>
    <t>暫付簽證</t>
  </si>
  <si>
    <t>請購未銷</t>
  </si>
  <si>
    <t>餘額</t>
  </si>
  <si>
    <t>執行率%</t>
  </si>
  <si>
    <t>AE-SD01躍升計畫設備費</t>
  </si>
  <si>
    <t>BE05躍升計畫業務費</t>
  </si>
  <si>
    <t>BE06躍升計畫國外旅費</t>
  </si>
  <si>
    <t>BE07躍升計畫大陸地區旅費</t>
  </si>
  <si>
    <t>EE-SD01躍升計畫無形資產</t>
  </si>
  <si>
    <t>合計：</t>
  </si>
  <si>
    <t>暫收數：</t>
  </si>
  <si>
    <t>成批暫付：</t>
  </si>
  <si>
    <t>實收數：</t>
  </si>
  <si>
    <t>收入餘額：</t>
  </si>
  <si>
    <t>傳票日期</t>
  </si>
  <si>
    <t>傳票編號</t>
  </si>
  <si>
    <t>會計科目</t>
  </si>
  <si>
    <t>購案編號</t>
  </si>
  <si>
    <t>金額</t>
  </si>
  <si>
    <t>用途說明</t>
  </si>
  <si>
    <t>請購人</t>
  </si>
  <si>
    <t>經費分類</t>
  </si>
  <si>
    <t>實收款項</t>
  </si>
  <si>
    <t>小計</t>
  </si>
  <si>
    <t>實收:</t>
  </si>
  <si>
    <t>暫收款項</t>
  </si>
  <si>
    <t>暫收:0</t>
  </si>
  <si>
    <t>1150127</t>
  </si>
  <si>
    <t>已審</t>
  </si>
  <si>
    <t xml:space="preserve">T115UE250015   </t>
  </si>
  <si>
    <t>順序控制課程教材: PLC人機介面※品名:人機介面、實習機箱體</t>
  </si>
  <si>
    <t>郭士綱</t>
  </si>
  <si>
    <t>實支</t>
  </si>
  <si>
    <t>1150201</t>
  </si>
  <si>
    <t>T200124</t>
  </si>
  <si>
    <t>130401-1001機械及設備-本年度預算</t>
  </si>
  <si>
    <t xml:space="preserve">T115UF080006   </t>
  </si>
  <si>
    <t>工設系電腦教室設備更新-高速網路交換器，增加學生上課軟體使用上的穩定度※品名:高速網路交換器</t>
  </si>
  <si>
    <t>工業設計系</t>
  </si>
  <si>
    <t>T200145</t>
  </si>
  <si>
    <t xml:space="preserve">T115UM760014   </t>
  </si>
  <si>
    <t>付觀光系-黃永全老師執行躍升計畫教學與研究所需之平板電腦費用。※品名:ios平板電腦</t>
  </si>
  <si>
    <t>觀光系</t>
  </si>
  <si>
    <t>T200146</t>
  </si>
  <si>
    <t xml:space="preserve">T115UO040007   </t>
  </si>
  <si>
    <t>教學環境提升用專業版雷射工業級3D掃描器※品名:Revopoint MetroX專業版雷射工業級3D掃描器</t>
  </si>
  <si>
    <t>海洋休閒管理系[楠梓|</t>
  </si>
  <si>
    <t>1150205</t>
  </si>
  <si>
    <t>T400129</t>
  </si>
  <si>
    <t xml:space="preserve">T115UO030005- 1   </t>
  </si>
  <si>
    <t>供應鏈管理系3501教室更換投影機及安裝施工費※品名:投影機</t>
  </si>
  <si>
    <t>供應鏈管理系[楠梓|旗</t>
  </si>
  <si>
    <t>1150209</t>
  </si>
  <si>
    <t xml:space="preserve">T115UF020014   </t>
  </si>
  <si>
    <t>奈米粒徑及電位分析儀（躍升計畫分攤2,000,000元，基本維持設備費700,000元）※品名:奈米粒徑及電位分析儀</t>
  </si>
  <si>
    <t>環境與安全衛生工程系</t>
  </si>
  <si>
    <t>1150226</t>
  </si>
  <si>
    <t xml:space="preserve">T115UE230018   </t>
  </si>
  <si>
    <t>研究使用※品名:土木結構專用之非接觸式振動量測與模擬整合平台</t>
  </si>
  <si>
    <t>土木系</t>
  </si>
  <si>
    <t>1150303</t>
  </si>
  <si>
    <t xml:space="preserve">T115UV000021   </t>
  </si>
  <si>
    <t>(楠梓-商資系-躍升計畫)3405商務資訊分析與決策研討室設備更新案※品名:數位會議主控機、數位崁入式主席麥克風、數位崁入式列席麥克風、發言者追蹤攝影機、高階影像擷取器、短焦雷射投影機、電動線拉幕、互動觸控螢幕、混音擴大機、音柱陣列喇叭、雙頻無線接收機、矩陣切換器、總電源順序控制器、商用無線影音會議簡報器、無線路由器、大U型會議桌組、小U型會議桌組、玻璃白板、置物高櫃組、雙開置物高櫃組、投影/手寫2用白板、木製門片組、防焰塑膠地磚、燈光照明設備、防焰遮光捲簾、防焰調光簾</t>
  </si>
  <si>
    <t>商務資訊應用系</t>
  </si>
  <si>
    <t>1150304</t>
  </si>
  <si>
    <t>T200433</t>
  </si>
  <si>
    <t>130501-1001交通及運輸設備-本年度預算</t>
  </si>
  <si>
    <t xml:space="preserve">T115UC110047   </t>
  </si>
  <si>
    <t>執行躍升計畫國際化交流-雙向口譯機※品名:雙向口譯機</t>
  </si>
  <si>
    <t>國企系</t>
  </si>
  <si>
    <t>T200435</t>
  </si>
  <si>
    <t xml:space="preserve">T115UV000007   </t>
  </si>
  <si>
    <t>(楠梓-商資系-躍升計畫)商務資訊專業教室空間設備(2403、3401電腦教室音響、擴大機更換)※品名:雙頻無線接收機、兩音路箱型喇叭、綜合擴大機</t>
  </si>
  <si>
    <t>T200436</t>
  </si>
  <si>
    <t>130601-1001什項設備-本年度預算</t>
  </si>
  <si>
    <t xml:space="preserve">T115UM760024   </t>
  </si>
  <si>
    <t>付觀光系咖啡專業教室教學設備所需之磨豆機費用。※品名:磨豆機</t>
  </si>
  <si>
    <t>1150306</t>
  </si>
  <si>
    <t xml:space="preserve">T115US190025   </t>
  </si>
  <si>
    <t>漁管系水槽實驗室(A11118)研究生之用品※品名:2.5cm鋼製屏風、屏風採霧玻補差額、屏風桌板、鋼製中抽、討論桌、學生網椅、辦公椅、16埠Gigabit交換器、UTP網路配線配電施工費用、全區施工費用(含油漆粉刷等)</t>
  </si>
  <si>
    <t>漁業科技與管理系</t>
  </si>
  <si>
    <t>1150309</t>
  </si>
  <si>
    <t xml:space="preserve">T115UE270053   </t>
  </si>
  <si>
    <t>電401教室電源供應器更新，係為本系執行系所改質躍升計畫四大關鍵任務之教學面向之設備更新。※品名:雙通道電源供應器</t>
  </si>
  <si>
    <t>電機系</t>
  </si>
  <si>
    <t>1150310</t>
  </si>
  <si>
    <t xml:space="preserve">T115UB000064   </t>
  </si>
  <si>
    <t>教學實驗用設備※品名:網路分析儀</t>
  </si>
  <si>
    <t>半導體工程系</t>
  </si>
  <si>
    <t>1150311</t>
  </si>
  <si>
    <t>T200553</t>
  </si>
  <si>
    <t xml:space="preserve">T115UM740012   </t>
  </si>
  <si>
    <t>執行躍升計畫, 王崇昱老師提升教學量能之授課工具※品名:IOS平板電腦Apple ipad Air</t>
  </si>
  <si>
    <t>企管系</t>
  </si>
  <si>
    <t>1150317</t>
  </si>
  <si>
    <t xml:space="preserve">T115UQ040027   </t>
  </si>
  <si>
    <t>教學研究用設備-HFS-4 氫化裝置反應槽採購案※品名:HFS-4 氫化裝置反應槽採購案</t>
  </si>
  <si>
    <t>陳秋妏</t>
  </si>
  <si>
    <t>1150319</t>
  </si>
  <si>
    <t>T200737</t>
  </si>
  <si>
    <t xml:space="preserve">T115UE290059   </t>
  </si>
  <si>
    <t>李新木技士申請-資401教學用設備※品名:電源供應器</t>
  </si>
  <si>
    <t>電子系</t>
  </si>
  <si>
    <t xml:space="preserve">T115UR010054   </t>
  </si>
  <si>
    <t>航技系教學用航儀設備※品名:電羅經</t>
  </si>
  <si>
    <t>航運技術系</t>
  </si>
  <si>
    <t>1150323</t>
  </si>
  <si>
    <t>T200788</t>
  </si>
  <si>
    <t xml:space="preserve">T115UM760033   </t>
  </si>
  <si>
    <t>付觀光系咖啡專業教室上課所需之教學器材費用。※品名:LE NEZ DU  CAFF36種聞香咖啡啟蒙組</t>
  </si>
  <si>
    <t>T200798</t>
  </si>
  <si>
    <t xml:space="preserve">T115UO040019   </t>
  </si>
  <si>
    <t>全能進階多頻定位導航儀(智慧化海洋休閒教學及研究設備購置)※品名:全能進階多頻定位導航儀GARMIN GPS MAP67</t>
  </si>
  <si>
    <t>T400312</t>
  </si>
  <si>
    <t xml:space="preserve">T115UC110027- 1   </t>
  </si>
  <si>
    <t>執行躍升計畫，提升師生學術研究用繪圖印表機※品名:繪圖印表機</t>
  </si>
  <si>
    <t>1150401</t>
  </si>
  <si>
    <t>T200917</t>
  </si>
  <si>
    <t xml:space="preserve">T115UN010010- 1   </t>
  </si>
  <si>
    <t>電腦主機(含顯示器、還原軟體)-C220教學設備更新，提升學生學習效能與改善教學品質※品名:電腦主機(含顯示器、還原軟體)</t>
  </si>
  <si>
    <t>資訊管理系[第一]</t>
  </si>
  <si>
    <t>T201019</t>
  </si>
  <si>
    <t xml:space="preserve">T115UR020040   </t>
  </si>
  <si>
    <t>輪機系_執行躍升計畫採購PLC(FX5U-32MR)設備※品名:三菱PLC(FX5U-32UR)</t>
  </si>
  <si>
    <t>輪機工程系</t>
  </si>
  <si>
    <t>T201031</t>
  </si>
  <si>
    <t xml:space="preserve">T115UB000032- 1   </t>
  </si>
  <si>
    <t>教學實驗用設備※品名:伺服器主機</t>
  </si>
  <si>
    <t>T400365</t>
  </si>
  <si>
    <t xml:space="preserve">T115UF080008- 1   </t>
  </si>
  <si>
    <t>工設系B501教室冷氣更新※品名:冷氣</t>
  </si>
  <si>
    <t>T400366</t>
  </si>
  <si>
    <t xml:space="preserve">T115UD020009- 1   </t>
  </si>
  <si>
    <t>(共契)擴增教學實驗設備(伺服器)(B504實驗室)※品名:2U機架式低階2路伺服器</t>
  </si>
  <si>
    <t>電子工程系[第一]</t>
  </si>
  <si>
    <t>實支核銷</t>
  </si>
  <si>
    <t>1150402</t>
  </si>
  <si>
    <t>未審</t>
  </si>
  <si>
    <t xml:space="preserve">T115UE720047   </t>
  </si>
  <si>
    <t>物鏡組:力學實驗之顯微鏡微觀結構放大暨濾波使用※品名:物鏡組</t>
  </si>
  <si>
    <t>薛明憲</t>
  </si>
  <si>
    <t>1150406</t>
  </si>
  <si>
    <t xml:space="preserve">T115UE720048   </t>
  </si>
  <si>
    <t>三眼觀察筒及載物台:觀察金相微結構之鏡頭與置物平台※品名:三眼觀察筒及載物台</t>
  </si>
  <si>
    <t>1150408</t>
  </si>
  <si>
    <t>T201087</t>
  </si>
  <si>
    <t xml:space="preserve">T115UD020028   </t>
  </si>
  <si>
    <t>執行躍升計畫購置AI基礎技術教學設備※品名:平板電腦</t>
  </si>
  <si>
    <t>陳浩暉</t>
  </si>
  <si>
    <t xml:space="preserve">T115UE160077   </t>
  </si>
  <si>
    <t>新購教學研究設備，自動調幅式示差掃描熱分析儀一台※品名:自動調幅式示差掃描熱分析儀</t>
  </si>
  <si>
    <t>化材系</t>
  </si>
  <si>
    <t xml:space="preserve">T115UE150060   </t>
  </si>
  <si>
    <t>電腦主機(研究用)※品名:電腦主機</t>
  </si>
  <si>
    <t>陳俊豪</t>
  </si>
  <si>
    <t>1150409</t>
  </si>
  <si>
    <t>T201124</t>
  </si>
  <si>
    <t xml:space="preserve">T115UM760035   </t>
  </si>
  <si>
    <t>T201155</t>
  </si>
  <si>
    <t>170102-1001電腦軟體 -本年度預算</t>
  </si>
  <si>
    <t xml:space="preserve">T115UO010051   </t>
  </si>
  <si>
    <t>新版關港貿作業教學系統※品名:通關自動化系統</t>
  </si>
  <si>
    <t>航運管理系[楠梓|旗津</t>
  </si>
  <si>
    <t>1150410</t>
  </si>
  <si>
    <t>T201172</t>
  </si>
  <si>
    <t xml:space="preserve">T115UB000027- 1   </t>
  </si>
  <si>
    <t>(共契)電腦教室教學廣播系統※品名:MagnNex 互動式廣播教學系統</t>
  </si>
  <si>
    <t xml:space="preserve">T115UJ010070   </t>
  </si>
  <si>
    <t>更新應英系D205A教室設備及環境※品名:應英系D205A採購案</t>
  </si>
  <si>
    <t>外語學院應用英語系</t>
  </si>
  <si>
    <t>1150413</t>
  </si>
  <si>
    <t>T400397</t>
  </si>
  <si>
    <t xml:space="preserve">T115UR010024- 1   </t>
  </si>
  <si>
    <t>航技系教師研究室採購教學用多功能印表機。※品名:A4規格多功能印表機</t>
  </si>
  <si>
    <t>T400398</t>
  </si>
  <si>
    <t xml:space="preserve">T115UR010033- 1   </t>
  </si>
  <si>
    <t>航技系教學用筆記型電腦※品名:筆記型電腦</t>
  </si>
  <si>
    <t xml:space="preserve">T115UN040069   </t>
  </si>
  <si>
    <t>高精度無線腦波系統G.NAUTILUS g.SAHARA 16通道※品名:高精度無線腦波系統</t>
  </si>
  <si>
    <t>歐宗殷</t>
  </si>
  <si>
    <t>1150414</t>
  </si>
  <si>
    <t xml:space="preserve">T115UR010089   </t>
  </si>
  <si>
    <t>航技系教學用電子海圖採購※品名:電子海圖</t>
  </si>
  <si>
    <t>1150415</t>
  </si>
  <si>
    <t xml:space="preserve">T115UE720062   </t>
  </si>
  <si>
    <t>辦公室用之抗敏清淨機※品名:抗敏清淨機</t>
  </si>
  <si>
    <t>許桓瑜</t>
  </si>
  <si>
    <t>1150416</t>
  </si>
  <si>
    <t>T201264</t>
  </si>
  <si>
    <t xml:space="preserve">T115UR030002- 1   </t>
  </si>
  <si>
    <t>旗津校區/海資系/執行計畫用海資電腦教室主機※品名:ASUS E500 G9主機</t>
  </si>
  <si>
    <t>海事資訊科技系</t>
  </si>
  <si>
    <t>1150420</t>
  </si>
  <si>
    <t>T201270</t>
  </si>
  <si>
    <t xml:space="preserve">T115UC110039- 1   </t>
  </si>
  <si>
    <t>執行躍升計畫-提升師生研究環境冷氣一台。※品名:冷氣機</t>
  </si>
  <si>
    <t>1150421</t>
  </si>
  <si>
    <t xml:space="preserve">T115UQ040045   </t>
  </si>
  <si>
    <t>執行計畫-實驗用儀器-自動進樣固液體總有機碳氮分析儀※品名:自動進樣固液體總有機碳氮分析儀</t>
  </si>
  <si>
    <t>陳建志</t>
  </si>
  <si>
    <t xml:space="preserve">T115UE310042   </t>
  </si>
  <si>
    <t>教學及研究※品名:空化衝擊即時動態力及扭矩量測系統</t>
  </si>
  <si>
    <t>洪宗彬</t>
  </si>
  <si>
    <t xml:space="preserve">T115UD020046- 1   </t>
  </si>
  <si>
    <t>執行躍升計畫研究用※品名:一般型電腦</t>
  </si>
  <si>
    <t>1150422</t>
  </si>
  <si>
    <t>T201316</t>
  </si>
  <si>
    <t xml:space="preserve">T115UE150039   </t>
  </si>
  <si>
    <t>執行研究計劃所需之運算工作站。※品名:人工智慧運算工作站
(併T115UE150040、B115005362、K115002260)</t>
  </si>
  <si>
    <t>張道行</t>
  </si>
  <si>
    <t xml:space="preserve">T115UE150073   </t>
  </si>
  <si>
    <t>購買執行計算程式用之電腦。※品名:商用工作站</t>
  </si>
  <si>
    <t>鐘文鈺</t>
  </si>
  <si>
    <t xml:space="preserve">T115UE150074   </t>
  </si>
  <si>
    <t>購買可用於深度學習模型訓練之AI電腦。※品名:桌上型AI運算伺服器</t>
  </si>
  <si>
    <t>1150423</t>
  </si>
  <si>
    <t>T201338</t>
  </si>
  <si>
    <t xml:space="preserve">T115UE270071   </t>
  </si>
  <si>
    <t>執行理論模擬電腦的使用配件※品名:鍵盤</t>
  </si>
  <si>
    <t>周阜毅</t>
  </si>
  <si>
    <t>T201354</t>
  </si>
  <si>
    <t xml:space="preserve">T115US190035   </t>
  </si>
  <si>
    <t>115年度漁管系執行改質躍升改善空間之遮陽棚帆布、工資費※品名:如發票</t>
  </si>
  <si>
    <t>T201423</t>
  </si>
  <si>
    <t xml:space="preserve">T115UO040029   </t>
  </si>
  <si>
    <t>水域活動陸域教學及實作平台用二節式龍門吊架※品名:二節式龍門吊架</t>
  </si>
  <si>
    <t>1150424</t>
  </si>
  <si>
    <t xml:space="preserve">T115UE290180   </t>
  </si>
  <si>
    <t>鄭瑞川老師申請-資606B※品名:冷氣機</t>
  </si>
  <si>
    <t xml:space="preserve">T115UE290181   </t>
  </si>
  <si>
    <t>李新木技士申請-資701※品名:投影機</t>
  </si>
  <si>
    <t xml:space="preserve">T115UQ040047   </t>
  </si>
  <si>
    <t>執行計畫-實驗用儀器-自動進樣固液體總有機碳氮分析儀。※品名:自動進樣固液體總有機碳氮分析儀</t>
  </si>
  <si>
    <t>黃紀惟</t>
  </si>
  <si>
    <t xml:space="preserve">T115UQ040048   </t>
  </si>
  <si>
    <t>執行計畫-螢冷光微量盤分析儀。※品名:螢冷光微量盤分析儀</t>
  </si>
  <si>
    <t>1150427</t>
  </si>
  <si>
    <t xml:space="preserve">T115UJ020063   </t>
  </si>
  <si>
    <t>應日系E002教室優化整建採購※品名:學生區連結型工學椅、學生區長型固定式長課桌、PTZ自動追蹤攝影機、8吋環控面板含軟體編程、白板面料更換、階梯區木地板面強化與空間油漆美化、座椅區項目拆除清運費用、空間器材保護與基礎清潔</t>
  </si>
  <si>
    <t>陳佩君</t>
  </si>
  <si>
    <t xml:space="preserve">T115UD020068   </t>
  </si>
  <si>
    <t>執行躍升計畫用:鑿破機(研究蒐集鑿破機震動數據、溫度及使用時數，AI感測作業數據傳輸及辨識預測故障分析)※品名:鑿破機</t>
  </si>
  <si>
    <t>張簡嘉壬</t>
  </si>
  <si>
    <t xml:space="preserve">T115UE270109   </t>
  </si>
  <si>
    <t>莊錦俊</t>
  </si>
  <si>
    <t xml:space="preserve">T115UQ010065   </t>
  </si>
  <si>
    <t>教學與研究用伺服器機櫃與固態硬碟(伺服器財編:                 )※品名:機櫃、固態硬碟</t>
  </si>
  <si>
    <t>李子宜</t>
  </si>
  <si>
    <t>1150429</t>
  </si>
  <si>
    <t xml:space="preserve">T115UE250076   </t>
  </si>
  <si>
    <t>新進老師研究設備費購買雙靶源磁控濺鍍系統※品名:雙靶源磁控濺鍍系統</t>
  </si>
  <si>
    <t>曹德綱</t>
  </si>
  <si>
    <t>1150430</t>
  </si>
  <si>
    <t xml:space="preserve">T115UM740032   </t>
  </si>
  <si>
    <t>配合躍升計畫, 提升碩士生研究能量, 碩士班研究生研究室電腦主機老舊汰舊換新※品名:電腦主機</t>
  </si>
  <si>
    <t xml:space="preserve">T115UC110094   </t>
  </si>
  <si>
    <t>協助躍升計畫執行-蕭伊茹</t>
  </si>
  <si>
    <t xml:space="preserve">T115UD020073   </t>
  </si>
  <si>
    <t>上機與研究用※品名:個人MINI AI電腦</t>
  </si>
  <si>
    <t>陳俊吉</t>
  </si>
  <si>
    <t xml:space="preserve">T115UR010047- 1   </t>
  </si>
  <si>
    <t>航技系辦公用電腦及顯示器※品名:個人電腦、26.5吋彩色液晶顯示器</t>
  </si>
  <si>
    <t xml:space="preserve">T115UR020087   </t>
  </si>
  <si>
    <t>輪機系_執行躍升計畫採購設備(數位類比設備讓學生單獨實際訓練並可以編寫程式)※品名:數位-類比訊號系統(ETS-7000B)</t>
  </si>
  <si>
    <t>1150501</t>
  </si>
  <si>
    <t>T201467</t>
  </si>
  <si>
    <t xml:space="preserve">T115UP020032   </t>
  </si>
  <si>
    <t>教學用※品名:86吋觸控顯示器、吸頂型迴轉攝影機</t>
  </si>
  <si>
    <t>風險管理與保險系</t>
  </si>
  <si>
    <t>T201486</t>
  </si>
  <si>
    <t xml:space="preserve">T115UO040016- 1   </t>
  </si>
  <si>
    <t>專業教室用電腦設備(提升教學環境及設備改善更新)※品名:電腦、顯示器(併T201485、T201486)</t>
  </si>
  <si>
    <t xml:space="preserve">T115UR020093   </t>
  </si>
  <si>
    <t>【未處理】輪機系_執行躍升計畫二期應教學需求故採購無形資產_工業配電模擬軟體(FluidSIM_E_12人授權，附USB dongle*1)※品名:工業配電模擬軟體(FluidSlM_E)</t>
  </si>
  <si>
    <t xml:space="preserve">T115UE150086   </t>
  </si>
  <si>
    <t>用於研究實驗的工作站※品名:商用工作站</t>
  </si>
  <si>
    <t>王志強</t>
  </si>
  <si>
    <t xml:space="preserve">T115UR020095   </t>
  </si>
  <si>
    <t>躍升計畫【尚未採購電腦主機和顯示器】※品名:電腦主機</t>
  </si>
  <si>
    <t>1150504</t>
  </si>
  <si>
    <t>T201526</t>
  </si>
  <si>
    <t xml:space="preserve">T115UQ010030- 1   </t>
  </si>
  <si>
    <t>執行造船與海洋工程專業之複雜流場模擬，支援ANSYS Workgroup 128多核心運算之高階工作站※品名:伺服器(ASUS RS501A-E12-RS4)</t>
  </si>
  <si>
    <t>T201532</t>
  </si>
  <si>
    <t xml:space="preserve">T115UC110078   </t>
  </si>
  <si>
    <t>躍升計畫提升教學品質-教學教室用投影機※品名:投影機</t>
  </si>
  <si>
    <t>1150505</t>
  </si>
  <si>
    <t>T201604</t>
  </si>
  <si>
    <t xml:space="preserve">T115UQ040039   </t>
  </si>
  <si>
    <t>執行計畫:用於研究過程的實驗樣本能妥善被保存的直立式冷凍櫃，確保樣品、原料或實驗研究相關物品以達到維持品質與實驗比對的準確性。※品名:直立式冷凍櫃</t>
  </si>
  <si>
    <t>王琳麒</t>
  </si>
  <si>
    <t>T201619</t>
  </si>
  <si>
    <t xml:space="preserve">T115UE720054   </t>
  </si>
  <si>
    <t>工管系-黃瑞展老師研究用平板電腦※品名:ipad air平板電腦</t>
  </si>
  <si>
    <t>黃瑞展</t>
  </si>
  <si>
    <t>T201623</t>
  </si>
  <si>
    <t xml:space="preserve">T115UM740013- 1   </t>
  </si>
  <si>
    <t>執行躍升計畫, 提升教學量能之授課空間-師長研究室冷氣更新※品名:一對一分離式冷氣機</t>
  </si>
  <si>
    <t xml:space="preserve">T115UE270129   </t>
  </si>
  <si>
    <t>計畫用GPU加速卡-本案係為執行系所改質躍升計畫四大關鍵任務之 研究 面向所需之設備※品名:GPU加速卡 NVIDIA Geforce RTX5090
(併B115008264、T115UE270129共同分攤經費)</t>
  </si>
  <si>
    <t>梁廷宇</t>
  </si>
  <si>
    <t>1150506</t>
  </si>
  <si>
    <t>T201655</t>
  </si>
  <si>
    <t xml:space="preserve">T115UR010043- 1   </t>
  </si>
  <si>
    <t>航技系楠梓校區辦公室辦公用※品名:一對一分離式冷氣機</t>
  </si>
  <si>
    <t>T201679</t>
  </si>
  <si>
    <t xml:space="preserve">T115UO040044   </t>
  </si>
  <si>
    <t>水域活動陸域教學及實作平台用電動吊車(含運費及安裝)※品名:電動吊車(含運費及安裝)</t>
  </si>
  <si>
    <t>T201681</t>
  </si>
  <si>
    <t xml:space="preserve">T115UO010074   </t>
  </si>
  <si>
    <t>教學環境改善項目-2203教室連線投影及白板槽施作※品名:電視機(含分配器+施工費)、白板槽施作</t>
  </si>
  <si>
    <t>T201692</t>
  </si>
  <si>
    <t xml:space="preserve">T115UO010071   </t>
  </si>
  <si>
    <t>教學用專家決策分析軟體一年版※品名:expert choice</t>
  </si>
  <si>
    <t>T201693</t>
  </si>
  <si>
    <t xml:space="preserve">T115UN040047   </t>
  </si>
  <si>
    <t>宏仁老師 眼動實驗室※品名:HTC 眼動偵測VR- HTC VR PRO EYE</t>
  </si>
  <si>
    <t>T201694</t>
  </si>
  <si>
    <t xml:space="preserve">T115UN040016   </t>
  </si>
  <si>
    <t>歐宗殷老師 ※品名:筆記型電腦、D-LINK AX3000雙頻無線路由器</t>
  </si>
  <si>
    <t>T201695</t>
  </si>
  <si>
    <t xml:space="preserve">T115US190043   </t>
  </si>
  <si>
    <t>115年度漁管系執行改質躍升改善空間之除濕機※品名:RD260HC除濕機、隱藏型除濕機(含安裝)</t>
  </si>
  <si>
    <t>T400496</t>
  </si>
  <si>
    <t xml:space="preserve">T115UP010018- 1   </t>
  </si>
  <si>
    <t>金融系D202教室教學用DLP固態光源投影機※品名:DLP固態光源投影機</t>
  </si>
  <si>
    <t>金融系</t>
  </si>
  <si>
    <t xml:space="preserve">T115UO030048   </t>
  </si>
  <si>
    <t>因教室冷氣設備老舊進行汰換，購入一對一分離式冷氣兩台(型號:HI-SL140/HO-SL140)，同時加購附加項銅管14M、控制線22M、電源線29M、室內機固定架2組、白鐵室外架2組、舊機拆除2組※品名:一對一分離式冷氣、銅管、控制線、電源線、室內機固定架、白鐵室外架、舊機拆除</t>
  </si>
  <si>
    <t>1150507</t>
  </si>
  <si>
    <t>T201741</t>
  </si>
  <si>
    <t xml:space="preserve">T115UT030037   </t>
  </si>
  <si>
    <t>財稅系購買教學設備工作站主機含螢幕※品名:工作站主機含螢幕ASULS Pro E500 G9</t>
  </si>
  <si>
    <t>財政稅務系</t>
  </si>
  <si>
    <t>1150508</t>
  </si>
  <si>
    <t>T201777</t>
  </si>
  <si>
    <t xml:space="preserve">T115UT000075   </t>
  </si>
  <si>
    <t>智慧商務系 普通教室MA216教學專用投影機故障汰換更新採購支出※品名:雷射投影機ViewSonic LS740HD</t>
  </si>
  <si>
    <t>智慧商務系</t>
  </si>
  <si>
    <t xml:space="preserve">T115UT000090   </t>
  </si>
  <si>
    <t>智慧商務系 MA309B2實驗室 冷氣故障汰舊換新※品名:一對一分離式冷氣機</t>
  </si>
  <si>
    <t xml:space="preserve">T115US020089   </t>
  </si>
  <si>
    <t>水食系教學設備費※品名:熱重/示差同步分析儀(TG-DSC)</t>
  </si>
  <si>
    <t>水產食品科學系</t>
  </si>
  <si>
    <t xml:space="preserve">T115UE290200   </t>
  </si>
  <si>
    <t>王鴻猷老師申請-資504※品名:雷射投影機</t>
  </si>
  <si>
    <t>1150511</t>
  </si>
  <si>
    <t>T201786</t>
  </si>
  <si>
    <t xml:space="preserve">T115UO010065   </t>
  </si>
  <si>
    <t>研究環境改善-碩專研究室整修※品名:桌椅組、舊有設備拆除費用、教學電腦、整合施工費用</t>
  </si>
  <si>
    <t>T201788</t>
  </si>
  <si>
    <t xml:space="preserve">T115UE720036   </t>
  </si>
  <si>
    <t>工管系-黃瑞展老師研究用ASUS筆記型電腦※品名:ASUS V3607VJ筆記型電腦</t>
  </si>
  <si>
    <t>T201813</t>
  </si>
  <si>
    <t xml:space="preserve">T115UQ040012- 1   </t>
  </si>
  <si>
    <t>執行計畫-成果發表及會議討論室控溫使用※品名:冷氣機</t>
  </si>
  <si>
    <t>海洋環境工程系</t>
  </si>
  <si>
    <t xml:space="preserve">T115UC110040- 1   </t>
  </si>
  <si>
    <t>執行躍升計畫-改善學生教學設備-主機含螢幕※品名:主機含螢幕</t>
  </si>
  <si>
    <t xml:space="preserve">T115UE290202   </t>
  </si>
  <si>
    <t>黃永成技士申請-資809※品名:光纖負載平衡交換器</t>
  </si>
  <si>
    <t xml:space="preserve">T115UQ040070   </t>
  </si>
  <si>
    <t>執行計畫:大信樓3樓7310室OA辦公系統，規劃給研究生(新進博士生)進行研究、討論與休憩。※品名:OA辦公系統</t>
  </si>
  <si>
    <t xml:space="preserve">T115UT030051   </t>
  </si>
  <si>
    <t>財稅系更換MA206教室雷射投影機※品名:雷射投影機</t>
  </si>
  <si>
    <t>1150512</t>
  </si>
  <si>
    <t>T201841</t>
  </si>
  <si>
    <t xml:space="preserve">T115UP030034   </t>
  </si>
  <si>
    <t>執行計畫用-平板電腦※品名:平板電腦</t>
  </si>
  <si>
    <t>財務管理系</t>
  </si>
  <si>
    <t>T201860</t>
  </si>
  <si>
    <t xml:space="preserve">T115UD020053   </t>
  </si>
  <si>
    <t>執行躍升計畫購置AI基礎技教學設備※品名:運算工作站</t>
  </si>
  <si>
    <t>陳銘志</t>
  </si>
  <si>
    <t>T201863</t>
  </si>
  <si>
    <t xml:space="preserve">T115UE290162   </t>
  </si>
  <si>
    <t>張財榮老師申請-資1201※品名:GPU運算伺服器</t>
  </si>
  <si>
    <t>T201871</t>
  </si>
  <si>
    <t xml:space="preserve">T115UE270090   </t>
  </si>
  <si>
    <t>本案係為執行系所改質躍升計畫四大關鍵任務之研究面向所需之設備添購※品名:平板電腦 Apple ipad Pro(併T115UE270091)</t>
  </si>
  <si>
    <t>李俊宏</t>
  </si>
  <si>
    <t xml:space="preserve">T115UP020044   </t>
  </si>
  <si>
    <t>教學用※品名:環控觸控液晶面板(含控制系統與編程)、多功能無線網路投影組</t>
  </si>
  <si>
    <t xml:space="preserve">T115UR020113   </t>
  </si>
  <si>
    <t>輪機系_執行躍升計畫採購設備※品名:電腦主機</t>
  </si>
  <si>
    <t>1150513</t>
  </si>
  <si>
    <t>T201895</t>
  </si>
  <si>
    <t xml:space="preserve">T115UR010046- 1   </t>
  </si>
  <si>
    <t>航技系教師研究中心辦公用※品名:一對一分離式冷氣機</t>
  </si>
  <si>
    <t>T201896</t>
  </si>
  <si>
    <t xml:space="preserve">T115UO040030   </t>
  </si>
  <si>
    <t>智慧化海洋休閒教學及研究用筆記型電腦※品名:筆記型電腦</t>
  </si>
  <si>
    <t xml:space="preserve">T115UQ040071   </t>
  </si>
  <si>
    <t>執行研究計畫-研究成果展示發表使用※品名:投影機</t>
  </si>
  <si>
    <t xml:space="preserve">T115UE270135   </t>
  </si>
  <si>
    <t>本案係為執行系所改質躍升計畫四大關鍵任務之研究面向所需之設備※品名:運算電腦主機</t>
  </si>
  <si>
    <t>李明展</t>
  </si>
  <si>
    <t xml:space="preserve">T115UE270137   </t>
  </si>
  <si>
    <t>基於研究需求，購買機器人動力模組※品名:機器人動力模組</t>
  </si>
  <si>
    <t>1150514</t>
  </si>
  <si>
    <t>T201936</t>
  </si>
  <si>
    <t xml:space="preserve">T115UR020094   </t>
  </si>
  <si>
    <t>輪機系_執行躍升計畫採購用電源供應器設備(提升學生電機與控制基礎)※品名:電源供應器</t>
  </si>
  <si>
    <t>1150515</t>
  </si>
  <si>
    <t xml:space="preserve">T115UF080052   </t>
  </si>
  <si>
    <t>工設系工廠所需真空成型機※品名:真空成型機</t>
  </si>
  <si>
    <t>1150517</t>
  </si>
  <si>
    <t xml:space="preserve">T115UD020086   </t>
  </si>
  <si>
    <t>執行躍升計畫實驗研究用※品名:筆記型電腦</t>
  </si>
  <si>
    <t>許耀文</t>
  </si>
  <si>
    <t>1150518</t>
  </si>
  <si>
    <t>T201997</t>
  </si>
  <si>
    <t xml:space="preserve">T115UO030046   </t>
  </si>
  <si>
    <t>系上購入教室設備:
EPSON EB-FH54單槍投影機、ZERO ZBE-V100 100吋電動銀幕、HD T-1500PRO 總電源順序控制器(三項皆含安裝費)※品名:EPSON EB-FH54單槍投影機、ZERO ZBE-V100 100吋電動銀幕、HD T-1500PRO 總電源順序控制器</t>
  </si>
  <si>
    <t>T202009</t>
  </si>
  <si>
    <t xml:space="preserve">T115UE720056   </t>
  </si>
  <si>
    <t>工管系-黃瑞展老師研究用室內空氣品質監測系統※品名:室內空氣品質監測系統</t>
  </si>
  <si>
    <t xml:space="preserve">T115UH530056   </t>
  </si>
  <si>
    <t>報支躍升計畫教學用電腦一台※品名:電腦主機(不含螢幕)</t>
  </si>
  <si>
    <t>人資系</t>
  </si>
  <si>
    <t>1150519</t>
  </si>
  <si>
    <t>T202042</t>
  </si>
  <si>
    <t xml:space="preserve">T115UE720049   </t>
  </si>
  <si>
    <t>烘箱:拉伸試驗之熱處理使用※品名:27L經濟型烘箱</t>
  </si>
  <si>
    <t>T202048</t>
  </si>
  <si>
    <t xml:space="preserve">T115UQ040062   </t>
  </si>
  <si>
    <t>執行計畫-計畫成果展示使用※品名:觸控廣告機</t>
  </si>
  <si>
    <t xml:space="preserve">T115UP030009- 1   </t>
  </si>
  <si>
    <t>購置計畫用伺服器※品名:伺服器、機櫃</t>
  </si>
  <si>
    <t>1150520</t>
  </si>
  <si>
    <t>T202056</t>
  </si>
  <si>
    <t xml:space="preserve">T115UR010012- 1   </t>
  </si>
  <si>
    <t>航技系採購五樓研究中心辦公桌會議桌及屏風※品名:屏風、會議桌</t>
  </si>
  <si>
    <t xml:space="preserve">T115UF010008- 2   </t>
  </si>
  <si>
    <t>教學實驗課程使用(工程測量實習)※品名:衛星定位儀量測系統採購</t>
  </si>
  <si>
    <t>營建工程系[第一]</t>
  </si>
  <si>
    <t>1150521</t>
  </si>
  <si>
    <t xml:space="preserve">T115UD020094   </t>
  </si>
  <si>
    <t>實驗室購入所需新設備※品名:AI運算工作站</t>
  </si>
  <si>
    <t>郭永超</t>
  </si>
  <si>
    <t xml:space="preserve">T115UF080057   </t>
  </si>
  <si>
    <t>工設系E103教室所需教學擴大機系統※品名:教學擴大機系統</t>
  </si>
  <si>
    <t xml:space="preserve">T115UN030042   </t>
  </si>
  <si>
    <t>執行系所躍升計畫採購之藍光播放器※品名:藍光播放器</t>
  </si>
  <si>
    <t>科技法律研究所[第一]</t>
  </si>
  <si>
    <t xml:space="preserve">T115UO030061   </t>
  </si>
  <si>
    <t>教室空間整理，整理天花板及更換照明設備。※品名:輕鋼架花板、燈光照明設備</t>
  </si>
  <si>
    <t xml:space="preserve">T115UP030010- 1   </t>
  </si>
  <si>
    <t>購置不斷電系統、電腦切換器等供伺服器用※品名:不斷電系統、電腦切換器</t>
  </si>
  <si>
    <t xml:space="preserve">T115UP030062   </t>
  </si>
  <si>
    <t>執行計畫用-筆記型電腦、液晶顯示器※品名:筆記型電腦、液晶顯示器</t>
  </si>
  <si>
    <t>1150522</t>
  </si>
  <si>
    <t xml:space="preserve">T115UE720120   </t>
  </si>
  <si>
    <t>工管系-黃瑞展老師研究用二氧化碳氣體分析儀※品名:二氧化碳氣體分析儀</t>
  </si>
  <si>
    <t xml:space="preserve">T115UE720121   </t>
  </si>
  <si>
    <t>工管系-黃瑞展老師研究用空氣品質監測分析儀※品名:空氣品質監測分析儀</t>
  </si>
  <si>
    <t>1150525</t>
  </si>
  <si>
    <t>T202127</t>
  </si>
  <si>
    <t xml:space="preserve">T115UE150061   </t>
  </si>
  <si>
    <t>GPU電腦主機(研究用)※品名:GPU電腦主機(微星)</t>
  </si>
  <si>
    <t>T202158</t>
  </si>
  <si>
    <t xml:space="preserve">T115UP020043   </t>
  </si>
  <si>
    <t>教學用※品名:老師教學功能桌(含設備櫃)</t>
  </si>
  <si>
    <t>T202159</t>
  </si>
  <si>
    <t xml:space="preserve">T115UM740014- 1   </t>
  </si>
  <si>
    <t>執行躍升計畫, 提升教學量能之授課空間-教學空間MB522冷氣更新※品名:一對一分離式冷氣機</t>
  </si>
  <si>
    <t>T202165</t>
  </si>
  <si>
    <t xml:space="preserve">T115UM760077   </t>
  </si>
  <si>
    <t>付觀光系專業教室烘焙教室教學所需之四門風冷全藏冰箱。※品名:四門風冷全藏冰箱</t>
  </si>
  <si>
    <t>T202177</t>
  </si>
  <si>
    <t xml:space="preserve">T115UN030039   </t>
  </si>
  <si>
    <t>執行系所躍升計畫建置科技法律研究所閱覽討論室採購之沙發及討論桌※品名:雙人沙發、三人沙發、咖啡桌</t>
  </si>
  <si>
    <t>T400613</t>
  </si>
  <si>
    <t xml:space="preserve">T115UF090016- 1   </t>
  </si>
  <si>
    <t>(共契)機電工程系師生教學用電腦主機※品名:電腦主機</t>
  </si>
  <si>
    <t>機電工程系</t>
  </si>
  <si>
    <t>T400620</t>
  </si>
  <si>
    <t xml:space="preserve">T115UR010049- 1   </t>
  </si>
  <si>
    <t>航技系研究室教學用※品名:A4規格多功能彩色印表機</t>
  </si>
  <si>
    <t xml:space="preserve">T115UE310065   </t>
  </si>
  <si>
    <t>研究使用※品名:商用工作站</t>
  </si>
  <si>
    <t>林宛儒</t>
  </si>
  <si>
    <t xml:space="preserve">T115UO010124   </t>
  </si>
  <si>
    <t>教室環境改善-教室整修※品名:教學電腦、舊有設備拆除費用、安裝整合施工費用、鋼製設備櫃</t>
  </si>
  <si>
    <t xml:space="preserve">T115UQ040078   </t>
  </si>
  <si>
    <t>實驗室設備購買-監視器設備新增鏡頭※品名:監控設備新增(鏡頭)</t>
  </si>
  <si>
    <t>許哲榮</t>
  </si>
  <si>
    <t>1150526</t>
  </si>
  <si>
    <t>T202238</t>
  </si>
  <si>
    <t xml:space="preserve">T115UE720046   </t>
  </si>
  <si>
    <t>金相顯微鏡攝影機及配件:力學試驗之試片微觀結構觀察※品名:金相顯微鏡攝影機及配件</t>
  </si>
  <si>
    <t>T202240</t>
  </si>
  <si>
    <t xml:space="preserve">T115UE720065   </t>
  </si>
  <si>
    <t>行車紀錄器:研究生紀錄車輛行駛過程之GPS路徑、路況AI分析與車輛碳排放量之關係(國科會計畫NSTC 114-2637-E-992-007"混合燃料與燃料預處理於火花式引擎燃燒搭配非熱電漿廢氣電離之動力與排放汙染分析"之後續研究)※品名:行車紀錄器</t>
  </si>
  <si>
    <t xml:space="preserve">T115UE250101   </t>
  </si>
  <si>
    <t>溫度控制模組及罩子※品名:溫度控制模組及罩子</t>
  </si>
  <si>
    <t>陳建羽</t>
  </si>
  <si>
    <t xml:space="preserve">T115UH530021- 1   </t>
  </si>
  <si>
    <t>報支躍升計畫教學研究空間冷氣5台※品名:冷氣</t>
  </si>
  <si>
    <t xml:space="preserve">T115UF080062   </t>
  </si>
  <si>
    <t>工設系工廠新增噴漆乾式集塵設備※品名:噴漆乾式集塵設備</t>
  </si>
  <si>
    <t xml:space="preserve">T115UR020129   </t>
  </si>
  <si>
    <t>輪機系_執行躍升計畫採購教學顯示器※品名:顯示器</t>
  </si>
  <si>
    <t>1150527</t>
  </si>
  <si>
    <t xml:space="preserve">T115UD020099   </t>
  </si>
  <si>
    <t>執行躍升計畫用:18公升WIFI變頻除濕機(研究蒐集物聯網智慧控制與感測節能分析環境溫度、濕度、運轉時間及耗電資料等數據，結合生活實作及跨域整合智慧科技應用之實驗使用)※品名:18公升WIFI變頻除濕機</t>
  </si>
  <si>
    <t xml:space="preserve">T115UD020100   </t>
  </si>
  <si>
    <t>執行躍升計畫用:18公升WIFI變頻除濕機(研究蒐集物聯網智慧控制與感測節能分析環境溫度、濕度、運轉時間及耗電資料等數據，結合生活實作及跨域整合智慧科技應用之實驗使用)；因支出經費分攤，$4665核支於K115004035※品名:18公升WIFI變頻除濕機</t>
  </si>
  <si>
    <t xml:space="preserve">T115UM760087   </t>
  </si>
  <si>
    <t>付觀光系燕巢直播教室MB208所需之錄音設備費用。※品名:Pocast錄音設備</t>
  </si>
  <si>
    <t>1150528</t>
  </si>
  <si>
    <t xml:space="preserve">T115UF080067   </t>
  </si>
  <si>
    <t>工設系電腦教室新增電子伺服式穩壓器※品名:電子伺服式穩壓器</t>
  </si>
  <si>
    <t xml:space="preserve">預算:61,698,650,實支:9,408,809,簽證數:6,039,100,請購未銷:16,895,096,暫付:0,暫收:0,餘額:29,355,645 </t>
  </si>
  <si>
    <t>1150203</t>
  </si>
  <si>
    <t>T200162</t>
  </si>
  <si>
    <t>510301-3201辦公（事務）用品</t>
  </si>
  <si>
    <t xml:space="preserve">T115UE230007   </t>
  </si>
  <si>
    <t>辦公室用品※品名:文具等</t>
  </si>
  <si>
    <t>T200176</t>
  </si>
  <si>
    <t>510301-3206食品</t>
  </si>
  <si>
    <t xml:space="preserve">T115UF010005   </t>
  </si>
  <si>
    <t>辦理114學年度躍升計畫第2次管考會議的餐費，日期:1/13(二)，時間:12:45~13:30，人數:12※品名:餐費</t>
  </si>
  <si>
    <t>T200201</t>
  </si>
  <si>
    <t>510301-2B01推展費</t>
  </si>
  <si>
    <t xml:space="preserve">T115UT000017   </t>
  </si>
  <si>
    <t>115年學年智慧商務系在職碩士專班99.9電台招生費用※品名:廣告</t>
  </si>
  <si>
    <t>T200210</t>
  </si>
  <si>
    <t>510301-2506交通及運輸設備修護費</t>
  </si>
  <si>
    <t xml:space="preserve">T115UR010011   </t>
  </si>
  <si>
    <t>航技系動力小船海洋三號(財產編號4020110-01B 2000003-2000003 附屬設備)※品名:YUASA 不加水電瓶</t>
  </si>
  <si>
    <t>T200235</t>
  </si>
  <si>
    <t xml:space="preserve">T115UT000018   </t>
  </si>
  <si>
    <t>115年學年智慧商務系碩士班社群招生費用※品名:碩士班廣告投放</t>
  </si>
  <si>
    <t>T200237</t>
  </si>
  <si>
    <t>510301-3204化學藥劑與實驗用品</t>
  </si>
  <si>
    <t xml:space="preserve">T115UT000009   </t>
  </si>
  <si>
    <t>智商系支援侯易佑老師教學/研究採購實驗電子材料和工具等支出※品名:實驗工具材料、鋰電池</t>
  </si>
  <si>
    <t>1150211</t>
  </si>
  <si>
    <t>T200265</t>
  </si>
  <si>
    <t xml:space="preserve">T115UT000023   </t>
  </si>
  <si>
    <t>115年學年智慧商務系在職碩士專班98.3電台招生費用※品名:廣告費</t>
  </si>
  <si>
    <t>T200279</t>
  </si>
  <si>
    <t>510301-2301國內旅費</t>
  </si>
  <si>
    <t xml:space="preserve">T115UT000014   </t>
  </si>
  <si>
    <t>差旅費:智慧商務系補助謝文川老師 事由：因應教學所需參加115年寒假SAP S/4 HANA(含環境永續模組)師資培訓研習(第一階段115/1/8-115/1/11)汲取新知差旅費(含起程日)支出</t>
  </si>
  <si>
    <t xml:space="preserve">T115UT000020   </t>
  </si>
  <si>
    <t>差旅費:智慧商務系補助謝文川老師 事由：115/1/15-115/1/18因應教學所需參加115年寒假SAP S/4 HANA(含環境永續模組)師資培訓研習(第二階段)汲取新知差旅費(含起程日)支出</t>
  </si>
  <si>
    <t>1150212</t>
  </si>
  <si>
    <t>T200297</t>
  </si>
  <si>
    <t>510301-2810電腦軟體服務費</t>
  </si>
  <si>
    <t xml:space="preserve">T115UE150003   </t>
  </si>
  <si>
    <t>用於研究資料儲存與運算資源使用。(實支4,138元；併案：A115000168)※品名:Google Cloud 雲端伺服器使用費</t>
  </si>
  <si>
    <t>林威成</t>
  </si>
  <si>
    <t>1150224</t>
  </si>
  <si>
    <t>T200386</t>
  </si>
  <si>
    <t xml:space="preserve">T115UT000022   </t>
  </si>
  <si>
    <t>智商系支援侯易佑老師教學/研究採購實驗工具暨電腦周邊配件文具等支出※品名:電腦周邊配件文具、實驗工具/文具品</t>
  </si>
  <si>
    <t xml:space="preserve">T115UT000021   </t>
  </si>
  <si>
    <t>智商系支援侯易佑老師教學/研究採購實驗電子材料和工具等支出※品名:斜上鉗、省力壓著鉗、固態行動硬碟、網路攝影機、全彩智能燈泡、記憶卡、實驗工具品</t>
  </si>
  <si>
    <t xml:space="preserve">T115UT000024   </t>
  </si>
  <si>
    <t>智商系115/1/17(周六)辦理115學年度碩專班招生說明會活動參與人員含工作人員誤餐費支出, 詳附件名單※品名:西式餐盒、便當餐盒</t>
  </si>
  <si>
    <t>T300211</t>
  </si>
  <si>
    <t>510301-271315工讀金</t>
  </si>
  <si>
    <t xml:space="preserve">T115UR030016   </t>
  </si>
  <si>
    <t>旗津校區/海資系/系所躍升計畫1月份工讀金－梁峻浤、劉振宏</t>
  </si>
  <si>
    <t>1150301</t>
  </si>
  <si>
    <t>T200403</t>
  </si>
  <si>
    <t xml:space="preserve">T115UE150017   </t>
  </si>
  <si>
    <t>用於研究資料儲存與運算資源使用。※品名:Google Cloud 雲端伺服器使用費</t>
  </si>
  <si>
    <t xml:space="preserve">T115UE150015   </t>
  </si>
  <si>
    <t>研究計畫使用※品名:筆電背包、多埠訊號轉接器</t>
  </si>
  <si>
    <t>張雲龍</t>
  </si>
  <si>
    <t>1150302</t>
  </si>
  <si>
    <t>T200408</t>
  </si>
  <si>
    <t xml:space="preserve">T115UT030013   </t>
  </si>
  <si>
    <t>姚名鴻老師教學研究使用※品名:商品如明細所示</t>
  </si>
  <si>
    <t>T200446</t>
  </si>
  <si>
    <t>510301-2502一般房屋修護費</t>
  </si>
  <si>
    <t xml:space="preserve">T115UF010013   </t>
  </si>
  <si>
    <t>教學課程使用(執行計畫)F151教學教室空間修繕※品名:F151教室修繕工程</t>
  </si>
  <si>
    <t>1150305</t>
  </si>
  <si>
    <t>T200473</t>
  </si>
  <si>
    <t xml:space="preserve">T115UJ020016   </t>
  </si>
  <si>
    <t>【躍升】應日系為執行躍升計畫購買耳機之費用※品名:耳機</t>
  </si>
  <si>
    <t>外語學院應用日語系</t>
  </si>
  <si>
    <t xml:space="preserve">T115UV000009   </t>
  </si>
  <si>
    <t>(楠梓-商資系-躍升計畫)專業教室空間設備-白板※品名:白板</t>
  </si>
  <si>
    <t>T300267</t>
  </si>
  <si>
    <t xml:space="preserve">T115UR030020   </t>
  </si>
  <si>
    <t>旗津校區/海資系/系所躍升計畫2月份工讀金－劉振宏、程仁杰、柯智煒</t>
  </si>
  <si>
    <t>T200505</t>
  </si>
  <si>
    <t xml:space="preserve">T115UT000035   </t>
  </si>
  <si>
    <t>智商系支援老師教學/研究採購線材,電腦周邊,文具耗品等支出※品名:彩色A4紙、充電電池、固態硬碟(512GB)、六孔延長線2.7米、訊號線</t>
  </si>
  <si>
    <t>1150313</t>
  </si>
  <si>
    <t>T200601</t>
  </si>
  <si>
    <t xml:space="preserve">T115UE150023   </t>
  </si>
  <si>
    <t>將本地網路上的服務到公共網路上也能使用 (產學合作測試使用)。※品名:反向代理工具 使用費 (含服務費)</t>
  </si>
  <si>
    <t xml:space="preserve">T115UT000026   </t>
  </si>
  <si>
    <t>智商系支援侯易佑老師教學/研究採購實驗線材,電子零件材料,文具等支出※品名:資料夾、感測器、旋轉AI Wifi攝影機、實驗3D列印線材耗材、LED可調光紅外線感應燈2W</t>
  </si>
  <si>
    <t>1150316</t>
  </si>
  <si>
    <t>T200624</t>
  </si>
  <si>
    <t>510301-3102物料</t>
  </si>
  <si>
    <t xml:space="preserve">T115UE230017   </t>
  </si>
  <si>
    <t>課程使用※品名:麻甲木心板、運費</t>
  </si>
  <si>
    <t>T200627</t>
  </si>
  <si>
    <t xml:space="preserve">T115UT030015   </t>
  </si>
  <si>
    <t>1150318</t>
  </si>
  <si>
    <t>T200671</t>
  </si>
  <si>
    <t>510301-2898其他</t>
  </si>
  <si>
    <t xml:space="preserve">T115UT000037   </t>
  </si>
  <si>
    <t>智商系支援侯易佑老師於管理與系統期刊(第33卷第1期)發表論文刊登費支出※品名:論文刊登費</t>
  </si>
  <si>
    <t>T200672</t>
  </si>
  <si>
    <t xml:space="preserve">T115UT000039   </t>
  </si>
  <si>
    <t>智商系支援侯易佑老師教學/研究所需採購實驗電子材料-控制晶片支出※品名:控制晶片(8735+sensor kit)</t>
  </si>
  <si>
    <t>T200691</t>
  </si>
  <si>
    <t>510301-2505機械及設備修護費</t>
  </si>
  <si>
    <t xml:space="preserve">T115UD030058   </t>
  </si>
  <si>
    <t>F455電腦教室記憶體更新(電腦主機財產編號:3140101-03，財產序號:5011963~5011974)※品名:記憶體</t>
  </si>
  <si>
    <t>電腦與通訊工程系[第</t>
  </si>
  <si>
    <t>T200776</t>
  </si>
  <si>
    <t xml:space="preserve">T115UE150027   </t>
  </si>
  <si>
    <t>510301-720601獎助學員生給與</t>
  </si>
  <si>
    <t xml:space="preserve">T115UF010016   </t>
  </si>
  <si>
    <t>補助研究生張佳琪、何聰毅參加研討會報名費※品名:報名費</t>
  </si>
  <si>
    <t>T200777</t>
  </si>
  <si>
    <t>510301-2201郵費</t>
  </si>
  <si>
    <t xml:space="preserve">T115UT000044   </t>
  </si>
  <si>
    <t>智商系支援侯易佑老師教學/研究所需採購實驗材料,郵資,文具用品等支出※品名:3M膠帶、直尺、實驗材料-保險絲,起子、實驗線材-訊號線、郵資、實驗材料-防靜電手套、資料夾、行動電源、Hacker隨身碟(含物流費)</t>
  </si>
  <si>
    <t>T200779</t>
  </si>
  <si>
    <t xml:space="preserve">T115UP010023   </t>
  </si>
  <si>
    <t>金融系系網不斷電系統(產編3101001-07-5000004)維修費用※品名:UPS維修</t>
  </si>
  <si>
    <t>1150324</t>
  </si>
  <si>
    <t>T200809</t>
  </si>
  <si>
    <t>510301-280501講課鐘點、稿費、出席審查及查詢費</t>
  </si>
  <si>
    <t xml:space="preserve">T115UE150035   </t>
  </si>
  <si>
    <t>期刊英文編修費用※品名:期刊英文編修費用</t>
  </si>
  <si>
    <t>黃淵科</t>
  </si>
  <si>
    <t>T200847</t>
  </si>
  <si>
    <t xml:space="preserve">T115UT030018   </t>
  </si>
  <si>
    <t>財稅系管國珍老師教學教材製作用訂閱ChatGPT Plus Subscription軟體使用費115年1月份※品名:軟體使用費</t>
  </si>
  <si>
    <t xml:space="preserve">T115UT030023   </t>
  </si>
  <si>
    <t>財稅系彭琪祿老師教學教材製作用訂閱ChatGPT Plus Subscription軟體使用費115年1月份※品名:軟體使用費</t>
  </si>
  <si>
    <t>T200893</t>
  </si>
  <si>
    <t xml:space="preserve">T115UC110056   </t>
  </si>
  <si>
    <t>執行躍升計畫國際化交流活動-日本鹿兒島國際大學簡報交流比賽用-便當※品名:便當、便當(素)</t>
  </si>
  <si>
    <t>T200894</t>
  </si>
  <si>
    <t>510301-3298其他</t>
  </si>
  <si>
    <t xml:space="preserve">T115UC110053   </t>
  </si>
  <si>
    <t>執行躍升計畫國際化交流活動-日本鹿兒島國際大學簡報交流比賽用-布條、影印※品名:布條、影印</t>
  </si>
  <si>
    <t>510301-2401印刷及裝訂費</t>
  </si>
  <si>
    <t xml:space="preserve">T115UH530020   </t>
  </si>
  <si>
    <t>報支陳儀蓉老師晶片讀卡機費※品名:晶片讀卡機</t>
  </si>
  <si>
    <t>陳儀蓉</t>
  </si>
  <si>
    <t>510301-4402車租</t>
  </si>
  <si>
    <t xml:space="preserve">T115UC110064   </t>
  </si>
  <si>
    <t>執行躍升計畫國際化交流活動-日本鹿兒島國際大學簡報交流比賽用-接駁車資※品名:車資</t>
  </si>
  <si>
    <t>T200911</t>
  </si>
  <si>
    <t xml:space="preserve">T115UV000031   </t>
  </si>
  <si>
    <t>(楠梓-商資系-躍升計畫-商務資訊專業教室空間空間建置)教室門片更換※品名:門片含五金配件</t>
  </si>
  <si>
    <t>T200925</t>
  </si>
  <si>
    <t xml:space="preserve">T115UT030012- 1   </t>
  </si>
  <si>
    <t>財稅系教學實踐計畫教學器材※品名:個人電腦顯示器</t>
  </si>
  <si>
    <t>T200995</t>
  </si>
  <si>
    <t xml:space="preserve">T115UQ010036   </t>
  </si>
  <si>
    <t>受款人：瑞洋複印社周沁渢，執行計畫用※品名:A0珍珠板、A4彩印、A4貼紙、A3彩印、成果報告書、資料手冊</t>
  </si>
  <si>
    <t>造船及海洋工程系</t>
  </si>
  <si>
    <t>T201007</t>
  </si>
  <si>
    <t xml:space="preserve">T115UT000051   </t>
  </si>
  <si>
    <t>智商系支援侯易佑老師教學/研究所需採購實驗電子材料-加熱感測器.加熱燈管支出※品名:加熱感測器、加熱燈管</t>
  </si>
  <si>
    <t>T300430</t>
  </si>
  <si>
    <t xml:space="preserve">T115UR030033   </t>
  </si>
  <si>
    <t>旗津校區/海資系/系所躍升計畫3月份工讀金－陳韋安</t>
  </si>
  <si>
    <t>T300439</t>
  </si>
  <si>
    <t xml:space="preserve">T115UC110058   </t>
  </si>
  <si>
    <t>躍升計畫執行-國際化交流。日本創價大學國際學院王雍智教授專題演講費。(外籍人士領據)</t>
  </si>
  <si>
    <t>T201070</t>
  </si>
  <si>
    <t xml:space="preserve">T115UT000058   </t>
  </si>
  <si>
    <t>智商系支援侯易佑老師教學/研究所需採購實驗電子材料, 影印裝訂費等支出※品名:訊號線、滑鼠、影印費、裝訂費、專注力訓練機</t>
  </si>
  <si>
    <t>510301-2808委託考選訓練費</t>
  </si>
  <si>
    <t xml:space="preserve">T115UT000057   </t>
  </si>
  <si>
    <t>智商系支援侯易佑老師指導日碩生莊柏軒(學號F114156128)於115/3/26-29 MOMAI 2026發表論文會議註冊費支出※品名:論文發表會議註冊費</t>
  </si>
  <si>
    <t xml:space="preserve">T115UV000030   </t>
  </si>
  <si>
    <t>(楠梓-躍升計畫-商資系)114學年度第2學年度第1次系週會誤餐費(115.03.11，12:00-15:30)※品名:便當</t>
  </si>
  <si>
    <t>T201071</t>
  </si>
  <si>
    <t>510301-239801其他旅運費</t>
  </si>
  <si>
    <t xml:space="preserve">T115UV000034   </t>
  </si>
  <si>
    <t>(楠梓-躍升計畫-商資系)專題講座交通費
講者：張煦薇科長
日期：115.03.11
交通：高鐵(板橋-左營)</t>
  </si>
  <si>
    <t>T201126</t>
  </si>
  <si>
    <t xml:space="preserve">T115UT000061   </t>
  </si>
  <si>
    <t>智慧商務系大學部、碩士班、碩專班招生海報及網頁設計費用※品名:海報網頁設計費</t>
  </si>
  <si>
    <t>T201127</t>
  </si>
  <si>
    <t xml:space="preserve">T115UT000062   </t>
  </si>
  <si>
    <t>智商系支援黃天受老師教學/研究所需採購電腦零組件等支出※品名:內接式硬碟(3.5" 2TB)、PC用記憶體(8GB)、高速記憶卡(256GB)</t>
  </si>
  <si>
    <t>T201128</t>
  </si>
  <si>
    <t xml:space="preserve">T115UT000063   </t>
  </si>
  <si>
    <t>智商系支援黃天受老師教學/研究所需採購電腦零組件暨周邊配件等支出※品名:延長線(2.7米)、電源供應器(650W)、充電電池8入、無線滑鼠、固態硬碟(512GB)</t>
  </si>
  <si>
    <t>T201164</t>
  </si>
  <si>
    <t xml:space="preserve">T115UC110062   </t>
  </si>
  <si>
    <t>執行躍升計畫-3/11、3/18學生英文社群活動用餐費※品名:便當</t>
  </si>
  <si>
    <t>T201165</t>
  </si>
  <si>
    <t>510301-2507什項設備修護費</t>
  </si>
  <si>
    <t xml:space="preserve">T115UQ040028   </t>
  </si>
  <si>
    <t>二門玻璃冷藏展示櫃故障維修(財編：5010107-08-2000005)※品名:更換溫度控制器(含稅)</t>
  </si>
  <si>
    <t>林啟燦</t>
  </si>
  <si>
    <t>T300478</t>
  </si>
  <si>
    <t xml:space="preserve">T115UV000033   </t>
  </si>
  <si>
    <t>(楠梓-躍升計畫-商資系)專題講座鐘點費
講者：張煦薇科長
日期：115.03.11
時間：14:30-15:30</t>
  </si>
  <si>
    <t>T201181</t>
  </si>
  <si>
    <t xml:space="preserve">T115UT030029   </t>
  </si>
  <si>
    <t>財稅系補助學生參加研討會文書影印費※品名:影印費</t>
  </si>
  <si>
    <t>T201246</t>
  </si>
  <si>
    <t xml:space="preserve">T115UP020020   </t>
  </si>
  <si>
    <t>日期：115.3.18、時間： 15:30-18:30財團法人保險事業發展中心 黃渝誠講師 交通費-高鐵，左營-台北當日來回</t>
  </si>
  <si>
    <t>T201255</t>
  </si>
  <si>
    <t xml:space="preserve">T115UF090043   </t>
  </si>
  <si>
    <t>機電工程系學生實務專題實驗用-3D列印耗材※品名:3D列印耗材</t>
  </si>
  <si>
    <t>T300509</t>
  </si>
  <si>
    <t xml:space="preserve">T115UP020019   </t>
  </si>
  <si>
    <t>日期：115.3.18、時間： 15:30-18:30財團法人保險事業發展中心 黃渝誠講師 鐘點費</t>
  </si>
  <si>
    <t>T201279</t>
  </si>
  <si>
    <t xml:space="preserve">T115UE720026   </t>
  </si>
  <si>
    <t>工管系-黃瑞展老師Precise E-commerce Information Push Model Based on User Feature and Improved Stacking期刊論文投稿費及國外交易手續費(與D115002545分攤)※品名:期刊論文投稿費、國外交易手續費</t>
  </si>
  <si>
    <t>T300514</t>
  </si>
  <si>
    <t xml:space="preserve">T115UE290133   </t>
  </si>
  <si>
    <t>協助辦理競賽活動-楊程凱等19人</t>
  </si>
  <si>
    <t xml:space="preserve">T115UE150071   </t>
  </si>
  <si>
    <t>購買辦公室椅子。※品名:辦公椅</t>
  </si>
  <si>
    <t xml:space="preserve">T115UE150072   </t>
  </si>
  <si>
    <t>購買隨身碟供儲存教學研究資料用。※品名:SanDisk</t>
  </si>
  <si>
    <t xml:space="preserve">T115UE150075   </t>
  </si>
  <si>
    <t>購買教學相關之參考書籍。※品名:教學參考用書</t>
  </si>
  <si>
    <t xml:space="preserve">T115UE150078   </t>
  </si>
  <si>
    <t>購買3C※品名:集線器與保護套</t>
  </si>
  <si>
    <t>T201389</t>
  </si>
  <si>
    <t xml:space="preserve">T115UQ040042   </t>
  </si>
  <si>
    <t>計畫用-6M-5N-氦氣 (表單單號：S26041000001)※品名:6M-5N-氦氣、營業稅</t>
  </si>
  <si>
    <t>T201429</t>
  </si>
  <si>
    <t xml:space="preserve">T115UH530030   </t>
  </si>
  <si>
    <t>支付陳儀蓉老師印刷品費用※品名:印刷品</t>
  </si>
  <si>
    <t xml:space="preserve">T115UH530028   </t>
  </si>
  <si>
    <t>報支躍升計畫教學用文具※品名:觸控筆、筆、名片卡及卡盒</t>
  </si>
  <si>
    <t>黃佳純</t>
  </si>
  <si>
    <t>T201433</t>
  </si>
  <si>
    <t xml:space="preserve">T115UD020044   </t>
  </si>
  <si>
    <t>辦理躍升計畫資料輸出※品名:複印費</t>
  </si>
  <si>
    <t xml:space="preserve">T115UF010026   </t>
  </si>
  <si>
    <t>114學年躍升計畫第3次管考會議的餐費，日期:3/31(二)，時間:12:45，人數:14※品名:餐費</t>
  </si>
  <si>
    <t>T300562</t>
  </si>
  <si>
    <t xml:space="preserve">T115UD020045   </t>
  </si>
  <si>
    <t>邀請業界專家台灣中油電機工程師李建興博士蒞系演講</t>
  </si>
  <si>
    <t xml:space="preserve">T115UR010048   </t>
  </si>
  <si>
    <t>航技系115年3月9日邀請中鋼運通股份有限公司徐興隆協理蒞校進行航運講座(講題內容:散裝配載實務)</t>
  </si>
  <si>
    <t xml:space="preserve">T115UT030046   </t>
  </si>
  <si>
    <t>財稅系補助學生參加校外競賽「2026全國大專財富管理競賽」報名費</t>
  </si>
  <si>
    <t xml:space="preserve">T115UQ010074   </t>
  </si>
  <si>
    <t>115年4月28日專題演講蔡孟汎總經理鐘點費</t>
  </si>
  <si>
    <t xml:space="preserve">T115UQ010075   </t>
  </si>
  <si>
    <t>115年4月28日專題演講蔡孟汎總經理交通費</t>
  </si>
  <si>
    <t>T201490</t>
  </si>
  <si>
    <t xml:space="preserve">T115UJ020049   </t>
  </si>
  <si>
    <t>【躍升】為執行躍升計畫之行政事務與教學，購買無線滑鼠之費用※品名:無線滑鼠</t>
  </si>
  <si>
    <t>T201525</t>
  </si>
  <si>
    <t xml:space="preserve">T115UT000072   </t>
  </si>
  <si>
    <t>智慧商務系 購入辦公用品 文具一批※品名:文具一批</t>
  </si>
  <si>
    <t xml:space="preserve">T115UT000069   </t>
  </si>
  <si>
    <t>智商系支援侯易佑老師教學/研究所需採購實驗電子零組件材料等支出※品名:扣式比流器(R相.S相.T相)、LED多功能集合式電表、DIY電源線附開關、H型附接地三連明插座</t>
  </si>
  <si>
    <t>T201534</t>
  </si>
  <si>
    <t xml:space="preserve">T115UQ040044   </t>
  </si>
  <si>
    <t>實驗用-活性碳口罩※品名:活性碳口罩、營業稅</t>
  </si>
  <si>
    <t>T201542</t>
  </si>
  <si>
    <t xml:space="preserve">T115UT030033   </t>
  </si>
  <si>
    <t>財稅系管國珍老師教學教材製作用訂閱ChatGPT Plus Subscription軟體使用費115年2月份※品名:軟體使用費</t>
  </si>
  <si>
    <t xml:space="preserve">T115UT030034   </t>
  </si>
  <si>
    <t>財稅系張純萍老師教學教材製作用訂閱ChatGPT Plus Subscription軟體使用費115年3月份※品名:軟體使用費</t>
  </si>
  <si>
    <t xml:space="preserve">T115UT030035   </t>
  </si>
  <si>
    <t>T201551</t>
  </si>
  <si>
    <t xml:space="preserve">T115UE720025   </t>
  </si>
  <si>
    <t>中華民國人因工程學會研討會(EST2026)王釗鴻--註冊費※品名:中華民國人因工程學會研討會註冊費</t>
  </si>
  <si>
    <t>王釗鴻</t>
  </si>
  <si>
    <t xml:space="preserve">T115UT000070   </t>
  </si>
  <si>
    <t>智商系支援侯易佑老師教學/研究所需採購實驗材料,耳麥,文具品等支出※品名:可調充退磁器螺絲起子(2入裝)、筆類含筆芯、連續章、藍芽耳麥</t>
  </si>
  <si>
    <t>T201591</t>
  </si>
  <si>
    <t xml:space="preserve">T115UE310023   </t>
  </si>
  <si>
    <t>115年度多功能實習工廠核定之材料費－尋邊器及刀具等8項※品名:尋邊器五金刀具等8項</t>
  </si>
  <si>
    <t>黃家瑞</t>
  </si>
  <si>
    <t>T201600</t>
  </si>
  <si>
    <t xml:space="preserve">T115UD030100   </t>
  </si>
  <si>
    <t>電通系電腦教室軟體使用費※品名:軟體使用費</t>
  </si>
  <si>
    <t>T201628</t>
  </si>
  <si>
    <t>510301-2698其他保險費</t>
  </si>
  <si>
    <t xml:space="preserve">T115UO040034   </t>
  </si>
  <si>
    <t>國內差旅及交通費-115/04/19產業交流與參訪暨校外教學保險費(41人)※品名:保險費</t>
  </si>
  <si>
    <t xml:space="preserve">T115UT030022   </t>
  </si>
  <si>
    <t>財稅系姚名鴻老師教學教材製作用訂閱ChatGPT Plus Subscription軟體使用費115年1月份※品名:軟體使用費</t>
  </si>
  <si>
    <t xml:space="preserve">T115UT030030   </t>
  </si>
  <si>
    <t>財稅系姚名鴻老師教學教材製作用訂閱NotebookLM軟體使用費115年2月份※品名:軟體使用費</t>
  </si>
  <si>
    <t xml:space="preserve">T115UT030032   </t>
  </si>
  <si>
    <t>財稅系姚名鴻老師教學教材製作用訂閱ChatGPT Plus Subscription軟體使用費115年2月份※品名:軟體使用費</t>
  </si>
  <si>
    <t xml:space="preserve">T115UH530033   </t>
  </si>
  <si>
    <t>學術研究及教學使用之書籍、文具、資訊設備等※品名:行動電源、無線網卡、鋰電池、CD筆、鋼珠筆、筆芯、圓規、膠帶、保麗龍膠、自動鉛筆、鋼筆、麥肯錫教企業這樣用AI數位轉型</t>
  </si>
  <si>
    <t>翁慈君</t>
  </si>
  <si>
    <t xml:space="preserve">T115UQ040043   </t>
  </si>
  <si>
    <t>實驗用-高純度氮氣(表單單號：P26041300001)※品名:高純度氮氣</t>
  </si>
  <si>
    <t xml:space="preserve">T115UC110085   </t>
  </si>
  <si>
    <t>執行躍升計畫國際化交流活動－信州大學學術交流活動餐費※品名:餐點</t>
  </si>
  <si>
    <t>T300615</t>
  </si>
  <si>
    <t xml:space="preserve">T115UE290144   </t>
  </si>
  <si>
    <t>2026第二十二屆全國電子設計創意競賽評審工作</t>
  </si>
  <si>
    <t xml:space="preserve">T115UP040041   </t>
  </si>
  <si>
    <t>會資系1150430專題講座餐盒※品名:餐盒</t>
  </si>
  <si>
    <t>會計資訊系</t>
  </si>
  <si>
    <t>T201641</t>
  </si>
  <si>
    <t xml:space="preserve">T115UD030108   </t>
  </si>
  <si>
    <t>1150323電通系舉辦115年太空產業供應鏈暨網通產業新興飛揚計畫-5G垂直應用實務工作坊邀請講師耀睿科技副總蔡志明副總經理及華電聯網劉姿君技術經理之鐘點費</t>
  </si>
  <si>
    <t>T201713</t>
  </si>
  <si>
    <t xml:space="preserve">T115UO040041   </t>
  </si>
  <si>
    <t>國內差旅及交通費-產業交流與參訪活動交通費※品名:遊覽車</t>
  </si>
  <si>
    <t>T201719</t>
  </si>
  <si>
    <t xml:space="preserve">T115UF010040   </t>
  </si>
  <si>
    <t>教學課程使用(執行計畫)F126土壤及岩石力學實驗室空間修繕(照明燈具更換)※品名:4尺雙管輕鋼架燈</t>
  </si>
  <si>
    <t xml:space="preserve">T115UE720083   </t>
  </si>
  <si>
    <t>工管系-林伯鴻115/04/25至台中討論國科會計畫</t>
  </si>
  <si>
    <t>林伯鴻</t>
  </si>
  <si>
    <t>T201737</t>
  </si>
  <si>
    <t xml:space="preserve">T115UD020064   </t>
  </si>
  <si>
    <t>辦理躍升計畫資料影印膠裝※品名:影印</t>
  </si>
  <si>
    <t>T201739</t>
  </si>
  <si>
    <t xml:space="preserve">T115UD020060   </t>
  </si>
  <si>
    <t>邀請中研院林于玲博士蒞系演講交通費</t>
  </si>
  <si>
    <t xml:space="preserve">T115UD020063   </t>
  </si>
  <si>
    <t>邀請養心心理治療所江柏均蒞系演講交通費</t>
  </si>
  <si>
    <t>T300644</t>
  </si>
  <si>
    <t xml:space="preserve">T115UD020059   </t>
  </si>
  <si>
    <t>邀請中研院林于玲博士蒞系演講鐘點費</t>
  </si>
  <si>
    <t xml:space="preserve">T115UD020061   </t>
  </si>
  <si>
    <t>邀請養心心理治療所江柏均蒞系演講</t>
  </si>
  <si>
    <t xml:space="preserve">T115UD030109   </t>
  </si>
  <si>
    <t>1150330電通系舉辦115年太空產業供應鏈暨網通產業新興飛揚計畫-5G垂直應用實務工作坊邀請講師華電聯網秦榕嬪經理之鐘點費</t>
  </si>
  <si>
    <t xml:space="preserve">T115UR010102   </t>
  </si>
  <si>
    <t>航技系115年4月13日邀請中鋼運通股份有限公司江欣澄管理師蒞校進行航運講座(講題內容:海法二三事)</t>
  </si>
  <si>
    <t xml:space="preserve">T115UR010103   </t>
  </si>
  <si>
    <t>航技系115年3月31日邀請光明海運船務部王鳳明協理蒞校進行航運講座(講題內容:守護碧海藍天-探討海員在預防溢海事故中的核心地位)</t>
  </si>
  <si>
    <t>T201754</t>
  </si>
  <si>
    <t xml:space="preserve">T115UH530041   </t>
  </si>
  <si>
    <t>影印資料用※品名:影印</t>
  </si>
  <si>
    <t>董玉娟</t>
  </si>
  <si>
    <t xml:space="preserve">T115UT000081   </t>
  </si>
  <si>
    <t>智慧商務系 購入辦公用品 文具一批※品名:文具附明細</t>
  </si>
  <si>
    <t xml:space="preserve">T115UO040039   </t>
  </si>
  <si>
    <t>誤餐費-115/04/19產業交流與參訪暨 校外教學晚餐誤餐費(42人)※品名:便當</t>
  </si>
  <si>
    <t xml:space="preserve">T115UF010043   </t>
  </si>
  <si>
    <t>補助學生參加競賽的住宿費※品名:住宿費</t>
  </si>
  <si>
    <t>T201756</t>
  </si>
  <si>
    <t xml:space="preserve">T115UO040038   </t>
  </si>
  <si>
    <t>誤餐費-115/04/19產業交流與參訪暨 校外教學午餐誤餐費(42人)※品名:便當</t>
  </si>
  <si>
    <t xml:space="preserve">T115UH530029   </t>
  </si>
  <si>
    <t>支付陳儀蓉老師4/9(四)13:20-16:20統一企業參訪車資費用※品名:車資</t>
  </si>
  <si>
    <t xml:space="preserve">T115US040041   </t>
  </si>
  <si>
    <t>承恩-4月份臨時工資</t>
  </si>
  <si>
    <t>海洋生物技術系</t>
  </si>
  <si>
    <t>T201781</t>
  </si>
  <si>
    <t xml:space="preserve">T115UT030045   </t>
  </si>
  <si>
    <t>T201791</t>
  </si>
  <si>
    <t xml:space="preserve">T115UT030040   </t>
  </si>
  <si>
    <t>財稅系姚名鴻老師教學教材製作用訂閱NotebookLM軟體使用費115年3月份※品名:軟體使用費</t>
  </si>
  <si>
    <t xml:space="preserve">T115UT030039   </t>
  </si>
  <si>
    <t>T201822</t>
  </si>
  <si>
    <t xml:space="preserve">T115UT000084   </t>
  </si>
  <si>
    <t>智商系支援廖奕雯老師教學/研究所需採購電腦周邊電子配件等支出※品名:記憶卡(512GB SDXC)、多功能集線器、固態硬碟(512GB)、無線鍵盤滑鼠組、充電器100W、行動硬碟(2.5" 1TB)</t>
  </si>
  <si>
    <t>T201824</t>
  </si>
  <si>
    <t xml:space="preserve">T115UM760073   </t>
  </si>
  <si>
    <t>付115.04.24觀光系陳光華老師配合躍升計畫執行地方創生課程帶碩專班學生至台南關子嶺校外參訪所需之交通費用。※品名:車資</t>
  </si>
  <si>
    <t>T201828</t>
  </si>
  <si>
    <t xml:space="preserve">T115UT000085   </t>
  </si>
  <si>
    <t>智商系支援廖奕雯老師教學/研究所需採購實驗文具用品暨資料儲存媒體等支出※品名:延長線(2.7米)、充電電池8入、標籤帶12MM、行動硬碟(512GB)</t>
  </si>
  <si>
    <t xml:space="preserve">T115UR030058   </t>
  </si>
  <si>
    <t>旗津校區/海資系/系所躍升計畫5月份工讀金－艾哲偉</t>
  </si>
  <si>
    <t xml:space="preserve">T115UQ010077   </t>
  </si>
  <si>
    <t>115年5月5日專題演講張家溥工程師鐘點費</t>
  </si>
  <si>
    <t xml:space="preserve">T115UQ010078   </t>
  </si>
  <si>
    <t>115年5月5日專題演講張家溥工程師交通費</t>
  </si>
  <si>
    <t xml:space="preserve">T115UT030050   </t>
  </si>
  <si>
    <t>財稅系姚名鴻老師教學研究材料製作用訂閱ChatGPT Plus Subscription軟體使用費115年3月份※品名:軟體使用費</t>
  </si>
  <si>
    <t>T201877</t>
  </si>
  <si>
    <t xml:space="preserve">T115UR010121   </t>
  </si>
  <si>
    <t>航技系115年4月28日邀請裕品實業股份有限公司陳明泰先生蒞校進行航運講座(講座內容:離岸風場海洋汙染緊急應變計劃)</t>
  </si>
  <si>
    <t>T300657</t>
  </si>
  <si>
    <t xml:space="preserve">T115UR030049   </t>
  </si>
  <si>
    <t>旗津校區/海資系/系所躍升計畫4月份工讀金－陳韋安、李知學</t>
  </si>
  <si>
    <t xml:space="preserve">T115UV000066   </t>
  </si>
  <si>
    <t>(楠梓-商資系-躍升計畫)業界專家專題講座鐘點費4000元
(115年4月29日，10:30-12:00，12:10-13:10，黃維毓工程師)</t>
  </si>
  <si>
    <t xml:space="preserve">T115UE150093   </t>
  </si>
  <si>
    <t>張主任學生開會。</t>
  </si>
  <si>
    <t>T201885</t>
  </si>
  <si>
    <t xml:space="preserve">T115UH530040   </t>
  </si>
  <si>
    <t>支付人資系陳儀蓉老師115年電腦周邊設備費用※品名:軟體使用費</t>
  </si>
  <si>
    <t xml:space="preserve">T115UQ010079   </t>
  </si>
  <si>
    <t>115年5月13日專題演講黃良田正訓練師交通費(起訖地點公里數：65.2公里，合計65.2公里*2次*3元/公里=391.2元)</t>
  </si>
  <si>
    <t xml:space="preserve">T115UP010082   </t>
  </si>
  <si>
    <t>金融系黃信嘉老師租用3D影像轉譯素材資料庫-1個月費用※品名:網路服務費</t>
  </si>
  <si>
    <t xml:space="preserve">T115UV000068   </t>
  </si>
  <si>
    <t>(楠梓-商資系-躍升計畫)業界專家專題講座交通2400元
(115年4月29日，高鐵新竹-左營，來回)</t>
  </si>
  <si>
    <t>T201913</t>
  </si>
  <si>
    <t xml:space="preserve">T115UJ020070   </t>
  </si>
  <si>
    <t>應日系實務專題暨交換留學抵免說明會所使用之餐費。時間:115/4/29 12:00-15:00，人數:5人，名單:林蕙美、齋美智子、陳佩君、王苡如、藍光芸※品名:餐費</t>
  </si>
  <si>
    <t xml:space="preserve">T115UC450051   </t>
  </si>
  <si>
    <t>購置軟體以利學習與研究※品名:XQ全球贏家</t>
  </si>
  <si>
    <t>金融資訊系</t>
  </si>
  <si>
    <t xml:space="preserve">T115UQ010081   </t>
  </si>
  <si>
    <t>115年5月12日專題演講盧建仲主任鐘點費</t>
  </si>
  <si>
    <t xml:space="preserve">T115UQ010082   </t>
  </si>
  <si>
    <t>115年5月12日專題演講盧建仲主任交通費</t>
  </si>
  <si>
    <t xml:space="preserve">T115UV000075   </t>
  </si>
  <si>
    <t>(楠梓-商資系-躍升計畫)115.05.13企業參訪校外教學保險費。(參訪地點：南投辰光能源科技，學生數：27人)※品名:保險費</t>
  </si>
  <si>
    <t>T201951</t>
  </si>
  <si>
    <t xml:space="preserve">T115UE150070   </t>
  </si>
  <si>
    <t>系所文具耗材請購※品名:4孔夾、11孔資料補充內帶、彩色長尾夾、修正內帶、膠水、螢光膠帶、泡棉膠帶、A4護貝膠膜、A4板夾、大公文封(10人)、立體牛皮公文封(10人)、中性筆、鋼珠筆、自動鉛筆芯、奇異筆、螢光筆、白板筆卡水、白板擦、削筆機、利貼、索引片、環保隨意貼、A4電腦標籤、夾鏈袋、切割墊、無痕掛勾、商品標示架</t>
  </si>
  <si>
    <t xml:space="preserve">T115UC110106   </t>
  </si>
  <si>
    <t>躍升計畫執行-日間部專題競賽書審資料印製與送審郵資。※品名:印刷費、郵資</t>
  </si>
  <si>
    <t>T201967</t>
  </si>
  <si>
    <t xml:space="preserve">T115UH530048   </t>
  </si>
  <si>
    <t>學術研究及教學使用之書籍、文具、資訊設備及軟體等※品名:螢光筆</t>
  </si>
  <si>
    <t>T201992</t>
  </si>
  <si>
    <t xml:space="preserve">T115UN040060   </t>
  </si>
  <si>
    <t>B511 許軒老師 拆除工程※品名:拆除工程</t>
  </si>
  <si>
    <t xml:space="preserve">T115UE720103   </t>
  </si>
  <si>
    <t>研究資料收集與分析:ESG揭露與GRI V.S. TCFD V.S. SASB V.S. ISSB V.S. IFRS整合※品名:研究資料收集與分析:ESG揭露與GRI V.S. TCFD V.S. SASB V.S. ISSB V.S. IFRS整合</t>
  </si>
  <si>
    <t>T202031</t>
  </si>
  <si>
    <t xml:space="preserve">T115UQ040056   </t>
  </si>
  <si>
    <t>執行計畫-精密儀器曝氣捕捉裝置耗材 (財編：3100908-49-2000001)※品名:曝氣管含套頭</t>
  </si>
  <si>
    <t xml:space="preserve">T115UN040104   </t>
  </si>
  <si>
    <t>AI認證工作坊與證照補助款-影印費※品名:影印費</t>
  </si>
  <si>
    <t xml:space="preserve">T115UN040105   </t>
  </si>
  <si>
    <t>AI認證工作坊與證照補助款-餐費※品名:4/26 餐費、飲料、5/2 餐費</t>
  </si>
  <si>
    <t xml:space="preserve">T115US040045   </t>
  </si>
  <si>
    <t>學生許銘倫、范育菱、陳品蓉、李紘宇等四人於5/11至5/13參加2026環境分析研討會之住宿費※品名:2026環境分析研討會住宿費</t>
  </si>
  <si>
    <t>蘇豐傑</t>
  </si>
  <si>
    <t xml:space="preserve">T115UC110115   </t>
  </si>
  <si>
    <t>執行躍升計畫-辦理IBET研討會籌備工作會議-餐費※品名:便當</t>
  </si>
  <si>
    <t xml:space="preserve">T115US040046   </t>
  </si>
  <si>
    <t>115年5月5日及5月12日林家豪副教授至台北參加115生物安全管理人員訓練課程，高鐵:左營-台北來回</t>
  </si>
  <si>
    <t>T202088</t>
  </si>
  <si>
    <t xml:space="preserve">T115UT030047   </t>
  </si>
  <si>
    <t>T202089</t>
  </si>
  <si>
    <t xml:space="preserve">T115UD020078   </t>
  </si>
  <si>
    <t>辦理躍升計畫課程相關資料輸出※品名:複印費</t>
  </si>
  <si>
    <t>T202093</t>
  </si>
  <si>
    <t xml:space="preserve">T115UQ040055   </t>
  </si>
  <si>
    <t>執行計畫-堆肥實驗用耗材乙批※品名:五金(三花棉紗手套)、五金(鐵柄叉鋤)、五金(木工鋸)、五金(虎牙修剪鋸)</t>
  </si>
  <si>
    <t xml:space="preserve">T115UE720116   </t>
  </si>
  <si>
    <t>DLT 2026數位生活科技研討會註冊費
Wifi 6 藍芽USB網卡※品名:DLT 2026數位生活科技研討會註冊費、Wifi 6 藍芽USB網卡</t>
  </si>
  <si>
    <t xml:space="preserve">T115UH530057   </t>
  </si>
  <si>
    <t>報支躍升計畫115/5/21專題講座黃瓊儀講師鐘點費</t>
  </si>
  <si>
    <t xml:space="preserve">T115UJ030039   </t>
  </si>
  <si>
    <t>外語學院應用德語系</t>
  </si>
  <si>
    <t xml:space="preserve">T115UQ010096   </t>
  </si>
  <si>
    <t>115年5月19日專題演講羅智勳副理鐘點費</t>
  </si>
  <si>
    <t xml:space="preserve">T115UQ010097   </t>
  </si>
  <si>
    <t>115年5月19日專題演講羅智勳副理交通費</t>
  </si>
  <si>
    <t xml:space="preserve">T115UQ040077   </t>
  </si>
  <si>
    <t>執行計畫用-空氣感測器耗材(開發板)※品名:(Pi 4/2G)樹莓派 Raspberry Pi 4 Mo del B/2GB 開發板、稅額</t>
  </si>
  <si>
    <t xml:space="preserve">T115UR030070   </t>
  </si>
  <si>
    <t>旗津校區/海資系/系所躍升計畫5月份工讀金－陳韋安、李知學</t>
  </si>
  <si>
    <t>T202117</t>
  </si>
  <si>
    <t xml:space="preserve">T115UH530049   </t>
  </si>
  <si>
    <t>報支躍升計畫用教學軟體使用費、影印費、文具一批※品名:3月份GAMMA、GAMMA(一年期)、GAMMA(一年期)國外交易手續費、影印費、影印膠裝、文具</t>
  </si>
  <si>
    <t>510301-2706佣金、匯費、經理費及手續費</t>
  </si>
  <si>
    <t xml:space="preserve">T115UD030123   </t>
  </si>
  <si>
    <t>電通系電腦教室記憶體更新※品名:8GB記憶體</t>
  </si>
  <si>
    <t xml:space="preserve">T115UT000087   </t>
  </si>
  <si>
    <t>智慧商務系 購入4孔夾 辦公用※品名:4孔夾</t>
  </si>
  <si>
    <t xml:space="preserve">T115UV000060   </t>
  </si>
  <si>
    <t>(楠梓-商資系)業界專家專題講座誤餐費7320元。(115年4月29日10:30-12:00，61人)※品名:便當</t>
  </si>
  <si>
    <t xml:space="preserve">T115UC110121   </t>
  </si>
  <si>
    <t>執行躍升計畫-辦理IBET研討會籌備工作會議5/21-餐費※品名:便當</t>
  </si>
  <si>
    <t xml:space="preserve">T115UM740046   </t>
  </si>
  <si>
    <t>配合躍升計畫, 舉辦活動講者iPad所需用之手寫筆※品名:手寫筆</t>
  </si>
  <si>
    <t xml:space="preserve">T115UF010066   </t>
  </si>
  <si>
    <t>維修電腦(財產編號:3140101-03-5008922)，執行計畫用※品名:記憶體(美光DDR4 3200 8GB)</t>
  </si>
  <si>
    <t>T202149</t>
  </si>
  <si>
    <t xml:space="preserve">T115UQ040060   </t>
  </si>
  <si>
    <t>執行計畫-實驗資料數據等儲存、野外樣品數據採集使用(環境有機分析實驗室)※品名:OTG隨身碟、記憶卡</t>
  </si>
  <si>
    <t>T202150</t>
  </si>
  <si>
    <t xml:space="preserve">T115UQ040061   </t>
  </si>
  <si>
    <t>執行計畫-實驗野外採樣儀器使用、成果發表及實驗線上會議使用(環境有機分析實驗室)※品名:USB外充變壓器、TYPE C TOC傳輸線、羅技視訊攝影機</t>
  </si>
  <si>
    <t>T300740</t>
  </si>
  <si>
    <t xml:space="preserve">T115UH530053   </t>
  </si>
  <si>
    <t>報支躍升計畫115/5/10專題講座黃瓊儀講師鐘點費</t>
  </si>
  <si>
    <t xml:space="preserve">T115UP040042   </t>
  </si>
  <si>
    <t>114-2會資系專題講座吳昇翰講師鐘點費</t>
  </si>
  <si>
    <t xml:space="preserve">T115UB000225   </t>
  </si>
  <si>
    <t>製作專題實驗用器材※品名:無線鍵盤</t>
  </si>
  <si>
    <t xml:space="preserve">T115UR010155   </t>
  </si>
  <si>
    <t>114-2學期四技專題實務課程成果報告展示海報製作。※品名:海報</t>
  </si>
  <si>
    <t>T202211</t>
  </si>
  <si>
    <t>510301-4401船租</t>
  </si>
  <si>
    <t xml:space="preserve">T115UQ040072   </t>
  </si>
  <si>
    <t>執行實驗計畫用-台中港租船採樣費用※品名:大瀚2號工作船台中港區採水(含稅)</t>
  </si>
  <si>
    <t>T202242</t>
  </si>
  <si>
    <t xml:space="preserve">T115UE150089   </t>
  </si>
  <si>
    <t xml:space="preserve">T115UF010044   </t>
  </si>
  <si>
    <t>補助學生陳修毅、王彥鈞參加競賽的材料費※品名:材料費</t>
  </si>
  <si>
    <t>T202252</t>
  </si>
  <si>
    <t xml:space="preserve">T115UV000072   </t>
  </si>
  <si>
    <t>(楠梓-商資系-躍升計畫)115.05.13企業參訪校外教學遊覽車資。(參訪地點：南投辰光能源科技，參訪師生數：31人)※品名:車資</t>
  </si>
  <si>
    <t>T300787</t>
  </si>
  <si>
    <t xml:space="preserve">T115UC110100   </t>
  </si>
  <si>
    <t>協助躍升計畫執行工讀金-王博毅</t>
  </si>
  <si>
    <t xml:space="preserve">T115UE150104   </t>
  </si>
  <si>
    <t>後端系統介接開發與測試服務(產學合作測試使用)。※品名:後端系統串接服務 (含國外交易服務費)</t>
  </si>
  <si>
    <t xml:space="preserve">T115UE150105   </t>
  </si>
  <si>
    <t>Claude AI-AI開發工具，協助程式開發使用。※品名:Claude AI 使用費(含國外交易服務費)</t>
  </si>
  <si>
    <t xml:space="preserve">T115UN040113   </t>
  </si>
  <si>
    <t>AI認證工作坊與證照補助款-證照輔導班講師鐘點費※品名:講師鐘點費</t>
  </si>
  <si>
    <t xml:space="preserve">T115UQ010104   </t>
  </si>
  <si>
    <t>受款人：睿朱數位電商股份有限公司，執行計畫用※品名:彩色影印費</t>
  </si>
  <si>
    <t>T202270</t>
  </si>
  <si>
    <t xml:space="preserve">T115UE720094   </t>
  </si>
  <si>
    <t>木芯板:實驗室空間分隔使用
角材:實驗室空間分隔使用
合板:實驗室空間分隔使用※品名:五金耗材(木芯板等)</t>
  </si>
  <si>
    <t>T202274</t>
  </si>
  <si>
    <t xml:space="preserve">T115UT000091   </t>
  </si>
  <si>
    <t>智商系建工系辦公務用文具品支出※品名:公文封</t>
  </si>
  <si>
    <t xml:space="preserve">T115UC110105   </t>
  </si>
  <si>
    <t>執行躍升計畫-日間部專題競賽工作會議餐費※品名:餐費</t>
  </si>
  <si>
    <t>T202280</t>
  </si>
  <si>
    <t xml:space="preserve">T115UT000083   </t>
  </si>
  <si>
    <t>智商系支援侯易佑老師教學/研究所需採購實驗用品暨文具品等支出※品名:AI翻譯機、血壓感測器、變壓器、文具品</t>
  </si>
  <si>
    <t>T202281</t>
  </si>
  <si>
    <t xml:space="preserve">T115UQ010085   </t>
  </si>
  <si>
    <t>受款人：興林電子實業有限公司，電工學實驗課程材料費※品名:MO電阻 2w-50Ω、MO電阻 2w-100Ω、MO電阻 2w-200Ω、保險絲 20mm 0.5A</t>
  </si>
  <si>
    <t xml:space="preserve">T115UM740038   </t>
  </si>
  <si>
    <t>配合躍升計畫, 舉辦活動講者筆電投影所需用之集線器※品名:5合一多功能集線器</t>
  </si>
  <si>
    <t>T202282</t>
  </si>
  <si>
    <t xml:space="preserve">T115UF090082   </t>
  </si>
  <si>
    <t>機電工程系學生實務專題實驗用-3D列印線材※品名:3D列印線材</t>
  </si>
  <si>
    <t xml:space="preserve">T115UF090083   </t>
  </si>
  <si>
    <t>機電工程系學生實務專題實驗用-軸承※品名:軸承</t>
  </si>
  <si>
    <t xml:space="preserve">T115UF090084   </t>
  </si>
  <si>
    <t>機電工程系學生實務專題實驗用-SUS螺絲※品名:軸承</t>
  </si>
  <si>
    <t xml:space="preserve">T115UF090085   </t>
  </si>
  <si>
    <t>機電工程系學生實務專題實驗用-ESP32開發板※品名:ESP32開發板</t>
  </si>
  <si>
    <t xml:space="preserve">T115UF090086   </t>
  </si>
  <si>
    <t>機電工程系學生實務專題實驗用-語音辨識控制模組、大扭力舵機、16路PWM...等※品名:語音辨識控制模組、大扭力舵機...等</t>
  </si>
  <si>
    <t xml:space="preserve">T115UF090088   </t>
  </si>
  <si>
    <t>T202309</t>
  </si>
  <si>
    <t xml:space="preserve">T115US020102   </t>
  </si>
  <si>
    <t>水食工廠用※品名:鱷魚超完美(BAIT)、IRIS全罩式水管車</t>
  </si>
  <si>
    <t>T300791</t>
  </si>
  <si>
    <t xml:space="preserve">T115UQ010080   </t>
  </si>
  <si>
    <t>115年5月13日專題演講黃良田正訓練師專題演講鐘點費</t>
  </si>
  <si>
    <t xml:space="preserve">T115UB000232   </t>
  </si>
  <si>
    <t>進無塵室製作專題使用耗材※品名:防化靴、C級鞋套、分裝罐</t>
  </si>
  <si>
    <t xml:space="preserve">T115UC110123   </t>
  </si>
  <si>
    <t>執行躍升計畫-日間部專題競賽第二次工作會議餐費※品名:餐費</t>
  </si>
  <si>
    <t xml:space="preserve">T115UO040069   </t>
  </si>
  <si>
    <t>2026研討會差旅費高鐵台中左營來回(杜光玉)</t>
  </si>
  <si>
    <t>戴堯種</t>
  </si>
  <si>
    <t xml:space="preserve">T115UP010101   </t>
  </si>
  <si>
    <t>金融系黃信嘉老師租用線上翻譯軟體費用(2026.05.01-2027.04.30)※品名:線上翻譯軟體租用費</t>
  </si>
  <si>
    <t xml:space="preserve">T115UB000243   </t>
  </si>
  <si>
    <t>製作專題實驗用耗材※品名:密林置物籃、玻璃清潔劑、大圖、濾毒罐</t>
  </si>
  <si>
    <t xml:space="preserve">T115UB000244   </t>
  </si>
  <si>
    <t>製作專題實驗室用耗材※品名:乙醇、電子秤、燙傷藥膏、紗布...等</t>
  </si>
  <si>
    <t xml:space="preserve">T115UB000245   </t>
  </si>
  <si>
    <t>製作專題實驗用器材※品名:噴墨複合機、墨水匣</t>
  </si>
  <si>
    <t xml:space="preserve">T115UD020106   </t>
  </si>
  <si>
    <t>B507實驗室製作專題之電子零件材料※品名:無線發射模組等、電子零件一批(明細如出貨單)、CN3722太陽能多功能、ESP32開發板 WIFI+藍芽模組</t>
  </si>
  <si>
    <t xml:space="preserve">T115UQ010106   </t>
  </si>
  <si>
    <t>115年5月26日專題演講吳俊概博士鐘點費</t>
  </si>
  <si>
    <t xml:space="preserve">T115UQ010107   </t>
  </si>
  <si>
    <t>115年5月26日專題演講吳俊概博士交通費</t>
  </si>
  <si>
    <t>1150529</t>
  </si>
  <si>
    <t xml:space="preserve">T115UC110124   </t>
  </si>
  <si>
    <t>執行躍升計畫-辦理IBET研討會用印刷品-彩色布條、手冊影印※品名:彩色布條、影印</t>
  </si>
  <si>
    <t xml:space="preserve">T115UC110125   </t>
  </si>
  <si>
    <t>執行躍升計畫-辦理IBET研討會5/28-餐費※品名:便當</t>
  </si>
  <si>
    <t xml:space="preserve">T115UO040073   </t>
  </si>
  <si>
    <t>工讀費184小時(13位8時、1位30小時、1位50小時)</t>
  </si>
  <si>
    <t xml:space="preserve">預算:8,119,450,實支:1,825,796,簽證數:332,298,請購未銷:44,500,暫付:0,暫收:0,餘額:5,916,856 </t>
  </si>
  <si>
    <t>T201114</t>
  </si>
  <si>
    <t>510301-230204國外旅費-開會</t>
  </si>
  <si>
    <t xml:space="preserve">T115UR020044   </t>
  </si>
  <si>
    <t>計畫用-楊春陵老師115年2月28日至3月7日-日本ISPlasma2026研討會(國外出差費用總計70,157元，系所躍升計畫支應15,000元，剩餘55,157元不足的費用由建教合作結餘款-楊春陵項下支應)</t>
  </si>
  <si>
    <t>楊春陵</t>
  </si>
  <si>
    <t>T201171</t>
  </si>
  <si>
    <t xml:space="preserve">T115US040010   </t>
  </si>
  <si>
    <t>鄭至玉老師前往越南公差參訪與參加The 16th AFOB Regional Symposium (ARS 2026)</t>
  </si>
  <si>
    <t xml:space="preserve">T115US040035   </t>
  </si>
  <si>
    <t>海生系助理教授蘇豐傑前往日本參加春季水產年會</t>
  </si>
  <si>
    <t xml:space="preserve">T115UT030043   </t>
  </si>
  <si>
    <t>財稅系彭琪祿老師前往泰國曼谷參加「2026WEAI_18th International Conference」研討會115.3.31~115.4.4共5天差旅費總共$62,762;與D115003744購案$10,962分攤支應</t>
  </si>
  <si>
    <t xml:space="preserve">T115UD020067   </t>
  </si>
  <si>
    <t>115.04.13-115.04.17電子系吳毓恩老師至日本京都參加2026 ICASI國際學術研討會並發表論文(日本京都)-支出分攤:115TSD00-8 $2萬、114B1063 $6萬、K2-11014 $1424
(併B115007479、K115003152)</t>
  </si>
  <si>
    <t xml:space="preserve">T115UR020084   </t>
  </si>
  <si>
    <t>輪機系_115年4月7日至15日孫建中老師赴日本東京參加2026 the 10th International Conference on Innovation in Artificial Intelligence (ICIAI 2026)補助差旅費用。
總額101489元，由115TSD00-8系所要升計畫第二期第二年支應15000元(T115UR020084)不足額度由114B1185(B115007783)分攤支應。</t>
  </si>
  <si>
    <t xml:space="preserve">T115UE230048   </t>
  </si>
  <si>
    <t>差旅費:王裕仁教授 事由：2/03-2/12赴日本大阪進行學術交流{02/03-02/12}併K115002834</t>
  </si>
  <si>
    <t>王裕仁</t>
  </si>
  <si>
    <t>T201751</t>
  </si>
  <si>
    <t>510301-230209國外旅費-業務洽談</t>
  </si>
  <si>
    <t xml:space="preserve">T115UM740027   </t>
  </si>
  <si>
    <t>盧正壽主任115年03月29日~04月05日前往法國馬賽與法國凱致商學院簽訂雙聯學制合約, 國外出差旅費</t>
  </si>
  <si>
    <t>T201944</t>
  </si>
  <si>
    <t>510301-230207國外旅費-研究</t>
  </si>
  <si>
    <t xml:space="preserve">T115UO030027   </t>
  </si>
  <si>
    <t>躍升計畫_補助潘郁仁教授115.1.19-115.1.24至日本參加「ICSIM 2026』國際研討會之差旅費24050元(本次公差共支出67,783元，扣除躍升計畫補助部分日支費24050元後，餘43733元分別由:
1.國際處出席國際學術會議補助經費支出日支費10000元。
2.由潘郁仁教授計畫結餘款支出日支費餘額4915元及機票28818元。</t>
  </si>
  <si>
    <t xml:space="preserve">T115UN010066   </t>
  </si>
  <si>
    <t>【躍升計畫】：資管系曾守正老師115.5.13-17前往日本京都參加ICMHI 2026研討會並發表論文(114B1098、115TSD00-8支出分攤分別52,375元及10,000元）</t>
  </si>
  <si>
    <t xml:space="preserve">T115UV010002   </t>
  </si>
  <si>
    <t>(楠梓-商資系-躍升計畫)林繼昌副教授赴南韓中央大學短期移地教學之生活費(4月28日至4月30日生活費：290美金/天×31.5台幣匯率×3日)</t>
  </si>
  <si>
    <t>林繼昌</t>
  </si>
  <si>
    <t>1150601</t>
  </si>
  <si>
    <t>T202311</t>
  </si>
  <si>
    <t xml:space="preserve">T115UR020043   </t>
  </si>
  <si>
    <t>徐國欽老師115年2月28日至3月7日-日本ISPlasma2026研討會(國外出差費用總計68,808元，系所躍升計畫支應15,000元，剩餘53,808元，金屬有機框架衍生物材料結合還原法修飾金屬氧化物開發具低能耗且高響應之氣體感測器(114B1118)支應41,738，不足12,070元由徐國欽老師自行支應)</t>
  </si>
  <si>
    <t>徐國欽</t>
  </si>
  <si>
    <t xml:space="preserve">預算:1,635,400,實支:183,970,簽證數:156,391,請購未銷:0,暫付:0,暫收:0,餘額:1,295,039 </t>
  </si>
  <si>
    <t xml:space="preserve">預算:30,000,實支:0,簽證數:0,請購未銷:0,暫付:0,暫收:0,餘額:30,000 </t>
  </si>
  <si>
    <t>1150206</t>
  </si>
  <si>
    <t xml:space="preserve">T115UM740010   </t>
  </si>
  <si>
    <t>配合躍升計畫,購置教學及研究用軟體※品名:Arena軟體系統網路2年使用版</t>
  </si>
  <si>
    <t>1150223</t>
  </si>
  <si>
    <t xml:space="preserve">T115UP010016   </t>
  </si>
  <si>
    <t>金融系執行躍昇計畫所需採購TESG永續發展指標※品名:TESG永續發展指標</t>
  </si>
  <si>
    <t xml:space="preserve">T115UP040019   </t>
  </si>
  <si>
    <t>114.2(燕巢會資系)-MA325電腦教室-購置JCAATs AI稽核軟體單機教育版20套-教學用※品名:JCAATs AI稽核軟體單機教育版</t>
  </si>
  <si>
    <t>T200785</t>
  </si>
  <si>
    <t xml:space="preserve">T115UT030021   </t>
  </si>
  <si>
    <t>1150327</t>
  </si>
  <si>
    <t xml:space="preserve">T115UE720030   </t>
  </si>
  <si>
    <t>軟體※品名:軟體</t>
  </si>
  <si>
    <t>蘇明鴻</t>
  </si>
  <si>
    <t xml:space="preserve">T115UQ010066   </t>
  </si>
  <si>
    <t>教學及研究用船舶性能設計與分析軟體永久授權商業版，買斷※品名:MAXSURF永久授權商業版，買斷</t>
  </si>
  <si>
    <t>1150503</t>
  </si>
  <si>
    <t xml:space="preserve">T115UH530047   </t>
  </si>
  <si>
    <t>學術研究及教學使用之書籍、文具、資訊設備及軟體等※品名:DaVinci Resolve Studio 正版軟體</t>
  </si>
  <si>
    <t>T201537</t>
  </si>
  <si>
    <t xml:space="preserve">T115UH530024   </t>
  </si>
  <si>
    <t>報支nuHRM人資系統(2年期租賃)※品名:nuHRM人資系統</t>
  </si>
  <si>
    <t xml:space="preserve">T115UE720088   </t>
  </si>
  <si>
    <t>教學研究用採購智能異常檢測系統※品名:聯邦式智能異常檢測系統</t>
  </si>
  <si>
    <t>林國義</t>
  </si>
  <si>
    <t xml:space="preserve">T115UE720089   </t>
  </si>
  <si>
    <t>教學研究用高效能工業製程優化平台※品名:高效能工業製程優化平台</t>
  </si>
  <si>
    <t xml:space="preserve">T115UE310060   </t>
  </si>
  <si>
    <t>購置逆向工程軟體※品名:逆向工程軟體</t>
  </si>
  <si>
    <t>常閎智</t>
  </si>
  <si>
    <t xml:space="preserve">T115UP040059   </t>
  </si>
  <si>
    <t>(燕巢會資系)-Stata/BE 19-教學研究用※品名:Stata /BE 19</t>
  </si>
  <si>
    <t xml:space="preserve">T115UE720122   </t>
  </si>
  <si>
    <t>IOT雲端空氣檢測軟體:ESG相關課程使用。※品名:IOT雲端空氣檢測軟體</t>
  </si>
  <si>
    <t xml:space="preserve">預算:7,416,500,實支:161,810,簽證數:480,189,請購未銷:2,940,810,暫付:0,暫收:0,餘額:3,833,691 </t>
  </si>
  <si>
    <t>成批暫付</t>
  </si>
  <si>
    <t xml:space="preserve">預算:0,實支:0,簽證數:0,請購未銷:0,暫付:0,暫收:0,餘額: </t>
  </si>
  <si>
    <t>系所</t>
    <phoneticPr fontId="5" type="noConversion"/>
  </si>
  <si>
    <t>企管系</t>
    <phoneticPr fontId="5" type="noConversion"/>
  </si>
  <si>
    <t>金融系</t>
    <phoneticPr fontId="5" type="noConversion"/>
  </si>
  <si>
    <t>會資系</t>
  </si>
  <si>
    <t>會資系</t>
    <phoneticPr fontId="5" type="noConversion"/>
  </si>
  <si>
    <t>財稅系</t>
  </si>
  <si>
    <t>財稅系</t>
    <phoneticPr fontId="5" type="noConversion"/>
  </si>
  <si>
    <t>工管系</t>
  </si>
  <si>
    <t>工管系</t>
    <phoneticPr fontId="5" type="noConversion"/>
  </si>
  <si>
    <t>人資系</t>
    <phoneticPr fontId="5" type="noConversion"/>
  </si>
  <si>
    <t>模具系</t>
  </si>
  <si>
    <t>模具系</t>
    <phoneticPr fontId="5" type="noConversion"/>
  </si>
  <si>
    <t>造船系</t>
  </si>
  <si>
    <t>造船系</t>
    <phoneticPr fontId="5" type="noConversion"/>
  </si>
  <si>
    <t>輪機系</t>
  </si>
  <si>
    <t>輪機系</t>
    <phoneticPr fontId="5" type="noConversion"/>
  </si>
  <si>
    <t>海生系</t>
  </si>
  <si>
    <t>海生系</t>
    <phoneticPr fontId="5" type="noConversion"/>
  </si>
  <si>
    <t>電子系(第一)</t>
  </si>
  <si>
    <t>電子系(第一)</t>
    <phoneticPr fontId="5" type="noConversion"/>
  </si>
  <si>
    <t>土木系</t>
    <phoneticPr fontId="5" type="noConversion"/>
  </si>
  <si>
    <t>供應鏈系</t>
  </si>
  <si>
    <t>供應鏈系</t>
    <phoneticPr fontId="5" type="noConversion"/>
  </si>
  <si>
    <t>資管系</t>
  </si>
  <si>
    <t>資管系</t>
    <phoneticPr fontId="5" type="noConversion"/>
  </si>
  <si>
    <t>商資系</t>
  </si>
  <si>
    <t>商資系</t>
    <phoneticPr fontId="5" type="noConversion"/>
  </si>
  <si>
    <t>半導體系</t>
  </si>
  <si>
    <t>半導體系</t>
    <phoneticPr fontId="5" type="noConversion"/>
  </si>
  <si>
    <t>國企系</t>
    <phoneticPr fontId="5" type="noConversion"/>
  </si>
  <si>
    <t>金資系</t>
    <phoneticPr fontId="5" type="noConversion"/>
  </si>
  <si>
    <t>電通系</t>
  </si>
  <si>
    <t>電通系</t>
    <phoneticPr fontId="5" type="noConversion"/>
  </si>
  <si>
    <t>資工系</t>
  </si>
  <si>
    <t>資工系</t>
    <phoneticPr fontId="5" type="noConversion"/>
  </si>
  <si>
    <t>電子系(建工)</t>
  </si>
  <si>
    <t>電子系(建工)</t>
    <phoneticPr fontId="5" type="noConversion"/>
  </si>
  <si>
    <t>營建系</t>
  </si>
  <si>
    <t>營建系</t>
    <phoneticPr fontId="5" type="noConversion"/>
  </si>
  <si>
    <t>機電系</t>
  </si>
  <si>
    <t>機電系</t>
    <phoneticPr fontId="5" type="noConversion"/>
  </si>
  <si>
    <t>應日系</t>
  </si>
  <si>
    <t>應日系</t>
    <phoneticPr fontId="5" type="noConversion"/>
  </si>
  <si>
    <t>應德系</t>
    <phoneticPr fontId="5" type="noConversion"/>
  </si>
  <si>
    <t>觀光系</t>
    <phoneticPr fontId="5" type="noConversion"/>
  </si>
  <si>
    <t>行銷系</t>
  </si>
  <si>
    <t>行銷系</t>
    <phoneticPr fontId="5" type="noConversion"/>
  </si>
  <si>
    <t>海休系</t>
  </si>
  <si>
    <t>海休系</t>
    <phoneticPr fontId="5" type="noConversion"/>
  </si>
  <si>
    <t>風管系</t>
  </si>
  <si>
    <t>風管系</t>
    <phoneticPr fontId="5" type="noConversion"/>
  </si>
  <si>
    <t>海環系</t>
  </si>
  <si>
    <t>海環系</t>
    <phoneticPr fontId="5" type="noConversion"/>
  </si>
  <si>
    <t>航技系</t>
  </si>
  <si>
    <t>航技系</t>
    <phoneticPr fontId="5" type="noConversion"/>
  </si>
  <si>
    <t>海資系</t>
  </si>
  <si>
    <t>海資系</t>
    <phoneticPr fontId="5" type="noConversion"/>
  </si>
  <si>
    <t>水食系</t>
  </si>
  <si>
    <t>水食系</t>
    <phoneticPr fontId="5" type="noConversion"/>
  </si>
  <si>
    <t>智商系</t>
  </si>
  <si>
    <t>智商系</t>
    <phoneticPr fontId="5" type="noConversion"/>
  </si>
  <si>
    <t>列標籤</t>
  </si>
  <si>
    <t>總計</t>
  </si>
  <si>
    <t>加總 - 金額</t>
  </si>
  <si>
    <t>化材系</t>
    <phoneticPr fontId="5" type="noConversion"/>
  </si>
  <si>
    <t>機械系</t>
  </si>
  <si>
    <t>機械系</t>
    <phoneticPr fontId="5" type="noConversion"/>
  </si>
  <si>
    <t>電機系</t>
    <phoneticPr fontId="5" type="noConversion"/>
  </si>
  <si>
    <t>環安系</t>
  </si>
  <si>
    <t>環安系</t>
    <phoneticPr fontId="5" type="noConversion"/>
  </si>
  <si>
    <t>工設系</t>
  </si>
  <si>
    <t>工設系</t>
    <phoneticPr fontId="5" type="noConversion"/>
  </si>
  <si>
    <t>應英系</t>
  </si>
  <si>
    <t>應英系</t>
    <phoneticPr fontId="5" type="noConversion"/>
  </si>
  <si>
    <t>科法所</t>
  </si>
  <si>
    <t>科法所</t>
    <phoneticPr fontId="5" type="noConversion"/>
  </si>
  <si>
    <t>航管系</t>
  </si>
  <si>
    <t>航管系</t>
    <phoneticPr fontId="5" type="noConversion"/>
  </si>
  <si>
    <t>財管系</t>
  </si>
  <si>
    <t>財管系</t>
    <phoneticPr fontId="5" type="noConversion"/>
  </si>
  <si>
    <t>漁管系</t>
  </si>
  <si>
    <t>漁管系</t>
    <phoneticPr fontId="5" type="noConversion"/>
  </si>
  <si>
    <t>金資系</t>
  </si>
  <si>
    <t>應德系</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</si>
</sst>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76" formatCode="#,##0_ "/>
    <numFmt numFmtId="177" formatCode="#,##0_);[Red]\(#,##0\)"/>
    <numFmt numFmtId="178" formatCode="0.00_);[Red]\(0.00\)"/>
  </numFmts>
  <fonts count="9" x14ac:knownFonts="1">
    <font>
      <sz val="12"/>
      <color theme="1"/>
      <name val="新細明體"/>
      <family val="2"/>
      <scheme val="minor"/>
    </font>
    <font>
      <sz val="12"/>
      <color theme="1"/>
      <name val="標楷體"/>
      <family val="4"/>
    </font>
    <font>
      <b/>
      <sz val="12"/>
      <color theme="1"/>
      <name val="標楷體"/>
      <family val="4"/>
    </font>
    <font>
      <u/>
      <sz val="20"/>
      <color theme="1"/>
      <name val="標楷體"/>
      <family val="4"/>
    </font>
    <font>
      <sz val="12"/>
      <color theme="1"/>
      <name val="新細明體"/>
      <family val="2"/>
      <scheme val="minor"/>
    </font>
    <font>
      <sz val="9"/>
      <name val="新細明體"/>
      <family val="3"/>
      <charset val="136"/>
      <scheme val="minor"/>
    </font>
    <font>
      <sz val="10"/>
      <color theme="1"/>
      <name val="標楷體"/>
      <family val="4"/>
    </font>
    <font>
      <sz val="10"/>
      <color theme="1"/>
      <name val="新細明體"/>
      <family val="2"/>
      <scheme val="minor"/>
    </font>
    <font>
      <sz val="10"/>
      <color theme="1"/>
      <name val="標楷體"/>
      <family val="4"/>
      <charset val="136"/>
    </font>
  </fonts>
  <fills count="2">
    <fill>
      <patternFill patternType="none"/>
    </fill>
    <fill>
      <patternFill patternType="gray125"/>
    </fill>
  </fills>
  <borders count="12">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ck">
        <color auto="1"/>
      </bottom>
      <diagonal/>
    </border>
    <border>
      <left/>
      <right/>
      <top/>
      <bottom style="thin">
        <color auto="1"/>
      </bottom>
      <diagonal/>
    </border>
  </borders>
  <cellStyleXfs count="3">
    <xf numFmtId="0" fontId="0" fillId="0" borderId="0">
      <alignment vertical="center"/>
    </xf>
    <xf numFmtId="43" fontId="4" fillId="0" borderId="0">
      <alignment vertical="center"/>
    </xf>
    <xf numFmtId="9" fontId="4" fillId="0" borderId="0">
      <alignment vertical="center"/>
    </xf>
  </cellStyleXfs>
  <cellXfs count="65">
    <xf numFmtId="0" fontId="0" fillId="0" borderId="0" xfId="0" applyNumberFormat="1" applyFont="1" applyFill="1" applyBorder="1">
      <alignment vertical="center"/>
    </xf>
    <xf numFmtId="0" fontId="0" fillId="0" borderId="0" xfId="0" applyNumberFormat="1" applyFont="1" applyFill="1" applyBorder="1">
      <alignment vertical="center"/>
    </xf>
    <xf numFmtId="0" fontId="1" fillId="0" borderId="0" xfId="0" applyNumberFormat="1" applyFont="1" applyFill="1" applyBorder="1">
      <alignment vertical="center"/>
    </xf>
    <xf numFmtId="176" fontId="1" fillId="0" borderId="1" xfId="0" applyNumberFormat="1" applyFont="1" applyFill="1" applyBorder="1" applyAlignment="1">
      <alignment vertical="center" wrapText="1"/>
    </xf>
    <xf numFmtId="176" fontId="1" fillId="0" borderId="1" xfId="0" applyNumberFormat="1" applyFont="1" applyFill="1" applyBorder="1" applyAlignment="1">
      <alignment horizontal="right" vertical="center" wrapText="1"/>
    </xf>
    <xf numFmtId="177" fontId="1" fillId="0" borderId="1" xfId="0" applyNumberFormat="1" applyFont="1" applyFill="1" applyBorder="1" applyAlignment="1">
      <alignment vertical="center" wrapText="1"/>
    </xf>
    <xf numFmtId="176" fontId="1" fillId="0" borderId="1" xfId="0" applyNumberFormat="1" applyFont="1" applyFill="1" applyBorder="1" applyAlignment="1">
      <alignment horizontal="center" vertical="center"/>
    </xf>
    <xf numFmtId="176" fontId="1" fillId="0" borderId="0" xfId="0" applyNumberFormat="1" applyFont="1" applyFill="1" applyBorder="1">
      <alignment vertical="center"/>
    </xf>
    <xf numFmtId="0" fontId="1" fillId="0" borderId="1" xfId="0" applyNumberFormat="1" applyFont="1" applyFill="1" applyBorder="1" applyAlignment="1">
      <alignment horizontal="center" vertical="center"/>
    </xf>
    <xf numFmtId="0" fontId="1" fillId="0" borderId="1" xfId="0" applyNumberFormat="1" applyFont="1" applyFill="1" applyBorder="1" applyAlignment="1">
      <alignment horizontal="center" vertical="center" wrapText="1"/>
    </xf>
    <xf numFmtId="0" fontId="1" fillId="0" borderId="0" xfId="0" applyNumberFormat="1" applyFont="1" applyFill="1" applyBorder="1" applyAlignment="1">
      <alignment vertical="center" wrapText="1"/>
    </xf>
    <xf numFmtId="0" fontId="2" fillId="0" borderId="1" xfId="0" applyNumberFormat="1" applyFont="1" applyFill="1" applyBorder="1" applyAlignment="1">
      <alignment horizontal="left" vertical="center" wrapText="1"/>
    </xf>
    <xf numFmtId="176" fontId="1" fillId="0" borderId="3" xfId="0" applyNumberFormat="1" applyFont="1" applyFill="1" applyBorder="1" applyAlignment="1">
      <alignment horizontal="center" vertical="center"/>
    </xf>
    <xf numFmtId="0" fontId="1" fillId="0" borderId="0" xfId="0" applyNumberFormat="1" applyFont="1" applyFill="1" applyBorder="1" applyAlignment="1">
      <alignment horizontal="left" vertical="center" wrapText="1"/>
    </xf>
    <xf numFmtId="0" fontId="1" fillId="0" borderId="1" xfId="0" applyNumberFormat="1" applyFont="1" applyFill="1" applyBorder="1" applyAlignment="1">
      <alignment vertical="center" wrapText="1"/>
    </xf>
    <xf numFmtId="0" fontId="1" fillId="0" borderId="1" xfId="0" applyNumberFormat="1" applyFont="1" applyFill="1" applyBorder="1">
      <alignment vertical="center"/>
    </xf>
    <xf numFmtId="176" fontId="1" fillId="0" borderId="1" xfId="0" applyNumberFormat="1" applyFont="1" applyFill="1" applyBorder="1">
      <alignment vertical="center"/>
    </xf>
    <xf numFmtId="176" fontId="1" fillId="0" borderId="1" xfId="1" applyNumberFormat="1" applyFont="1" applyFill="1" applyBorder="1" applyAlignment="1">
      <alignment horizontal="right" vertical="center" wrapText="1"/>
    </xf>
    <xf numFmtId="3" fontId="1" fillId="0" borderId="0" xfId="0" applyNumberFormat="1" applyFont="1" applyFill="1" applyBorder="1" applyAlignment="1">
      <alignment vertical="center" wrapText="1"/>
    </xf>
    <xf numFmtId="0" fontId="1" fillId="0" borderId="1" xfId="0" applyNumberFormat="1" applyFont="1" applyFill="1" applyBorder="1" applyAlignment="1">
      <alignment horizontal="right" vertical="center" wrapText="1"/>
    </xf>
    <xf numFmtId="0" fontId="1" fillId="0" borderId="1" xfId="0" applyNumberFormat="1" applyFont="1" applyFill="1" applyBorder="1" applyAlignment="1">
      <alignment horizontal="right" vertical="center"/>
    </xf>
    <xf numFmtId="176" fontId="1" fillId="0" borderId="0" xfId="0" applyNumberFormat="1" applyFont="1" applyFill="1" applyBorder="1" applyAlignment="1">
      <alignment vertical="center" wrapText="1"/>
    </xf>
    <xf numFmtId="0" fontId="1" fillId="0" borderId="10" xfId="0" applyNumberFormat="1" applyFont="1" applyFill="1" applyBorder="1">
      <alignment vertical="center"/>
    </xf>
    <xf numFmtId="0" fontId="1" fillId="0" borderId="10" xfId="0" applyNumberFormat="1" applyFont="1" applyFill="1" applyBorder="1" applyAlignment="1">
      <alignment vertical="center" wrapText="1"/>
    </xf>
    <xf numFmtId="3" fontId="1" fillId="0" borderId="10" xfId="0" applyNumberFormat="1" applyFont="1" applyFill="1" applyBorder="1" applyAlignment="1">
      <alignment vertical="center" wrapText="1"/>
    </xf>
    <xf numFmtId="0" fontId="2" fillId="0" borderId="10" xfId="0" applyNumberFormat="1" applyFont="1" applyFill="1" applyBorder="1">
      <alignment vertical="center"/>
    </xf>
    <xf numFmtId="0" fontId="1" fillId="0" borderId="11" xfId="0" applyNumberFormat="1" applyFont="1" applyFill="1" applyBorder="1">
      <alignment vertical="center"/>
    </xf>
    <xf numFmtId="0" fontId="1" fillId="0" borderId="11" xfId="0" applyNumberFormat="1" applyFont="1" applyFill="1" applyBorder="1" applyAlignment="1">
      <alignment vertical="center" wrapText="1"/>
    </xf>
    <xf numFmtId="176" fontId="1" fillId="0" borderId="11" xfId="0" applyNumberFormat="1" applyFont="1" applyFill="1" applyBorder="1" applyAlignment="1">
      <alignment vertical="center" wrapText="1"/>
    </xf>
    <xf numFmtId="0" fontId="2" fillId="0" borderId="11" xfId="0" applyNumberFormat="1" applyFont="1" applyFill="1" applyBorder="1">
      <alignment vertical="center"/>
    </xf>
    <xf numFmtId="176" fontId="1" fillId="0" borderId="10" xfId="0" applyNumberFormat="1" applyFont="1" applyFill="1" applyBorder="1" applyAlignment="1">
      <alignment vertical="center" wrapText="1"/>
    </xf>
    <xf numFmtId="176" fontId="1" fillId="0" borderId="10" xfId="0" applyNumberFormat="1" applyFont="1" applyFill="1" applyBorder="1">
      <alignment vertical="center"/>
    </xf>
    <xf numFmtId="3" fontId="1" fillId="0" borderId="11" xfId="0" applyNumberFormat="1" applyFont="1" applyFill="1" applyBorder="1" applyAlignment="1">
      <alignment vertical="center" wrapText="1"/>
    </xf>
    <xf numFmtId="10" fontId="4" fillId="0" borderId="0" xfId="2" applyNumberFormat="1">
      <alignment vertical="center"/>
    </xf>
    <xf numFmtId="0" fontId="6" fillId="0" borderId="1" xfId="0" applyNumberFormat="1" applyFont="1" applyFill="1" applyBorder="1" applyAlignment="1">
      <alignment horizontal="center" vertical="center"/>
    </xf>
    <xf numFmtId="176" fontId="6" fillId="0" borderId="1" xfId="0" applyNumberFormat="1" applyFont="1" applyFill="1" applyBorder="1" applyAlignment="1">
      <alignment horizontal="center" vertical="center"/>
    </xf>
    <xf numFmtId="0" fontId="6" fillId="0" borderId="1" xfId="0" applyNumberFormat="1" applyFont="1" applyFill="1" applyBorder="1" applyAlignment="1">
      <alignment horizontal="center" vertical="center" wrapText="1"/>
    </xf>
    <xf numFmtId="0" fontId="7" fillId="0" borderId="0" xfId="0" applyNumberFormat="1" applyFont="1" applyFill="1" applyBorder="1">
      <alignment vertical="center"/>
    </xf>
    <xf numFmtId="0" fontId="6" fillId="0" borderId="1" xfId="0" applyNumberFormat="1" applyFont="1" applyFill="1" applyBorder="1">
      <alignment vertical="center"/>
    </xf>
    <xf numFmtId="176" fontId="6" fillId="0" borderId="1" xfId="0" applyNumberFormat="1" applyFont="1" applyFill="1" applyBorder="1" applyAlignment="1">
      <alignment vertical="center" wrapText="1"/>
    </xf>
    <xf numFmtId="3" fontId="6" fillId="0" borderId="1" xfId="0" applyNumberFormat="1" applyFont="1" applyFill="1" applyBorder="1" applyAlignment="1">
      <alignment vertical="center" wrapText="1"/>
    </xf>
    <xf numFmtId="0" fontId="6" fillId="0" borderId="1" xfId="0" applyNumberFormat="1" applyFont="1" applyFill="1" applyBorder="1" applyAlignment="1">
      <alignment vertical="center" wrapText="1"/>
    </xf>
    <xf numFmtId="0" fontId="8" fillId="0" borderId="1" xfId="0" applyNumberFormat="1" applyFont="1" applyFill="1" applyBorder="1">
      <alignment vertical="center"/>
    </xf>
    <xf numFmtId="176" fontId="8" fillId="0" borderId="1" xfId="0" applyNumberFormat="1" applyFont="1" applyFill="1" applyBorder="1" applyAlignment="1">
      <alignment vertical="center" wrapText="1"/>
    </xf>
    <xf numFmtId="3" fontId="8" fillId="0" borderId="1" xfId="0" applyNumberFormat="1" applyFont="1" applyFill="1" applyBorder="1" applyAlignment="1">
      <alignment vertical="center" wrapText="1"/>
    </xf>
    <xf numFmtId="0" fontId="8" fillId="0" borderId="1" xfId="0" applyNumberFormat="1" applyFont="1" applyFill="1" applyBorder="1" applyAlignment="1">
      <alignment vertical="center" wrapText="1"/>
    </xf>
    <xf numFmtId="0" fontId="0" fillId="0" borderId="0" xfId="0" pivotButton="1" applyNumberFormat="1" applyFont="1" applyFill="1" applyBorder="1">
      <alignment vertical="center"/>
    </xf>
    <xf numFmtId="0" fontId="0" fillId="0" borderId="0" xfId="0" applyNumberFormat="1" applyFont="1" applyFill="1" applyBorder="1" applyAlignment="1">
      <alignment horizontal="left" vertical="center"/>
    </xf>
    <xf numFmtId="0" fontId="1" fillId="0" borderId="11" xfId="0" applyNumberFormat="1" applyFont="1" applyFill="1" applyBorder="1" applyAlignment="1">
      <alignment vertical="center" wrapText="1"/>
    </xf>
    <xf numFmtId="176" fontId="1" fillId="0" borderId="11" xfId="0" applyNumberFormat="1" applyFont="1" applyFill="1" applyBorder="1" applyAlignment="1">
      <alignment vertical="center" wrapText="1"/>
    </xf>
    <xf numFmtId="176" fontId="1" fillId="0" borderId="11" xfId="0" applyNumberFormat="1" applyFont="1" applyFill="1" applyBorder="1">
      <alignment vertical="center"/>
    </xf>
    <xf numFmtId="3" fontId="1" fillId="0" borderId="11" xfId="0" applyNumberFormat="1" applyFont="1" applyFill="1" applyBorder="1" applyAlignment="1">
      <alignment vertical="center" wrapText="1"/>
    </xf>
    <xf numFmtId="0" fontId="1" fillId="0" borderId="5" xfId="0" applyNumberFormat="1" applyFont="1" applyFill="1" applyBorder="1" applyAlignment="1">
      <alignment horizontal="center" vertical="center"/>
    </xf>
    <xf numFmtId="0" fontId="1" fillId="0" borderId="6" xfId="0" applyNumberFormat="1" applyFont="1" applyFill="1" applyBorder="1" applyAlignment="1">
      <alignment horizontal="center" vertical="center"/>
    </xf>
    <xf numFmtId="0" fontId="1" fillId="0" borderId="1" xfId="0" applyNumberFormat="1" applyFont="1" applyFill="1" applyBorder="1" applyAlignment="1">
      <alignment horizontal="left" vertical="center"/>
    </xf>
    <xf numFmtId="0" fontId="3" fillId="0" borderId="0" xfId="0" applyNumberFormat="1" applyFont="1" applyFill="1" applyBorder="1" applyAlignment="1">
      <alignment horizontal="center" vertical="center"/>
    </xf>
    <xf numFmtId="0" fontId="1" fillId="0" borderId="1" xfId="0" applyNumberFormat="1" applyFont="1" applyFill="1" applyBorder="1" applyAlignment="1">
      <alignment horizontal="left" vertical="center" wrapText="1"/>
    </xf>
    <xf numFmtId="0" fontId="1" fillId="0" borderId="7" xfId="0" applyNumberFormat="1" applyFont="1" applyFill="1" applyBorder="1" applyAlignment="1">
      <alignment horizontal="left" vertical="center" wrapText="1"/>
    </xf>
    <xf numFmtId="0" fontId="1" fillId="0" borderId="8" xfId="0" applyNumberFormat="1" applyFont="1" applyFill="1" applyBorder="1" applyAlignment="1">
      <alignment horizontal="left" vertical="center" wrapText="1"/>
    </xf>
    <xf numFmtId="0" fontId="1" fillId="0" borderId="9" xfId="0" applyNumberFormat="1" applyFont="1" applyFill="1" applyBorder="1" applyAlignment="1">
      <alignment horizontal="left" vertical="center" wrapText="1"/>
    </xf>
    <xf numFmtId="0" fontId="1" fillId="0" borderId="3" xfId="0" applyNumberFormat="1" applyFont="1" applyFill="1" applyBorder="1" applyAlignment="1">
      <alignment horizontal="center" vertical="center" wrapText="1"/>
    </xf>
    <xf numFmtId="0" fontId="1" fillId="0" borderId="2" xfId="0" applyNumberFormat="1" applyFont="1" applyFill="1" applyBorder="1" applyAlignment="1">
      <alignment horizontal="center" vertical="center" wrapText="1"/>
    </xf>
    <xf numFmtId="0" fontId="1" fillId="0" borderId="4" xfId="0" applyNumberFormat="1" applyFont="1" applyFill="1" applyBorder="1" applyAlignment="1">
      <alignment horizontal="center" vertical="center" wrapText="1"/>
    </xf>
    <xf numFmtId="178" fontId="1" fillId="0" borderId="3" xfId="2" applyNumberFormat="1" applyFont="1" applyFill="1" applyBorder="1" applyAlignment="1">
      <alignment horizontal="right" vertical="center" wrapText="1"/>
    </xf>
    <xf numFmtId="178" fontId="1" fillId="0" borderId="4" xfId="2" applyNumberFormat="1" applyFont="1" applyFill="1" applyBorder="1" applyAlignment="1">
      <alignment horizontal="right" vertical="center" wrapText="1"/>
    </xf>
  </cellXfs>
  <cellStyles count="3">
    <cellStyle name="一般" xfId="0" builtinId="0"/>
    <cellStyle name="千分位" xfId="1" builtinId="3"/>
    <cellStyle name="百分比"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10</xdr:col>
      <xdr:colOff>251460</xdr:colOff>
      <xdr:row>0</xdr:row>
      <xdr:rowOff>190500</xdr:rowOff>
    </xdr:from>
    <xdr:to>
      <xdr:col>12</xdr:col>
      <xdr:colOff>556260</xdr:colOff>
      <xdr:row>8</xdr:row>
      <xdr:rowOff>318135</xdr:rowOff>
    </xdr:to>
    <mc:AlternateContent xmlns:mc="http://schemas.openxmlformats.org/markup-compatibility/2006">
      <mc:Choice xmlns:a14="http://schemas.microsoft.com/office/drawing/2010/main" Requires="a14">
        <xdr:graphicFrame macro="">
          <xdr:nvGraphicFramePr>
            <xdr:cNvPr id="2" name="經費用途">
              <a:extLst>
                <a:ext uri="{FF2B5EF4-FFF2-40B4-BE49-F238E27FC236}">
                  <a16:creationId xmlns:a16="http://schemas.microsoft.com/office/drawing/2014/main" id="{6B2B0E6D-D5C5-43DB-9D34-FE4E21006BF6}"/>
                </a:ext>
              </a:extLst>
            </xdr:cNvPr>
            <xdr:cNvGraphicFramePr/>
          </xdr:nvGraphicFramePr>
          <xdr:xfrm>
            <a:off x="0" y="0"/>
            <a:ext cx="0" cy="0"/>
          </xdr:xfrm>
          <a:graphic>
            <a:graphicData uri="http://schemas.microsoft.com/office/drawing/2010/slicer">
              <sle:slicer xmlns:sle="http://schemas.microsoft.com/office/drawing/2010/slicer" name="經費用途"/>
            </a:graphicData>
          </a:graphic>
        </xdr:graphicFrame>
      </mc:Choice>
      <mc:Fallback>
        <xdr:sp macro="" textlink="">
          <xdr:nvSpPr>
            <xdr:cNvPr id="0" name=""/>
            <xdr:cNvSpPr>
              <a:spLocks noTextEdit="1"/>
            </xdr:cNvSpPr>
          </xdr:nvSpPr>
          <xdr:spPr>
            <a:xfrm>
              <a:off x="12306300" y="190500"/>
              <a:ext cx="1828800" cy="2352675"/>
            </a:xfrm>
            <a:prstGeom prst="rect">
              <a:avLst/>
            </a:prstGeom>
            <a:solidFill>
              <a:prstClr val="white"/>
            </a:solidFill>
            <a:ln w="1">
              <a:solidFill>
                <a:prstClr val="green"/>
              </a:solidFill>
            </a:ln>
          </xdr:spPr>
          <xdr:txBody>
            <a:bodyPr vertOverflow="clip" horzOverflow="clip"/>
            <a:lstStyle/>
            <a:p>
              <a:r>
                <a:rPr lang="zh-TW" altLang="en-US" sz="1100"/>
                <a:t>此圖案代表交叉分析篩選器。Excel 2010 或更新版本支援交叉分析篩選器。
如果圖案是在舊版 Excel 中修改，或如果活頁簿是在 Excel 2003 或較舊版本中儲存，則交叉分析篩選器無法使用。</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3985260</xdr:colOff>
      <xdr:row>0</xdr:row>
      <xdr:rowOff>0</xdr:rowOff>
    </xdr:from>
    <xdr:to>
      <xdr:col>8</xdr:col>
      <xdr:colOff>7620</xdr:colOff>
      <xdr:row>5</xdr:row>
      <xdr:rowOff>394335</xdr:rowOff>
    </xdr:to>
    <mc:AlternateContent xmlns:mc="http://schemas.openxmlformats.org/markup-compatibility/2006" xmlns:a14="http://schemas.microsoft.com/office/drawing/2010/main">
      <mc:Choice Requires="a14">
        <xdr:graphicFrame macro="">
          <xdr:nvGraphicFramePr>
            <xdr:cNvPr id="2" name="經費用途 2">
              <a:extLst>
                <a:ext uri="{FF2B5EF4-FFF2-40B4-BE49-F238E27FC236}">
                  <a16:creationId xmlns:a16="http://schemas.microsoft.com/office/drawing/2014/main" id="{4148F7BD-6B0D-4E18-B46C-382A4C9E947C}"/>
                </a:ext>
              </a:extLst>
            </xdr:cNvPr>
            <xdr:cNvGraphicFramePr/>
          </xdr:nvGraphicFramePr>
          <xdr:xfrm>
            <a:off x="0" y="0"/>
            <a:ext cx="0" cy="0"/>
          </xdr:xfrm>
          <a:graphic>
            <a:graphicData uri="http://schemas.microsoft.com/office/drawing/2010/slicer">
              <sle:slicer xmlns:sle="http://schemas.microsoft.com/office/drawing/2010/slicer" name="經費用途 2"/>
            </a:graphicData>
          </a:graphic>
        </xdr:graphicFrame>
      </mc:Choice>
      <mc:Fallback xmlns="">
        <xdr:sp macro="" textlink="">
          <xdr:nvSpPr>
            <xdr:cNvPr id="0" name=""/>
            <xdr:cNvSpPr>
              <a:spLocks noTextEdit="1"/>
            </xdr:cNvSpPr>
          </xdr:nvSpPr>
          <xdr:spPr>
            <a:xfrm>
              <a:off x="8511540" y="0"/>
              <a:ext cx="1828800" cy="2352675"/>
            </a:xfrm>
            <a:prstGeom prst="rect">
              <a:avLst/>
            </a:prstGeom>
            <a:solidFill>
              <a:prstClr val="white"/>
            </a:solidFill>
            <a:ln w="1">
              <a:solidFill>
                <a:prstClr val="green"/>
              </a:solidFill>
            </a:ln>
          </xdr:spPr>
          <xdr:txBody>
            <a:bodyPr vertOverflow="clip" horzOverflow="clip"/>
            <a:lstStyle/>
            <a:p>
              <a:r>
                <a:rPr lang="zh-TW" altLang="en-US" sz="1100"/>
                <a:t>此圖案代表交叉分析篩選器。Excel 2010 或更新版本支援交叉分析篩選器。
如果圖案是在舊版 Excel 中修改，或如果活頁簿是在 Excel 2003 或較舊版本中儲存，則交叉分析篩選器無法使用。</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342900</xdr:colOff>
      <xdr:row>4</xdr:row>
      <xdr:rowOff>7620</xdr:rowOff>
    </xdr:from>
    <xdr:to>
      <xdr:col>6</xdr:col>
      <xdr:colOff>1562100</xdr:colOff>
      <xdr:row>11</xdr:row>
      <xdr:rowOff>196215</xdr:rowOff>
    </xdr:to>
    <mc:AlternateContent xmlns:mc="http://schemas.openxmlformats.org/markup-compatibility/2006" xmlns:a14="http://schemas.microsoft.com/office/drawing/2010/main">
      <mc:Choice Requires="a14">
        <xdr:graphicFrame macro="">
          <xdr:nvGraphicFramePr>
            <xdr:cNvPr id="2" name="經費用途 3">
              <a:extLst>
                <a:ext uri="{FF2B5EF4-FFF2-40B4-BE49-F238E27FC236}">
                  <a16:creationId xmlns:a16="http://schemas.microsoft.com/office/drawing/2014/main" id="{9B4B927F-7D6D-49C3-800E-656C049175DD}"/>
                </a:ext>
              </a:extLst>
            </xdr:cNvPr>
            <xdr:cNvGraphicFramePr/>
          </xdr:nvGraphicFramePr>
          <xdr:xfrm>
            <a:off x="0" y="0"/>
            <a:ext cx="0" cy="0"/>
          </xdr:xfrm>
          <a:graphic>
            <a:graphicData uri="http://schemas.microsoft.com/office/drawing/2010/slicer">
              <sle:slicer xmlns:sle="http://schemas.microsoft.com/office/drawing/2010/slicer" name="經費用途 3"/>
            </a:graphicData>
          </a:graphic>
        </xdr:graphicFrame>
      </mc:Choice>
      <mc:Fallback xmlns="">
        <xdr:sp macro="" textlink="">
          <xdr:nvSpPr>
            <xdr:cNvPr id="0" name=""/>
            <xdr:cNvSpPr>
              <a:spLocks noTextEdit="1"/>
            </xdr:cNvSpPr>
          </xdr:nvSpPr>
          <xdr:spPr>
            <a:xfrm>
              <a:off x="4632960" y="1264920"/>
              <a:ext cx="1828800" cy="2352675"/>
            </a:xfrm>
            <a:prstGeom prst="rect">
              <a:avLst/>
            </a:prstGeom>
            <a:solidFill>
              <a:prstClr val="white"/>
            </a:solidFill>
            <a:ln w="1">
              <a:solidFill>
                <a:prstClr val="green"/>
              </a:solidFill>
            </a:ln>
          </xdr:spPr>
          <xdr:txBody>
            <a:bodyPr vertOverflow="clip" horzOverflow="clip"/>
            <a:lstStyle/>
            <a:p>
              <a:r>
                <a:rPr lang="zh-TW" altLang="en-US" sz="1100"/>
                <a:t>此圖案代表交叉分析篩選器。Excel 2010 或更新版本支援交叉分析篩選器。
如果圖案是在舊版 Excel 中修改，或如果活頁簿是在 Excel 2003 或較舊版本中儲存，則交叉分析篩選器無法使用。</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3855720</xdr:colOff>
      <xdr:row>0</xdr:row>
      <xdr:rowOff>114300</xdr:rowOff>
    </xdr:from>
    <xdr:to>
      <xdr:col>8</xdr:col>
      <xdr:colOff>259080</xdr:colOff>
      <xdr:row>6</xdr:row>
      <xdr:rowOff>302895</xdr:rowOff>
    </xdr:to>
    <mc:AlternateContent xmlns:mc="http://schemas.openxmlformats.org/markup-compatibility/2006" xmlns:a14="http://schemas.microsoft.com/office/drawing/2010/main">
      <mc:Choice Requires="a14">
        <xdr:graphicFrame macro="">
          <xdr:nvGraphicFramePr>
            <xdr:cNvPr id="2" name="經費用途 1">
              <a:extLst>
                <a:ext uri="{FF2B5EF4-FFF2-40B4-BE49-F238E27FC236}">
                  <a16:creationId xmlns:a16="http://schemas.microsoft.com/office/drawing/2014/main" id="{10FBF18C-ED4F-48C6-91EC-C0BAD2C3F3A8}"/>
                </a:ext>
              </a:extLst>
            </xdr:cNvPr>
            <xdr:cNvGraphicFramePr/>
          </xdr:nvGraphicFramePr>
          <xdr:xfrm>
            <a:off x="0" y="0"/>
            <a:ext cx="0" cy="0"/>
          </xdr:xfrm>
          <a:graphic>
            <a:graphicData uri="http://schemas.microsoft.com/office/drawing/2010/slicer">
              <sle:slicer xmlns:sle="http://schemas.microsoft.com/office/drawing/2010/slicer" name="經費用途 1"/>
            </a:graphicData>
          </a:graphic>
        </xdr:graphicFrame>
      </mc:Choice>
      <mc:Fallback xmlns="">
        <xdr:sp macro="" textlink="">
          <xdr:nvSpPr>
            <xdr:cNvPr id="0" name=""/>
            <xdr:cNvSpPr>
              <a:spLocks noTextEdit="1"/>
            </xdr:cNvSpPr>
          </xdr:nvSpPr>
          <xdr:spPr>
            <a:xfrm>
              <a:off x="8732520" y="114300"/>
              <a:ext cx="1828800" cy="2352675"/>
            </a:xfrm>
            <a:prstGeom prst="rect">
              <a:avLst/>
            </a:prstGeom>
            <a:solidFill>
              <a:prstClr val="white"/>
            </a:solidFill>
            <a:ln w="1">
              <a:solidFill>
                <a:prstClr val="green"/>
              </a:solidFill>
            </a:ln>
          </xdr:spPr>
          <xdr:txBody>
            <a:bodyPr vertOverflow="clip" horzOverflow="clip"/>
            <a:lstStyle/>
            <a:p>
              <a:r>
                <a:rPr lang="zh-TW" altLang="en-US" sz="1100"/>
                <a:t>此圖案代表交叉分析篩選器。Excel 2010 或更新版本支援交叉分析篩選器。
如果圖案是在舊版 Excel 中修改，或如果活頁簿是在 Excel 2003 或較舊版本中儲存，則交叉分析篩選器無法使用。</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71.616373379627" createdVersion="7" refreshedVersion="7" minRefreshableVersion="3" recordCount="217" xr:uid="{90513142-432D-4DB3-92AF-CCB42B36073F}">
  <cacheSource type="worksheet">
    <worksheetSource ref="A1:H218" sheet="業務費"/>
  </cacheSource>
  <cacheFields count="8">
    <cacheField name="經費用途" numFmtId="0">
      <sharedItems count="3">
        <s v="實支"/>
        <s v="實支核銷"/>
        <s v="請購未銷"/>
      </sharedItems>
    </cacheField>
    <cacheField name="傳票日期" numFmtId="0">
      <sharedItems/>
    </cacheField>
    <cacheField name="傳票編號" numFmtId="0">
      <sharedItems/>
    </cacheField>
    <cacheField name="會計科目" numFmtId="176">
      <sharedItems/>
    </cacheField>
    <cacheField name="系所" numFmtId="176">
      <sharedItems count="31">
        <s v="土木系"/>
        <s v="營建系"/>
        <s v="智商系"/>
        <s v="航技系"/>
        <s v="資工系"/>
        <s v="海資系"/>
        <s v="財稅系"/>
        <s v="應日系"/>
        <s v="商資系"/>
        <s v="電通系"/>
        <s v="金融系"/>
        <s v="國企系"/>
        <s v="人資系"/>
        <s v="造船系"/>
        <s v="海環系"/>
        <s v="風管系"/>
        <s v="機電系"/>
        <s v="工管系"/>
        <s v="電子系(建工)"/>
        <s v="電子系(第一)"/>
        <s v="模具系"/>
        <s v="海休系"/>
        <s v="會資系"/>
        <s v="行銷系"/>
        <s v="海生系"/>
        <s v="觀光系"/>
        <s v="金資系"/>
        <s v="應德系"/>
        <s v="企管系"/>
        <s v="半導體系"/>
        <s v="水食系"/>
      </sharedItems>
    </cacheField>
    <cacheField name="金額" numFmtId="3">
      <sharedItems containsSemiMixedTypes="0" containsString="0" containsNumber="1" containsInteger="1" minValue="1" maxValue="148800"/>
    </cacheField>
    <cacheField name="用途說明" numFmtId="0">
      <sharedItems/>
    </cacheField>
    <cacheField name="請購人" numFmtId="0">
      <sharedItems/>
    </cacheField>
  </cacheFields>
  <extLst>
    <ext xmlns:x14="http://schemas.microsoft.com/office/spreadsheetml/2009/9/main" uri="{725AE2AE-9491-48be-B2B4-4EB974FC3084}">
      <x14:pivotCacheDefinition pivotCacheId="46297340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71.621550347219" createdVersion="7" refreshedVersion="7" minRefreshableVersion="3" recordCount="150" xr:uid="{5BC3E8F9-916B-4612-8A2A-F4674E8A44AC}">
  <cacheSource type="worksheet">
    <worksheetSource ref="A1:H151" sheet="設備費"/>
  </cacheSource>
  <cacheFields count="8">
    <cacheField name="經費用途" numFmtId="0">
      <sharedItems count="3">
        <s v="請購未銷"/>
        <s v="實支"/>
        <s v="實支核銷"/>
      </sharedItems>
    </cacheField>
    <cacheField name="傳票日期" numFmtId="0">
      <sharedItems/>
    </cacheField>
    <cacheField name="傳票編號" numFmtId="0">
      <sharedItems/>
    </cacheField>
    <cacheField name="會計科目" numFmtId="176">
      <sharedItems/>
    </cacheField>
    <cacheField name="系所" numFmtId="176">
      <sharedItems count="39">
        <s v="機械系"/>
        <s v="工設系"/>
        <s v="觀光系"/>
        <s v="海休系"/>
        <s v="供應鏈系"/>
        <s v="環安系"/>
        <s v="土木系"/>
        <s v="商資系"/>
        <s v="國企系"/>
        <s v="漁管系"/>
        <s v="電機系"/>
        <s v="半導體系"/>
        <s v="企管系"/>
        <s v="海環系"/>
        <s v="電子系(建工)"/>
        <s v="航技系"/>
        <s v="資管系"/>
        <s v="輪機系"/>
        <s v="電子系(第一)"/>
        <s v="工管系"/>
        <s v="化材系"/>
        <s v="資工系"/>
        <s v="航管系"/>
        <s v="應英系"/>
        <s v="行銷系"/>
        <s v="海資系"/>
        <s v="模具系"/>
        <s v="應日系"/>
        <s v="造船系"/>
        <s v="風管系"/>
        <s v="金融系"/>
        <s v="財稅系"/>
        <s v="智商系"/>
        <s v="水食系"/>
        <s v="財管系"/>
        <s v="人資系"/>
        <s v="營建系"/>
        <s v="科法所"/>
        <s v="機電系"/>
      </sharedItems>
    </cacheField>
    <cacheField name="金額" numFmtId="3">
      <sharedItems containsSemiMixedTypes="0" containsString="0" containsNumber="1" containsInteger="1" minValue="8060" maxValue="2000000"/>
    </cacheField>
    <cacheField name="用途說明" numFmtId="0">
      <sharedItems/>
    </cacheField>
    <cacheField name="請購人" numFmtId="0">
      <sharedItems/>
    </cacheField>
  </cacheFields>
  <extLst>
    <ext xmlns:x14="http://schemas.microsoft.com/office/spreadsheetml/2009/9/main" uri="{725AE2AE-9491-48be-B2B4-4EB974FC3084}">
      <x14:pivotCacheDefinition pivotCacheId="1259973369"/>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71.630688310186" createdVersion="7" refreshedVersion="7" minRefreshableVersion="3" recordCount="12" xr:uid="{19031C6A-733A-4255-948D-CC7AC19E5019}">
  <cacheSource type="worksheet">
    <worksheetSource ref="A1:H13" sheet="國外旅費"/>
  </cacheSource>
  <cacheFields count="8">
    <cacheField name="經費用途" numFmtId="0">
      <sharedItems count="2">
        <s v="實支"/>
        <s v="實支核銷"/>
      </sharedItems>
    </cacheField>
    <cacheField name="傳票日期" numFmtId="0">
      <sharedItems/>
    </cacheField>
    <cacheField name="傳票編號" numFmtId="0">
      <sharedItems/>
    </cacheField>
    <cacheField name="會計科目" numFmtId="176">
      <sharedItems/>
    </cacheField>
    <cacheField name="系所" numFmtId="176">
      <sharedItems count="9">
        <s v="輪機系"/>
        <s v="海生系"/>
        <s v="財稅系"/>
        <s v="電子系(第一)"/>
        <s v="土木系"/>
        <s v="企管系"/>
        <s v="供應鏈系"/>
        <s v="資管系"/>
        <s v="商資系"/>
      </sharedItems>
    </cacheField>
    <cacheField name="金額" numFmtId="3">
      <sharedItems containsSemiMixedTypes="0" containsString="0" containsNumber="1" containsInteger="1" minValue="10000" maxValue="88800"/>
    </cacheField>
    <cacheField name="用途說明" numFmtId="0">
      <sharedItems/>
    </cacheField>
    <cacheField name="請購人" numFmtId="0">
      <sharedItems/>
    </cacheField>
  </cacheFields>
  <extLst>
    <ext xmlns:x14="http://schemas.microsoft.com/office/spreadsheetml/2009/9/main" uri="{725AE2AE-9491-48be-B2B4-4EB974FC3084}">
      <x14:pivotCacheDefinition pivotCacheId="1705302332"/>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71.631406597226" createdVersion="7" refreshedVersion="7" minRefreshableVersion="3" recordCount="13" xr:uid="{27DC1187-70C3-4CA6-97F3-A9AE2B231D12}">
  <cacheSource type="worksheet">
    <worksheetSource ref="A1:H14" sheet="無形資產"/>
  </cacheSource>
  <cacheFields count="8">
    <cacheField name="經費用途" numFmtId="0">
      <sharedItems count="3">
        <s v="請購未銷"/>
        <s v="實支"/>
        <s v="實支核銷"/>
      </sharedItems>
    </cacheField>
    <cacheField name="傳票日期" numFmtId="0">
      <sharedItems/>
    </cacheField>
    <cacheField name="傳票編號" numFmtId="0">
      <sharedItems/>
    </cacheField>
    <cacheField name="會計科目" numFmtId="176">
      <sharedItems/>
    </cacheField>
    <cacheField name="系所" numFmtId="176">
      <sharedItems count="8">
        <s v="企管系"/>
        <s v="金融系"/>
        <s v="會資系"/>
        <s v="財稅系"/>
        <s v="工管系"/>
        <s v="造船系"/>
        <s v="人資系"/>
        <s v="模具系"/>
      </sharedItems>
    </cacheField>
    <cacheField name="金額" numFmtId="3">
      <sharedItems containsSemiMixedTypes="0" containsString="0" containsNumber="1" containsInteger="1" minValue="10290" maxValue="750000"/>
    </cacheField>
    <cacheField name="用途說明" numFmtId="0">
      <sharedItems/>
    </cacheField>
    <cacheField name="請購人" numFmtId="0">
      <sharedItems/>
    </cacheField>
  </cacheFields>
  <extLst>
    <ext xmlns:x14="http://schemas.microsoft.com/office/spreadsheetml/2009/9/main" uri="{725AE2AE-9491-48be-B2B4-4EB974FC3084}">
      <x14:pivotCacheDefinition pivotCacheId="12631656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7">
  <r>
    <x v="0"/>
    <s v="1150203"/>
    <s v="T200162"/>
    <s v="510301-3201辦公（事務）用品"/>
    <x v="0"/>
    <n v="21962"/>
    <s v="辦公室用品※品名:文具等"/>
    <s v="土木系"/>
  </r>
  <r>
    <x v="0"/>
    <s v="1150203"/>
    <s v="T200176"/>
    <s v="510301-3206食品"/>
    <x v="1"/>
    <n v="1438"/>
    <s v="辦理114學年度躍升計畫第2次管考會議的餐費，日期:1/13(二)，時間:12:45~13:30，人數:12※品名:餐費"/>
    <s v="營建工程系[第一]"/>
  </r>
  <r>
    <x v="0"/>
    <s v="1150205"/>
    <s v="T200201"/>
    <s v="510301-2B01推展費"/>
    <x v="2"/>
    <n v="50000"/>
    <s v="115年學年智慧商務系在職碩士專班99.9電台招生費用※品名:廣告"/>
    <s v="智慧商務系"/>
  </r>
  <r>
    <x v="0"/>
    <s v="1150205"/>
    <s v="T200210"/>
    <s v="510301-2506交通及運輸設備修護費"/>
    <x v="3"/>
    <n v="10500"/>
    <s v="航技系動力小船海洋三號(財產編號4020110-01B 2000003-2000003 附屬設備)※品名:YUASA 不加水電瓶"/>
    <s v="航運技術系"/>
  </r>
  <r>
    <x v="0"/>
    <s v="1150209"/>
    <s v="T200235"/>
    <s v="510301-2B01推展費"/>
    <x v="2"/>
    <n v="2000"/>
    <s v="115年學年智慧商務系碩士班社群招生費用※品名:碩士班廣告投放"/>
    <s v="智慧商務系"/>
  </r>
  <r>
    <x v="0"/>
    <s v="1150209"/>
    <s v="T200237"/>
    <s v="510301-3204化學藥劑與實驗用品"/>
    <x v="2"/>
    <n v="8905"/>
    <s v="智商系支援侯易佑老師教學/研究採購實驗電子材料和工具等支出※品名:實驗工具材料、鋰電池"/>
    <s v="智慧商務系"/>
  </r>
  <r>
    <x v="0"/>
    <s v="1150211"/>
    <s v="T200265"/>
    <s v="510301-2B01推展費"/>
    <x v="2"/>
    <n v="53000"/>
    <s v="115年學年智慧商務系在職碩士專班98.3電台招生費用※品名:廣告費"/>
    <s v="智慧商務系"/>
  </r>
  <r>
    <x v="0"/>
    <s v="1150211"/>
    <s v="T200279"/>
    <s v="510301-2301國內旅費"/>
    <x v="2"/>
    <n v="8235"/>
    <s v="差旅費:智慧商務系補助謝文川老師 事由：因應教學所需參加115年寒假SAP S/4 HANA(含環境永續模組)師資培訓研習(第一階段115/1/8-115/1/11)汲取新知差旅費(含起程日)支出"/>
    <s v="智慧商務系"/>
  </r>
  <r>
    <x v="0"/>
    <s v="1150211"/>
    <s v="T200279"/>
    <s v="510301-2301國內旅費"/>
    <x v="2"/>
    <n v="6880"/>
    <s v="差旅費:智慧商務系補助謝文川老師 事由：115/1/15-115/1/18因應教學所需參加115年寒假SAP S/4 HANA(含環境永續模組)師資培訓研習(第二階段)汲取新知差旅費(含起程日)支出"/>
    <s v="智慧商務系"/>
  </r>
  <r>
    <x v="0"/>
    <s v="1150212"/>
    <s v="T200297"/>
    <s v="510301-2810電腦軟體服務費"/>
    <x v="4"/>
    <n v="4138"/>
    <s v="用於研究資料儲存與運算資源使用。(實支4,138元；併案：A115000168)※品名:Google Cloud 雲端伺服器使用費"/>
    <s v="林威成"/>
  </r>
  <r>
    <x v="0"/>
    <s v="1150224"/>
    <s v="T200386"/>
    <s v="510301-3201辦公（事務）用品"/>
    <x v="2"/>
    <n v="3652"/>
    <s v="智商系支援侯易佑老師教學/研究採購實驗工具暨電腦周邊配件文具等支出※品名:電腦周邊配件文具、實驗工具/文具品"/>
    <s v="智慧商務系"/>
  </r>
  <r>
    <x v="0"/>
    <s v="1150224"/>
    <s v="T200386"/>
    <s v="510301-3204化學藥劑與實驗用品"/>
    <x v="2"/>
    <n v="8544"/>
    <s v="智商系支援侯易佑老師教學/研究採購實驗電子材料和工具等支出※品名:斜上鉗、省力壓著鉗、固態行動硬碟、網路攝影機、全彩智能燈泡、記憶卡、實驗工具品"/>
    <s v="智慧商務系"/>
  </r>
  <r>
    <x v="0"/>
    <s v="1150224"/>
    <s v="T200386"/>
    <s v="510301-3206食品"/>
    <x v="2"/>
    <n v="8400"/>
    <s v="智商系115/1/17(周六)辦理115學年度碩專班招生說明會活動參與人員含工作人員誤餐費支出, 詳附件名單※品名:西式餐盒、便當餐盒"/>
    <s v="智慧商務系"/>
  </r>
  <r>
    <x v="0"/>
    <s v="1150224"/>
    <s v="T300211"/>
    <s v="510301-271315工讀金"/>
    <x v="5"/>
    <n v="16518"/>
    <s v="旗津校區/海資系/系所躍升計畫1月份工讀金－梁峻浤、劉振宏"/>
    <s v="海事資訊科技系"/>
  </r>
  <r>
    <x v="0"/>
    <s v="1150301"/>
    <s v="T200403"/>
    <s v="510301-2810電腦軟體服務費"/>
    <x v="4"/>
    <n v="3598"/>
    <s v="用於研究資料儲存與運算資源使用。※品名:Google Cloud 雲端伺服器使用費"/>
    <s v="林威成"/>
  </r>
  <r>
    <x v="0"/>
    <s v="1150301"/>
    <s v="T200403"/>
    <s v="510301-3201辦公（事務）用品"/>
    <x v="4"/>
    <n v="4240"/>
    <s v="研究計畫使用※品名:筆電背包、多埠訊號轉接器"/>
    <s v="張雲龍"/>
  </r>
  <r>
    <x v="0"/>
    <s v="1150302"/>
    <s v="T200408"/>
    <s v="510301-3201辦公（事務）用品"/>
    <x v="6"/>
    <n v="3942"/>
    <s v="姚名鴻老師教學研究使用※品名:商品如明細所示"/>
    <s v="財政稅務系"/>
  </r>
  <r>
    <x v="0"/>
    <s v="1150304"/>
    <s v="T200446"/>
    <s v="510301-2502一般房屋修護費"/>
    <x v="1"/>
    <n v="98931"/>
    <s v="教學課程使用(執行計畫)F151教學教室空間修繕※品名:F151教室修繕工程"/>
    <s v="營建工程系[第一]"/>
  </r>
  <r>
    <x v="0"/>
    <s v="1150305"/>
    <s v="T200473"/>
    <s v="510301-3201辦公（事務）用品"/>
    <x v="7"/>
    <n v="2270"/>
    <s v="【躍升】應日系為執行躍升計畫購買耳機之費用※品名:耳機"/>
    <s v="外語學院應用日語系"/>
  </r>
  <r>
    <x v="0"/>
    <s v="1150305"/>
    <s v="T200473"/>
    <s v="510301-3201辦公（事務）用品"/>
    <x v="8"/>
    <n v="4750"/>
    <s v="(楠梓-商資系-躍升計畫)專業教室空間設備-白板※品名:白板"/>
    <s v="商務資訊應用系"/>
  </r>
  <r>
    <x v="0"/>
    <s v="1150306"/>
    <s v="T300267"/>
    <s v="510301-271315工讀金"/>
    <x v="5"/>
    <n v="30140"/>
    <s v="旗津校區/海資系/系所躍升計畫2月份工讀金－劉振宏、程仁杰、柯智煒"/>
    <s v="海事資訊科技系"/>
  </r>
  <r>
    <x v="0"/>
    <s v="1150311"/>
    <s v="T200505"/>
    <s v="510301-3201辦公（事務）用品"/>
    <x v="2"/>
    <n v="15000"/>
    <s v="智商系支援老師教學/研究採購線材,電腦周邊,文具耗品等支出※品名:彩色A4紙、充電電池、固態硬碟(512GB)、六孔延長線2.7米、訊號線"/>
    <s v="智慧商務系"/>
  </r>
  <r>
    <x v="0"/>
    <s v="1150313"/>
    <s v="T200601"/>
    <s v="510301-2810電腦軟體服務費"/>
    <x v="4"/>
    <n v="322"/>
    <s v="將本地網路上的服務到公共網路上也能使用 (產學合作測試使用)。※品名:反向代理工具 使用費 (含服務費)"/>
    <s v="林威成"/>
  </r>
  <r>
    <x v="0"/>
    <s v="1150313"/>
    <s v="T200601"/>
    <s v="510301-3204化學藥劑與實驗用品"/>
    <x v="2"/>
    <n v="8800"/>
    <s v="智商系支援侯易佑老師教學/研究採購實驗線材,電子零件材料,文具等支出※品名:資料夾、感測器、旋轉AI Wifi攝影機、實驗3D列印線材耗材、LED可調光紅外線感應燈2W"/>
    <s v="智慧商務系"/>
  </r>
  <r>
    <x v="0"/>
    <s v="1150316"/>
    <s v="T200624"/>
    <s v="510301-3102物料"/>
    <x v="0"/>
    <n v="4038"/>
    <s v="課程使用※品名:麻甲木心板、運費"/>
    <s v="土木系"/>
  </r>
  <r>
    <x v="0"/>
    <s v="1150317"/>
    <s v="T200627"/>
    <s v="510301-3201辦公（事務）用品"/>
    <x v="6"/>
    <n v="2284"/>
    <s v="姚名鴻老師教學研究使用※品名:商品如明細所示"/>
    <s v="財政稅務系"/>
  </r>
  <r>
    <x v="0"/>
    <s v="1150318"/>
    <s v="T200671"/>
    <s v="510301-2898其他"/>
    <x v="2"/>
    <n v="14400"/>
    <s v="智商系支援侯易佑老師於管理與系統期刊(第33卷第1期)發表論文刊登費支出※品名:論文刊登費"/>
    <s v="智慧商務系"/>
  </r>
  <r>
    <x v="0"/>
    <s v="1150318"/>
    <s v="T200672"/>
    <s v="510301-3102物料"/>
    <x v="2"/>
    <n v="61530"/>
    <s v="智商系支援侯易佑老師教學/研究所需採購實驗電子材料-控制晶片支出※品名:控制晶片(8735+sensor kit)"/>
    <s v="智慧商務系"/>
  </r>
  <r>
    <x v="0"/>
    <s v="1150318"/>
    <s v="T200691"/>
    <s v="510301-2505機械及設備修護費"/>
    <x v="9"/>
    <n v="35400"/>
    <s v="F455電腦教室記憶體更新(電腦主機財產編號:3140101-03，財產序號:5011963~5011974)※品名:記憶體"/>
    <s v="電腦與通訊工程系[第"/>
  </r>
  <r>
    <x v="0"/>
    <s v="1150323"/>
    <s v="T200776"/>
    <s v="510301-2810電腦軟體服務費"/>
    <x v="4"/>
    <n v="698"/>
    <s v="用於研究資料儲存與運算資源使用。※品名:Google Cloud 雲端伺服器使用費"/>
    <s v="林威成"/>
  </r>
  <r>
    <x v="0"/>
    <s v="1150323"/>
    <s v="T200776"/>
    <s v="510301-720601獎助學員生給與"/>
    <x v="1"/>
    <n v="8000"/>
    <s v="補助研究生張佳琪、何聰毅參加研討會報名費※品名:報名費"/>
    <s v="營建工程系[第一]"/>
  </r>
  <r>
    <x v="0"/>
    <s v="1150323"/>
    <s v="T200777"/>
    <s v="510301-2201郵費"/>
    <x v="2"/>
    <n v="124"/>
    <s v="智商系支援侯易佑老師教學/研究所需採購實驗材料,郵資,文具用品等支出※品名:3M膠帶、直尺、實驗材料-保險絲,起子、實驗線材-訊號線、郵資、實驗材料-防靜電手套、資料夾、行動電源、Hacker隨身碟(含物流費)"/>
    <s v="智慧商務系"/>
  </r>
  <r>
    <x v="0"/>
    <s v="1150323"/>
    <s v="T200777"/>
    <s v="510301-3201辦公（事務）用品"/>
    <x v="2"/>
    <n v="7401"/>
    <s v="智商系支援侯易佑老師教學/研究所需採購實驗材料,郵資,文具用品等支出※品名:3M膠帶、直尺、實驗材料-保險絲,起子、實驗線材-訊號線、郵資、實驗材料-防靜電手套、資料夾、行動電源、Hacker隨身碟(含物流費)"/>
    <s v="智慧商務系"/>
  </r>
  <r>
    <x v="0"/>
    <s v="1150323"/>
    <s v="T200779"/>
    <s v="510301-2505機械及設備修護費"/>
    <x v="10"/>
    <n v="3600"/>
    <s v="金融系系網不斷電系統(產編3101001-07-5000004)維修費用※品名:UPS維修"/>
    <s v="金融系"/>
  </r>
  <r>
    <x v="0"/>
    <s v="1150324"/>
    <s v="T200809"/>
    <s v="510301-280501講課鐘點、稿費、出席審查及查詢費"/>
    <x v="4"/>
    <n v="13500"/>
    <s v="期刊英文編修費用※品名:期刊英文編修費用"/>
    <s v="黃淵科"/>
  </r>
  <r>
    <x v="0"/>
    <s v="1150324"/>
    <s v="T200847"/>
    <s v="510301-2810電腦軟體服務費"/>
    <x v="6"/>
    <n v="637"/>
    <s v="財稅系管國珍老師教學教材製作用訂閱ChatGPT Plus Subscription軟體使用費115年1月份※品名:軟體使用費"/>
    <s v="財政稅務系"/>
  </r>
  <r>
    <x v="0"/>
    <s v="1150324"/>
    <s v="T200847"/>
    <s v="510301-2810電腦軟體服務費"/>
    <x v="6"/>
    <n v="640"/>
    <s v="財稅系彭琪祿老師教學教材製作用訂閱ChatGPT Plus Subscription軟體使用費115年1月份※品名:軟體使用費"/>
    <s v="財政稅務系"/>
  </r>
  <r>
    <x v="0"/>
    <s v="1150324"/>
    <s v="T200893"/>
    <s v="510301-3206食品"/>
    <x v="11"/>
    <n v="3690"/>
    <s v="執行躍升計畫國際化交流活動-日本鹿兒島國際大學簡報交流比賽用-便當※品名:便當、便當(素)"/>
    <s v="國企系"/>
  </r>
  <r>
    <x v="0"/>
    <s v="1150324"/>
    <s v="T200894"/>
    <s v="510301-3298其他"/>
    <x v="11"/>
    <n v="700"/>
    <s v="執行躍升計畫國際化交流活動-日本鹿兒島國際大學簡報交流比賽用-布條、影印※品名:布條、影印"/>
    <s v="國企系"/>
  </r>
  <r>
    <x v="0"/>
    <s v="1150324"/>
    <s v="T200894"/>
    <s v="510301-2401印刷及裝訂費"/>
    <x v="11"/>
    <n v="455"/>
    <s v="執行躍升計畫國際化交流活動-日本鹿兒島國際大學簡報交流比賽用-布條、影印※品名:布條、影印"/>
    <s v="國企系"/>
  </r>
  <r>
    <x v="0"/>
    <s v="1150324"/>
    <s v="T200894"/>
    <s v="510301-3201辦公（事務）用品"/>
    <x v="12"/>
    <n v="350"/>
    <s v="報支陳儀蓉老師晶片讀卡機費※品名:晶片讀卡機"/>
    <s v="陳儀蓉"/>
  </r>
  <r>
    <x v="0"/>
    <s v="1150324"/>
    <s v="T200894"/>
    <s v="510301-4402車租"/>
    <x v="11"/>
    <n v="3150"/>
    <s v="執行躍升計畫國際化交流活動-日本鹿兒島國際大學簡報交流比賽用-接駁車資※品名:車資"/>
    <s v="國企系"/>
  </r>
  <r>
    <x v="0"/>
    <s v="1150401"/>
    <s v="T200911"/>
    <s v="510301-2502一般房屋修護費"/>
    <x v="8"/>
    <n v="26000"/>
    <s v="(楠梓-商資系-躍升計畫-商務資訊專業教室空間空間建置)教室門片更換※品名:門片含五金配件"/>
    <s v="商務資訊應用系"/>
  </r>
  <r>
    <x v="0"/>
    <s v="1150401"/>
    <s v="T200925"/>
    <s v="510301-3201辦公（事務）用品"/>
    <x v="6"/>
    <n v="102446"/>
    <s v="財稅系教學實踐計畫教學器材※品名:個人電腦顯示器"/>
    <s v=""/>
  </r>
  <r>
    <x v="0"/>
    <s v="1150401"/>
    <s v="T200995"/>
    <s v="510301-2401印刷及裝訂費"/>
    <x v="13"/>
    <n v="12730"/>
    <s v="受款人：瑞洋複印社周沁渢，執行計畫用※品名:A0珍珠板、A4彩印、A4貼紙、A3彩印、成果報告書、資料手冊"/>
    <s v="造船及海洋工程系"/>
  </r>
  <r>
    <x v="0"/>
    <s v="1150401"/>
    <s v="T201007"/>
    <s v="510301-3204化學藥劑與實驗用品"/>
    <x v="2"/>
    <n v="15000"/>
    <s v="智商系支援侯易佑老師教學/研究所需採購實驗電子材料-加熱感測器.加熱燈管支出※品名:加熱感測器、加熱燈管"/>
    <s v="智慧商務系"/>
  </r>
  <r>
    <x v="0"/>
    <s v="1150401"/>
    <s v="T300430"/>
    <s v="510301-271315工讀金"/>
    <x v="5"/>
    <n v="8259"/>
    <s v="旗津校區/海資系/系所躍升計畫3月份工讀金－陳韋安"/>
    <s v="海事資訊科技系"/>
  </r>
  <r>
    <x v="0"/>
    <s v="1150401"/>
    <s v="T300439"/>
    <s v="510301-280501講課鐘點、稿費、出席審查及查詢費"/>
    <x v="11"/>
    <n v="4084"/>
    <s v="躍升計畫執行-國際化交流。日本創價大學國際學院王雍智教授專題演講費。(外籍人士領據)"/>
    <s v="國企系"/>
  </r>
  <r>
    <x v="0"/>
    <s v="1150408"/>
    <s v="T201070"/>
    <s v="510301-2401印刷及裝訂費"/>
    <x v="2"/>
    <n v="360"/>
    <s v="智商系支援侯易佑老師教學/研究所需採購實驗電子材料, 影印裝訂費等支出※品名:訊號線、滑鼠、影印費、裝訂費、專注力訓練機"/>
    <s v="智慧商務系"/>
  </r>
  <r>
    <x v="0"/>
    <s v="1150408"/>
    <s v="T201070"/>
    <s v="510301-3201辦公（事務）用品"/>
    <x v="2"/>
    <n v="3057"/>
    <s v="智商系支援侯易佑老師教學/研究所需採購實驗電子材料, 影印裝訂費等支出※品名:訊號線、滑鼠、影印費、裝訂費、專注力訓練機"/>
    <s v="智慧商務系"/>
  </r>
  <r>
    <x v="0"/>
    <s v="1150408"/>
    <s v="T201070"/>
    <s v="510301-2808委託考選訓練費"/>
    <x v="2"/>
    <n v="6000"/>
    <s v="智商系支援侯易佑老師指導日碩生莊柏軒(學號F114156128)於115/3/26-29 MOMAI 2026發表論文會議註冊費支出※品名:論文發表會議註冊費"/>
    <s v="智慧商務系"/>
  </r>
  <r>
    <x v="0"/>
    <s v="1150408"/>
    <s v="T201070"/>
    <s v="510301-3206食品"/>
    <x v="8"/>
    <n v="720"/>
    <s v="(楠梓-躍升計畫-商資系)114學年度第2學年度第1次系週會誤餐費(115.03.11，12:00-15:30)※品名:便當"/>
    <s v="商務資訊應用系"/>
  </r>
  <r>
    <x v="0"/>
    <s v="1150408"/>
    <s v="T201071"/>
    <s v="510301-239801其他旅運費"/>
    <x v="8"/>
    <n v="2920"/>
    <s v="(楠梓-躍升計畫-商資系)專題講座交通費_x000a_講者：張煦薇科長_x000a_日期：115.03.11_x000a_交通：高鐵(板橋-左營)"/>
    <s v="商務資訊應用系"/>
  </r>
  <r>
    <x v="0"/>
    <s v="1150409"/>
    <s v="T201126"/>
    <s v="510301-2898其他"/>
    <x v="2"/>
    <n v="31500"/>
    <s v="智慧商務系大學部、碩士班、碩專班招生海報及網頁設計費用※品名:海報網頁設計費"/>
    <s v="智慧商務系"/>
  </r>
  <r>
    <x v="0"/>
    <s v="1150409"/>
    <s v="T201127"/>
    <s v="510301-3201辦公（事務）用品"/>
    <x v="2"/>
    <n v="15900"/>
    <s v="智商系支援黃天受老師教學/研究所需採購電腦零組件等支出※品名:內接式硬碟(3.5&quot; 2TB)、PC用記憶體(8GB)、高速記憶卡(256GB)"/>
    <s v="智慧商務系"/>
  </r>
  <r>
    <x v="0"/>
    <s v="1150409"/>
    <s v="T201128"/>
    <s v="510301-3201辦公（事務）用品"/>
    <x v="2"/>
    <n v="16760"/>
    <s v="智商系支援黃天受老師教學/研究所需採購電腦零組件暨周邊配件等支出※品名:延長線(2.7米)、電源供應器(650W)、充電電池8入、無線滑鼠、固態硬碟(512GB)"/>
    <s v="智慧商務系"/>
  </r>
  <r>
    <x v="0"/>
    <s v="1150409"/>
    <s v="T201164"/>
    <s v="510301-3206食品"/>
    <x v="11"/>
    <n v="3150"/>
    <s v="執行躍升計畫-3/11、3/18學生英文社群活動用餐費※品名:便當"/>
    <s v="國企系"/>
  </r>
  <r>
    <x v="0"/>
    <s v="1150409"/>
    <s v="T201165"/>
    <s v="510301-2507什項設備修護費"/>
    <x v="14"/>
    <n v="3990"/>
    <s v="二門玻璃冷藏展示櫃故障維修(財編：5010107-08-2000005)※品名:更換溫度控制器(含稅)"/>
    <s v="林啟燦"/>
  </r>
  <r>
    <x v="0"/>
    <s v="1150409"/>
    <s v="T300478"/>
    <s v="510301-280501講課鐘點、稿費、出席審查及查詢費"/>
    <x v="8"/>
    <n v="2042"/>
    <s v="(楠梓-躍升計畫-商資系)專題講座鐘點費_x000a_講者：張煦薇科長_x000a_日期：115.03.11_x000a_時間：14:30-15:30"/>
    <s v="商務資訊應用系"/>
  </r>
  <r>
    <x v="0"/>
    <s v="1150410"/>
    <s v="T201181"/>
    <s v="510301-2401印刷及裝訂費"/>
    <x v="6"/>
    <n v="80"/>
    <s v="財稅系補助學生參加研討會文書影印費※品名:影印費"/>
    <s v="財政稅務系"/>
  </r>
  <r>
    <x v="0"/>
    <s v="1150415"/>
    <s v="T201246"/>
    <s v="510301-239801其他旅運費"/>
    <x v="15"/>
    <n v="2980"/>
    <s v="日期：115.3.18、時間： 15:30-18:30財團法人保險事業發展中心 黃渝誠講師 交通費-高鐵，左營-台北當日來回"/>
    <s v="風險管理與保險系"/>
  </r>
  <r>
    <x v="0"/>
    <s v="1150415"/>
    <s v="T201255"/>
    <s v="510301-3102物料"/>
    <x v="16"/>
    <n v="18415"/>
    <s v="機電工程系學生實務專題實驗用-3D列印耗材※品名:3D列印耗材"/>
    <s v="機電工程系"/>
  </r>
  <r>
    <x v="0"/>
    <s v="1150416"/>
    <s v="T300509"/>
    <s v="510301-280501講課鐘點、稿費、出席審查及查詢費"/>
    <x v="15"/>
    <n v="6127"/>
    <s v="日期：115.3.18、時間： 15:30-18:30財團法人保險事業發展中心 黃渝誠講師 鐘點費"/>
    <s v="風險管理與保險系"/>
  </r>
  <r>
    <x v="0"/>
    <s v="1150420"/>
    <s v="T201279"/>
    <s v="510301-2898其他"/>
    <x v="17"/>
    <n v="71454"/>
    <s v="工管系-黃瑞展老師Precise E-commerce Information Push Model Based on User Feature and Improved Stacking期刊論文投稿費及國外交易手續費(與D115002545分攤)※品名:期刊論文投稿費、國外交易手續費"/>
    <s v="黃瑞展"/>
  </r>
  <r>
    <x v="0"/>
    <s v="1150421"/>
    <s v="T300514"/>
    <s v="510301-271315工讀金"/>
    <x v="18"/>
    <n v="37366"/>
    <s v="協助辦理競賽活動-楊程凱等19人"/>
    <s v="電子系"/>
  </r>
  <r>
    <x v="1"/>
    <s v="1150422"/>
    <s v="已審"/>
    <s v=""/>
    <x v="4"/>
    <n v="5948"/>
    <s v="購買辦公室椅子。※品名:辦公椅"/>
    <s v="鐘文鈺"/>
  </r>
  <r>
    <x v="1"/>
    <s v="1150422"/>
    <s v="已審"/>
    <s v=""/>
    <x v="4"/>
    <n v="1149"/>
    <s v="購買隨身碟供儲存教學研究資料用。※品名:SanDisk"/>
    <s v="鐘文鈺"/>
  </r>
  <r>
    <x v="1"/>
    <s v="1150422"/>
    <s v="已審"/>
    <s v=""/>
    <x v="4"/>
    <n v="1353"/>
    <s v="購買教學相關之參考書籍。※品名:教學參考用書"/>
    <s v="鐘文鈺"/>
  </r>
  <r>
    <x v="1"/>
    <s v="1150422"/>
    <s v="已審"/>
    <s v=""/>
    <x v="4"/>
    <n v="2684"/>
    <s v="購買3C※品名:集線器與保護套"/>
    <s v="鐘文鈺"/>
  </r>
  <r>
    <x v="0"/>
    <s v="1150423"/>
    <s v="T201389"/>
    <s v="510301-3204化學藥劑與實驗用品"/>
    <x v="14"/>
    <n v="22050"/>
    <s v="計畫用-6M-5N-氦氣 (表單單號：S26041000001)※品名:6M-5N-氦氣、營業稅"/>
    <s v="林啟燦"/>
  </r>
  <r>
    <x v="0"/>
    <s v="1150424"/>
    <s v="T201429"/>
    <s v="510301-2401印刷及裝訂費"/>
    <x v="12"/>
    <n v="50"/>
    <s v="支付陳儀蓉老師印刷品費用※品名:印刷品"/>
    <s v="陳儀蓉"/>
  </r>
  <r>
    <x v="0"/>
    <s v="1150424"/>
    <s v="T201429"/>
    <s v="510301-3201辦公（事務）用品"/>
    <x v="12"/>
    <n v="1004"/>
    <s v="報支躍升計畫教學用文具※品名:觸控筆、筆、名片卡及卡盒"/>
    <s v="黃佳純"/>
  </r>
  <r>
    <x v="0"/>
    <s v="1150424"/>
    <s v="T201433"/>
    <s v="510301-2401印刷及裝訂費"/>
    <x v="19"/>
    <n v="4500"/>
    <s v="辦理躍升計畫資料輸出※品名:複印費"/>
    <s v="電子工程系[第一]"/>
  </r>
  <r>
    <x v="0"/>
    <s v="1150424"/>
    <s v="T201433"/>
    <s v="510301-3206食品"/>
    <x v="1"/>
    <n v="1400"/>
    <s v="114學年躍升計畫第3次管考會議的餐費，日期:3/31(二)，時間:12:45，人數:14※品名:餐費"/>
    <s v="營建工程系[第一]"/>
  </r>
  <r>
    <x v="0"/>
    <s v="1150424"/>
    <s v="T300562"/>
    <s v="510301-280501講課鐘點、稿費、出席審查及查詢費"/>
    <x v="19"/>
    <n v="4084"/>
    <s v="邀請業界專家台灣中油電機工程師李建興博士蒞系演講"/>
    <s v="電子工程系[第一]"/>
  </r>
  <r>
    <x v="0"/>
    <s v="1150424"/>
    <s v="T300562"/>
    <s v="510301-280501講課鐘點、稿費、出席審查及查詢費"/>
    <x v="3"/>
    <n v="2000"/>
    <s v="航技系115年3月9日邀請中鋼運通股份有限公司徐興隆協理蒞校進行航運講座(講題內容:散裝配載實務)"/>
    <s v="航運技術系"/>
  </r>
  <r>
    <x v="2"/>
    <s v="1150427"/>
    <s v="已審"/>
    <s v=""/>
    <x v="7"/>
    <n v="44500"/>
    <s v="應日系E002教室優化整建採購※品名:學生區連結型工學椅、學生區長型固定式長課桌、PTZ自動追蹤攝影機、8吋環控面板含軟體編程、白板面料更換、階梯區木地板面強化與空間油漆美化、座椅區項目拆除清運費用、空間器材保護與基礎清潔"/>
    <s v="陳佩君"/>
  </r>
  <r>
    <x v="1"/>
    <s v="1150427"/>
    <s v="未審"/>
    <s v=""/>
    <x v="6"/>
    <n v="5250"/>
    <s v="財稅系補助學生參加校外競賽「2026全國大專財富管理競賽」報名費"/>
    <s v="財政稅務系"/>
  </r>
  <r>
    <x v="1"/>
    <s v="1150429"/>
    <s v="未審"/>
    <s v=""/>
    <x v="13"/>
    <n v="4084"/>
    <s v="115年4月28日專題演講蔡孟汎總經理鐘點費"/>
    <s v="造船及海洋工程系"/>
  </r>
  <r>
    <x v="1"/>
    <s v="1150429"/>
    <s v="未審"/>
    <s v=""/>
    <x v="13"/>
    <n v="2920"/>
    <s v="115年4月28日專題演講蔡孟汎總經理交通費"/>
    <s v="造船及海洋工程系"/>
  </r>
  <r>
    <x v="0"/>
    <s v="1150501"/>
    <s v="T201490"/>
    <s v="510301-3201辦公（事務）用品"/>
    <x v="7"/>
    <n v="6870"/>
    <s v="【躍升】為執行躍升計畫之行政事務與教學，購買無線滑鼠之費用※品名:無線滑鼠"/>
    <s v="外語學院應用日語系"/>
  </r>
  <r>
    <x v="0"/>
    <s v="1150504"/>
    <s v="T201525"/>
    <s v="510301-3201辦公（事務）用品"/>
    <x v="2"/>
    <n v="3722"/>
    <s v="智慧商務系 購入辦公用品 文具一批※品名:文具一批"/>
    <s v="智慧商務系"/>
  </r>
  <r>
    <x v="0"/>
    <s v="1150504"/>
    <s v="T201525"/>
    <s v="510301-3204化學藥劑與實驗用品"/>
    <x v="2"/>
    <n v="6260"/>
    <s v="智商系支援侯易佑老師教學/研究所需採購實驗電子零組件材料等支出※品名:扣式比流器(R相.S相.T相)、LED多功能集合式電表、DIY電源線附開關、H型附接地三連明插座"/>
    <s v="智慧商務系"/>
  </r>
  <r>
    <x v="0"/>
    <s v="1150504"/>
    <s v="T201534"/>
    <s v="510301-3201辦公（事務）用品"/>
    <x v="14"/>
    <n v="495"/>
    <s v="實驗用-活性碳口罩※品名:活性碳口罩、營業稅"/>
    <s v="林啟燦"/>
  </r>
  <r>
    <x v="0"/>
    <s v="1150504"/>
    <s v="T201542"/>
    <s v="510301-2810電腦軟體服務費"/>
    <x v="6"/>
    <n v="636"/>
    <s v="財稅系管國珍老師教學教材製作用訂閱ChatGPT Plus Subscription軟體使用費115年2月份※品名:軟體使用費"/>
    <s v="財政稅務系"/>
  </r>
  <r>
    <x v="0"/>
    <s v="1150504"/>
    <s v="T201542"/>
    <s v="510301-2810電腦軟體服務費"/>
    <x v="6"/>
    <n v="700"/>
    <s v="財稅系張純萍老師教學教材製作用訂閱ChatGPT Plus Subscription軟體使用費115年3月份※品名:軟體使用費"/>
    <s v="財政稅務系"/>
  </r>
  <r>
    <x v="0"/>
    <s v="1150504"/>
    <s v="T201542"/>
    <s v="510301-3201辦公（事務）用品"/>
    <x v="6"/>
    <n v="1400"/>
    <s v="姚名鴻老師教學研究使用※品名:商品如明細所示"/>
    <s v="財政稅務系"/>
  </r>
  <r>
    <x v="0"/>
    <s v="1150505"/>
    <s v="T201551"/>
    <s v="510301-2808委託考選訓練費"/>
    <x v="17"/>
    <n v="3000"/>
    <s v="中華民國人因工程學會研討會(EST2026)王釗鴻--註冊費※品名:中華民國人因工程學會研討會註冊費"/>
    <s v="王釗鴻"/>
  </r>
  <r>
    <x v="0"/>
    <s v="1150505"/>
    <s v="T201551"/>
    <s v="510301-3201辦公（事務）用品"/>
    <x v="2"/>
    <n v="2337"/>
    <s v="智商系支援侯易佑老師教學/研究所需採購實驗材料,耳麥,文具品等支出※品名:可調充退磁器螺絲起子(2入裝)、筆類含筆芯、連續章、藍芽耳麥"/>
    <s v="智慧商務系"/>
  </r>
  <r>
    <x v="0"/>
    <s v="1150505"/>
    <s v="T201591"/>
    <s v="510301-3204化學藥劑與實驗用品"/>
    <x v="20"/>
    <n v="54800"/>
    <s v="115年度多功能實習工廠核定之材料費－尋邊器及刀具等8項※品名:尋邊器五金刀具等8項"/>
    <s v="黃家瑞"/>
  </r>
  <r>
    <x v="0"/>
    <s v="1150505"/>
    <s v="T201600"/>
    <s v="510301-2810電腦軟體服務費"/>
    <x v="9"/>
    <n v="148800"/>
    <s v="電通系電腦教室軟體使用費※品名:軟體使用費"/>
    <s v="電腦與通訊工程系[第"/>
  </r>
  <r>
    <x v="0"/>
    <s v="1150505"/>
    <s v="T201628"/>
    <s v="510301-2698其他保險費"/>
    <x v="21"/>
    <n v="1312"/>
    <s v="國內差旅及交通費-115/04/19產業交流與參訪暨校外教學保險費(41人)※品名:保險費"/>
    <s v="海洋休閒管理系[楠梓|"/>
  </r>
  <r>
    <x v="0"/>
    <s v="1150505"/>
    <s v="T201628"/>
    <s v="510301-2810電腦軟體服務費"/>
    <x v="6"/>
    <n v="638"/>
    <s v="財稅系姚名鴻老師教學教材製作用訂閱ChatGPT Plus Subscription軟體使用費115年1月份※品名:軟體使用費"/>
    <s v="財政稅務系"/>
  </r>
  <r>
    <x v="0"/>
    <s v="1150505"/>
    <s v="T201628"/>
    <s v="510301-2810電腦軟體服務費"/>
    <x v="6"/>
    <n v="659"/>
    <s v="財稅系姚名鴻老師教學教材製作用訂閱NotebookLM軟體使用費115年2月份※品名:軟體使用費"/>
    <s v="財政稅務系"/>
  </r>
  <r>
    <x v="0"/>
    <s v="1150505"/>
    <s v="T201628"/>
    <s v="510301-2810電腦軟體服務費"/>
    <x v="6"/>
    <n v="637"/>
    <s v="財稅系姚名鴻老師教學教材製作用訂閱ChatGPT Plus Subscription軟體使用費115年2月份※品名:軟體使用費"/>
    <s v="財政稅務系"/>
  </r>
  <r>
    <x v="0"/>
    <s v="1150505"/>
    <s v="T201628"/>
    <s v="510301-3201辦公（事務）用品"/>
    <x v="12"/>
    <n v="2985"/>
    <s v="學術研究及教學使用之書籍、文具、資訊設備等※品名:行動電源、無線網卡、鋰電池、CD筆、鋼珠筆、筆芯、圓規、膠帶、保麗龍膠、自動鉛筆、鋼筆、麥肯錫教企業這樣用AI數位轉型"/>
    <s v="翁慈君"/>
  </r>
  <r>
    <x v="0"/>
    <s v="1150505"/>
    <s v="T201628"/>
    <s v="510301-3204化學藥劑與實驗用品"/>
    <x v="14"/>
    <n v="2205"/>
    <s v="實驗用-高純度氮氣(表單單號：P26041300001)※品名:高純度氮氣"/>
    <s v="林啟燦"/>
  </r>
  <r>
    <x v="0"/>
    <s v="1150505"/>
    <s v="T201628"/>
    <s v="510301-3206食品"/>
    <x v="11"/>
    <n v="801"/>
    <s v="執行躍升計畫國際化交流活動－信州大學學術交流活動餐費※品名:餐點"/>
    <s v="國企系"/>
  </r>
  <r>
    <x v="0"/>
    <s v="1150505"/>
    <s v="T300615"/>
    <s v="510301-280501講課鐘點、稿費、出席審查及查詢費"/>
    <x v="18"/>
    <n v="42374"/>
    <s v="2026第二十二屆全國電子設計創意競賽評審工作"/>
    <s v="電子系"/>
  </r>
  <r>
    <x v="1"/>
    <s v="1150505"/>
    <s v="未審"/>
    <s v=""/>
    <x v="22"/>
    <n v="7200"/>
    <s v="會資系1150430專題講座餐盒※品名:餐盒"/>
    <s v="會計資訊系"/>
  </r>
  <r>
    <x v="0"/>
    <s v="1150506"/>
    <s v="T201641"/>
    <s v="510301-280501講課鐘點、稿費、出席審查及查詢費"/>
    <x v="9"/>
    <n v="12000"/>
    <s v="1150323電通系舉辦115年太空產業供應鏈暨網通產業新興飛揚計畫-5G垂直應用實務工作坊邀請講師耀睿科技副總蔡志明副總經理及華電聯網劉姿君技術經理之鐘點費"/>
    <s v="電腦與通訊工程系[第"/>
  </r>
  <r>
    <x v="0"/>
    <s v="1150506"/>
    <s v="T201694"/>
    <s v="510301-3201辦公（事務）用品"/>
    <x v="23"/>
    <n v="2699"/>
    <s v="歐宗殷老師 ※品名:筆記型電腦、D-LINK AX3000雙頻無線路由器"/>
    <s v="歐宗殷"/>
  </r>
  <r>
    <x v="0"/>
    <s v="1150506"/>
    <s v="T201713"/>
    <s v="510301-4402車租"/>
    <x v="21"/>
    <n v="11550"/>
    <s v="國內差旅及交通費-產業交流與參訪活動交通費※品名:遊覽車"/>
    <s v="海洋休閒管理系[楠梓|"/>
  </r>
  <r>
    <x v="0"/>
    <s v="1150506"/>
    <s v="T201719"/>
    <s v="510301-2502一般房屋修護費"/>
    <x v="1"/>
    <n v="70560"/>
    <s v="教學課程使用(執行計畫)F126土壤及岩石力學實驗室空間修繕(照明燈具更換)※品名:4尺雙管輕鋼架燈"/>
    <s v="營建工程系[第一]"/>
  </r>
  <r>
    <x v="1"/>
    <s v="1150506"/>
    <s v="未審"/>
    <s v=""/>
    <x v="17"/>
    <n v="1980"/>
    <s v="工管系-林伯鴻115/04/25至台中討論國科會計畫"/>
    <s v="林伯鴻"/>
  </r>
  <r>
    <x v="0"/>
    <s v="1150507"/>
    <s v="T201737"/>
    <s v="510301-2401印刷及裝訂費"/>
    <x v="19"/>
    <n v="90"/>
    <s v="辦理躍升計畫資料影印膠裝※品名:影印"/>
    <s v="電子工程系[第一]"/>
  </r>
  <r>
    <x v="0"/>
    <s v="1150507"/>
    <s v="T201739"/>
    <s v="510301-239801其他旅運費"/>
    <x v="19"/>
    <n v="2780"/>
    <s v="邀請中研院林于玲博士蒞系演講交通費"/>
    <s v="電子工程系[第一]"/>
  </r>
  <r>
    <x v="0"/>
    <s v="1150507"/>
    <s v="T201739"/>
    <s v="510301-239801其他旅運費"/>
    <x v="19"/>
    <n v="2920"/>
    <s v="邀請養心心理治療所江柏均蒞系演講交通費"/>
    <s v="電子工程系[第一]"/>
  </r>
  <r>
    <x v="0"/>
    <s v="1150507"/>
    <s v="T300644"/>
    <s v="510301-280501講課鐘點、稿費、出席審查及查詢費"/>
    <x v="19"/>
    <n v="4084"/>
    <s v="邀請中研院林于玲博士蒞系演講鐘點費"/>
    <s v="電子工程系[第一]"/>
  </r>
  <r>
    <x v="0"/>
    <s v="1150507"/>
    <s v="T300644"/>
    <s v="510301-280501講課鐘點、稿費、出席審查及查詢費"/>
    <x v="19"/>
    <n v="4084"/>
    <s v="邀請養心心理治療所江柏均蒞系演講"/>
    <s v="電子工程系[第一]"/>
  </r>
  <r>
    <x v="0"/>
    <s v="1150507"/>
    <s v="T300644"/>
    <s v="510301-280501講課鐘點、稿費、出席審查及查詢費"/>
    <x v="9"/>
    <n v="1000"/>
    <s v="1150330電通系舉辦115年太空產業供應鏈暨網通產業新興飛揚計畫-5G垂直應用實務工作坊邀請講師華電聯網秦榕嬪經理之鐘點費"/>
    <s v="電腦與通訊工程系[第"/>
  </r>
  <r>
    <x v="0"/>
    <s v="1150507"/>
    <s v="T300644"/>
    <s v="510301-280501講課鐘點、稿費、出席審查及查詢費"/>
    <x v="3"/>
    <n v="2000"/>
    <s v="航技系115年4月13日邀請中鋼運通股份有限公司江欣澄管理師蒞校進行航運講座(講題內容:海法二三事)"/>
    <s v="航運技術系"/>
  </r>
  <r>
    <x v="0"/>
    <s v="1150507"/>
    <s v="T300644"/>
    <s v="510301-280501講課鐘點、稿費、出席審查及查詢費"/>
    <x v="3"/>
    <n v="2000"/>
    <s v="航技系115年3月31日邀請光明海運船務部王鳳明協理蒞校進行航運講座(講題內容:守護碧海藍天-探討海員在預防溢海事故中的核心地位)"/>
    <s v="航運技術系"/>
  </r>
  <r>
    <x v="0"/>
    <s v="1150508"/>
    <s v="T201754"/>
    <s v="510301-2401印刷及裝訂費"/>
    <x v="12"/>
    <n v="646"/>
    <s v="影印資料用※品名:影印"/>
    <s v="董玉娟"/>
  </r>
  <r>
    <x v="0"/>
    <s v="1150508"/>
    <s v="T201754"/>
    <s v="510301-3201辦公（事務）用品"/>
    <x v="2"/>
    <n v="1374"/>
    <s v="智慧商務系 購入辦公用品 文具一批※品名:文具附明細"/>
    <s v="智慧商務系"/>
  </r>
  <r>
    <x v="0"/>
    <s v="1150508"/>
    <s v="T201754"/>
    <s v="510301-3206食品"/>
    <x v="21"/>
    <n v="4200"/>
    <s v="誤餐費-115/04/19產業交流與參訪暨 校外教學晚餐誤餐費(42人)※品名:便當"/>
    <s v="海洋休閒管理系[楠梓|"/>
  </r>
  <r>
    <x v="0"/>
    <s v="1150508"/>
    <s v="T201754"/>
    <s v="510301-720601獎助學員生給與"/>
    <x v="1"/>
    <n v="1850"/>
    <s v="補助學生參加競賽的住宿費※品名:住宿費"/>
    <s v="營建工程系[第一]"/>
  </r>
  <r>
    <x v="0"/>
    <s v="1150508"/>
    <s v="T201756"/>
    <s v="510301-3206食品"/>
    <x v="21"/>
    <n v="4200"/>
    <s v="誤餐費-115/04/19產業交流與參訪暨 校外教學午餐誤餐費(42人)※品名:便當"/>
    <s v="海洋休閒管理系[楠梓|"/>
  </r>
  <r>
    <x v="0"/>
    <s v="1150508"/>
    <s v="T201756"/>
    <s v="510301-4402車租"/>
    <x v="12"/>
    <n v="9500"/>
    <s v="支付陳儀蓉老師4/9(四)13:20-16:20統一企業參訪車資費用※品名:車資"/>
    <s v="陳儀蓉"/>
  </r>
  <r>
    <x v="1"/>
    <s v="1150508"/>
    <s v="已審"/>
    <s v=""/>
    <x v="24"/>
    <n v="8361"/>
    <s v="承恩-4月份臨時工資"/>
    <s v="海洋生物技術系"/>
  </r>
  <r>
    <x v="0"/>
    <s v="1150511"/>
    <s v="T201781"/>
    <s v="510301-3201辦公（事務）用品"/>
    <x v="6"/>
    <n v="20287"/>
    <s v="姚名鴻老師教學研究使用※品名:商品如明細所示"/>
    <s v="財政稅務系"/>
  </r>
  <r>
    <x v="0"/>
    <s v="1150511"/>
    <s v="T201791"/>
    <s v="510301-2810電腦軟體服務費"/>
    <x v="6"/>
    <n v="659"/>
    <s v="財稅系姚名鴻老師教學教材製作用訂閱NotebookLM軟體使用費115年3月份※品名:軟體使用費"/>
    <s v="財政稅務系"/>
  </r>
  <r>
    <x v="0"/>
    <s v="1150511"/>
    <s v="T201791"/>
    <s v="510301-3201辦公（事務）用品"/>
    <x v="6"/>
    <n v="198"/>
    <s v="姚名鴻老師教學研究使用※品名:商品如明細所示"/>
    <s v="財政稅務系"/>
  </r>
  <r>
    <x v="0"/>
    <s v="1150511"/>
    <s v="T201822"/>
    <s v="510301-3201辦公（事務）用品"/>
    <x v="2"/>
    <n v="18908"/>
    <s v="智商系支援廖奕雯老師教學/研究所需採購電腦周邊電子配件等支出※品名:記憶卡(512GB SDXC)、多功能集線器、固態硬碟(512GB)、無線鍵盤滑鼠組、充電器100W、行動硬碟(2.5&quot; 1TB)"/>
    <s v="智慧商務系"/>
  </r>
  <r>
    <x v="0"/>
    <s v="1150511"/>
    <s v="T201824"/>
    <s v="510301-4402車租"/>
    <x v="25"/>
    <n v="13000"/>
    <s v="付115.04.24觀光系陳光華老師配合躍升計畫執行地方創生課程帶碩專班學生至台南關子嶺校外參訪所需之交通費用。※品名:車資"/>
    <s v="觀光系"/>
  </r>
  <r>
    <x v="0"/>
    <s v="1150511"/>
    <s v="T201828"/>
    <s v="510301-3201辦公（事務）用品"/>
    <x v="2"/>
    <n v="14781"/>
    <s v="智商系支援廖奕雯老師教學/研究所需採購實驗文具用品暨資料儲存媒體等支出※品名:延長線(2.7米)、充電電池8入、標籤帶12MM、行動硬碟(512GB)"/>
    <s v="智慧商務系"/>
  </r>
  <r>
    <x v="1"/>
    <s v="1150511"/>
    <s v="已審"/>
    <s v=""/>
    <x v="5"/>
    <n v="4126"/>
    <s v="旗津校區/海資系/系所躍升計畫5月份工讀金－艾哲偉"/>
    <s v="海事資訊科技系"/>
  </r>
  <r>
    <x v="1"/>
    <s v="1150511"/>
    <s v="未審"/>
    <s v=""/>
    <x v="13"/>
    <n v="4084"/>
    <s v="115年5月5日專題演講張家溥工程師鐘點費"/>
    <s v="造船及海洋工程系"/>
  </r>
  <r>
    <x v="1"/>
    <s v="1150511"/>
    <s v="未審"/>
    <s v=""/>
    <x v="13"/>
    <n v="180"/>
    <s v="115年5月5日專題演講張家溥工程師交通費"/>
    <s v="造船及海洋工程系"/>
  </r>
  <r>
    <x v="1"/>
    <s v="1150511"/>
    <s v="未審"/>
    <s v=""/>
    <x v="6"/>
    <n v="651"/>
    <s v="財稅系姚名鴻老師教學研究材料製作用訂閱ChatGPT Plus Subscription軟體使用費115年3月份※品名:軟體使用費"/>
    <s v="財政稅務系"/>
  </r>
  <r>
    <x v="0"/>
    <s v="1150512"/>
    <s v="T201877"/>
    <s v="510301-280501講課鐘點、稿費、出席審查及查詢費"/>
    <x v="3"/>
    <n v="2000"/>
    <s v="航技系115年4月28日邀請裕品實業股份有限公司陳明泰先生蒞校進行航運講座(講座內容:離岸風場海洋汙染緊急應變計劃)"/>
    <s v="航運技術系"/>
  </r>
  <r>
    <x v="0"/>
    <s v="1150512"/>
    <s v="T300657"/>
    <s v="510301-271315工讀金"/>
    <x v="5"/>
    <n v="23616"/>
    <s v="旗津校區/海資系/系所躍升計畫4月份工讀金－陳韋安、李知學"/>
    <s v="海事資訊科技系"/>
  </r>
  <r>
    <x v="1"/>
    <s v="1150512"/>
    <s v="已審"/>
    <s v=""/>
    <x v="8"/>
    <n v="4084"/>
    <s v="(楠梓-商資系-躍升計畫)業界專家專題講座鐘點費4000元_x000a_(115年4月29日，10:30-12:00，12:10-13:10，黃維毓工程師)"/>
    <s v="商務資訊應用系"/>
  </r>
  <r>
    <x v="1"/>
    <s v="1150512"/>
    <s v="未審"/>
    <s v=""/>
    <x v="4"/>
    <n v="1"/>
    <s v="張主任學生開會。"/>
    <s v="鐘文鈺"/>
  </r>
  <r>
    <x v="0"/>
    <s v="1150513"/>
    <s v="T201885"/>
    <s v="510301-2810電腦軟體服務費"/>
    <x v="12"/>
    <n v="9630"/>
    <s v="支付人資系陳儀蓉老師115年電腦周邊設備費用※品名:軟體使用費"/>
    <s v="陳儀蓉"/>
  </r>
  <r>
    <x v="1"/>
    <s v="1150513"/>
    <s v="已審"/>
    <s v=""/>
    <x v="13"/>
    <n v="391"/>
    <s v="115年5月13日專題演講黃良田正訓練師交通費(起訖地點公里數：65.2公里，合計65.2公里*2次*3元/公里=391.2元)"/>
    <s v="造船及海洋工程系"/>
  </r>
  <r>
    <x v="1"/>
    <s v="1150513"/>
    <s v="未審"/>
    <s v=""/>
    <x v="10"/>
    <n v="2610"/>
    <s v="金融系黃信嘉老師租用3D影像轉譯素材資料庫-1個月費用※品名:網路服務費"/>
    <s v="金融系"/>
  </r>
  <r>
    <x v="1"/>
    <s v="1150513"/>
    <s v="未審"/>
    <s v=""/>
    <x v="8"/>
    <n v="2400"/>
    <s v="(楠梓-商資系-躍升計畫)業界專家專題講座交通2400元_x000a_(115年4月29日，高鐵新竹-左營，來回)"/>
    <s v="商務資訊應用系"/>
  </r>
  <r>
    <x v="0"/>
    <s v="1150514"/>
    <s v="T201913"/>
    <s v="510301-3206食品"/>
    <x v="7"/>
    <n v="500"/>
    <s v="應日系實務專題暨交換留學抵免說明會所使用之餐費。時間:115/4/29 12:00-15:00，人數:5人，名單:林蕙美、齋美智子、陳佩君、王苡如、藍光芸※品名:餐費"/>
    <s v="外語學院應用日語系"/>
  </r>
  <r>
    <x v="1"/>
    <s v="1150514"/>
    <s v="未審"/>
    <s v=""/>
    <x v="26"/>
    <n v="98600"/>
    <s v="購置軟體以利學習與研究※品名:XQ全球贏家"/>
    <s v="金融資訊系"/>
  </r>
  <r>
    <x v="1"/>
    <s v="1150514"/>
    <s v="未審"/>
    <s v=""/>
    <x v="13"/>
    <n v="4084"/>
    <s v="115年5月12日專題演講盧建仲主任鐘點費"/>
    <s v="造船及海洋工程系"/>
  </r>
  <r>
    <x v="1"/>
    <s v="1150514"/>
    <s v="未審"/>
    <s v=""/>
    <x v="13"/>
    <n v="42"/>
    <s v="115年5月12日專題演講盧建仲主任交通費"/>
    <s v="造船及海洋工程系"/>
  </r>
  <r>
    <x v="1"/>
    <s v="1150514"/>
    <s v="未審"/>
    <s v=""/>
    <x v="8"/>
    <n v="3267"/>
    <s v="(楠梓-商資系-躍升計畫)115.05.13企業參訪校外教學保險費。(參訪地點：南投辰光能源科技，學生數：27人)※品名:保險費"/>
    <s v="商務資訊應用系"/>
  </r>
  <r>
    <x v="0"/>
    <s v="1150515"/>
    <s v="T201951"/>
    <s v="510301-3201辦公（事務）用品"/>
    <x v="4"/>
    <n v="7302"/>
    <s v="系所文具耗材請購※品名:4孔夾、11孔資料補充內帶、彩色長尾夾、修正內帶、膠水、螢光膠帶、泡棉膠帶、A4護貝膠膜、A4板夾、大公文封(10人)、立體牛皮公文封(10人)、中性筆、鋼珠筆、自動鉛筆芯、奇異筆、螢光筆、白板筆卡水、白板擦、削筆機、利貼、索引片、環保隨意貼、A4電腦標籤、夾鏈袋、切割墊、無痕掛勾、商品標示架"/>
    <s v="張雲龍"/>
  </r>
  <r>
    <x v="1"/>
    <s v="1150515"/>
    <s v="已審"/>
    <s v=""/>
    <x v="11"/>
    <n v="744"/>
    <s v="躍升計畫執行-日間部專題競賽書審資料印製與送審郵資。※品名:印刷費、郵資"/>
    <s v="國企系"/>
  </r>
  <r>
    <x v="1"/>
    <s v="1150515"/>
    <s v="已審"/>
    <s v=""/>
    <x v="11"/>
    <n v="3772"/>
    <s v="躍升計畫執行-日間部專題競賽書審資料印製與送審郵資。※品名:印刷費、郵資"/>
    <s v="國企系"/>
  </r>
  <r>
    <x v="0"/>
    <s v="1150518"/>
    <s v="T201967"/>
    <s v="510301-3201辦公（事務）用品"/>
    <x v="12"/>
    <n v="11"/>
    <s v="學術研究及教學使用之書籍、文具、資訊設備及軟體等※品名:螢光筆"/>
    <s v="翁慈君"/>
  </r>
  <r>
    <x v="0"/>
    <s v="1150518"/>
    <s v="T201992"/>
    <s v="510301-2502一般房屋修護費"/>
    <x v="23"/>
    <n v="148000"/>
    <s v="B511 許軒老師 拆除工程※品名:拆除工程"/>
    <s v="歐宗殷"/>
  </r>
  <r>
    <x v="1"/>
    <s v="1150518"/>
    <s v="未審"/>
    <s v=""/>
    <x v="17"/>
    <n v="5000"/>
    <s v="研究資料收集與分析:ESG揭露與GRI V.S. TCFD V.S. SASB V.S. ISSB V.S. IFRS整合※品名:研究資料收集與分析:ESG揭露與GRI V.S. TCFD V.S. SASB V.S. ISSB V.S. IFRS整合"/>
    <s v="薛明憲"/>
  </r>
  <r>
    <x v="0"/>
    <s v="1150519"/>
    <s v="T202031"/>
    <s v="510301-3102物料"/>
    <x v="14"/>
    <n v="23100"/>
    <s v="執行計畫-精密儀器曝氣捕捉裝置耗材 (財編：3100908-49-2000001)※品名:曝氣管含套頭"/>
    <s v="林啟燦"/>
  </r>
  <r>
    <x v="1"/>
    <s v="1150519"/>
    <s v="未審"/>
    <s v=""/>
    <x v="23"/>
    <n v="571"/>
    <s v="AI認證工作坊與證照補助款-影印費※品名:影印費"/>
    <s v="歐宗殷"/>
  </r>
  <r>
    <x v="1"/>
    <s v="1150519"/>
    <s v="未審"/>
    <s v=""/>
    <x v="23"/>
    <n v="6015"/>
    <s v="AI認證工作坊與證照補助款-餐費※品名:4/26 餐費、飲料、5/2 餐費"/>
    <s v="歐宗殷"/>
  </r>
  <r>
    <x v="1"/>
    <s v="1150519"/>
    <s v="未審"/>
    <s v=""/>
    <x v="24"/>
    <n v="9120"/>
    <s v="學生許銘倫、范育菱、陳品蓉、李紘宇等四人於5/11至5/13參加2026環境分析研討會之住宿費※品名:2026環境分析研討會住宿費"/>
    <s v="蘇豐傑"/>
  </r>
  <r>
    <x v="1"/>
    <s v="1150520"/>
    <s v="已審"/>
    <s v=""/>
    <x v="11"/>
    <n v="2160"/>
    <s v="執行躍升計畫-辦理IBET研討會籌備工作會議-餐費※品名:便當"/>
    <s v="國企系"/>
  </r>
  <r>
    <x v="1"/>
    <s v="1150520"/>
    <s v="未審"/>
    <s v=""/>
    <x v="24"/>
    <n v="5960"/>
    <s v="115年5月5日及5月12日林家豪副教授至台北參加115生物安全管理人員訓練課程，高鐵:左營-台北來回"/>
    <s v="海洋生物技術系"/>
  </r>
  <r>
    <x v="0"/>
    <s v="1150521"/>
    <s v="T202088"/>
    <s v="510301-3201辦公（事務）用品"/>
    <x v="6"/>
    <n v="6216"/>
    <s v="姚名鴻老師教學研究使用※品名:商品如明細所示"/>
    <s v="財政稅務系"/>
  </r>
  <r>
    <x v="0"/>
    <s v="1150521"/>
    <s v="T202089"/>
    <s v="510301-2401印刷及裝訂費"/>
    <x v="19"/>
    <n v="4500"/>
    <s v="辦理躍升計畫課程相關資料輸出※品名:複印費"/>
    <s v="電子工程系[第一]"/>
  </r>
  <r>
    <x v="0"/>
    <s v="1150521"/>
    <s v="T202093"/>
    <s v="510301-3102物料"/>
    <x v="14"/>
    <n v="571"/>
    <s v="執行計畫-堆肥實驗用耗材乙批※品名:五金(三花棉紗手套)、五金(鐵柄叉鋤)、五金(木工鋸)、五金(虎牙修剪鋸)"/>
    <s v="林啟燦"/>
  </r>
  <r>
    <x v="1"/>
    <s v="1150521"/>
    <s v="未審"/>
    <s v=""/>
    <x v="17"/>
    <n v="3433"/>
    <s v="DLT 2026數位生活科技研討會註冊費_x000a_Wifi 6 藍芽USB網卡※品名:DLT 2026數位生活科技研討會註冊費、Wifi 6 藍芽USB網卡"/>
    <s v="許桓瑜"/>
  </r>
  <r>
    <x v="1"/>
    <s v="1150521"/>
    <s v="未審"/>
    <s v=""/>
    <x v="12"/>
    <n v="5300"/>
    <s v="報支躍升計畫115/5/21專題講座黃瓊儀講師鐘點費"/>
    <s v="黃佳純"/>
  </r>
  <r>
    <x v="1"/>
    <s v="1150521"/>
    <s v="未審"/>
    <s v=""/>
    <x v="27"/>
    <n v="2980"/>
    <s v=""/>
    <s v="外語學院應用德語系"/>
  </r>
  <r>
    <x v="1"/>
    <s v="1150521"/>
    <s v="未審"/>
    <s v=""/>
    <x v="13"/>
    <n v="4084"/>
    <s v="115年5月19日專題演講羅智勳副理鐘點費"/>
    <s v="造船及海洋工程系"/>
  </r>
  <r>
    <x v="1"/>
    <s v="1150521"/>
    <s v="未審"/>
    <s v=""/>
    <x v="13"/>
    <n v="3020"/>
    <s v="115年5月19日專題演講羅智勳副理交通費"/>
    <s v="造船及海洋工程系"/>
  </r>
  <r>
    <x v="1"/>
    <s v="1150521"/>
    <s v="未審"/>
    <s v=""/>
    <x v="14"/>
    <n v="2101"/>
    <s v="執行計畫用-空氣感測器耗材(開發板)※品名:(Pi 4/2G)樹莓派 Raspberry Pi 4 Mo del B/2GB 開發板、稅額"/>
    <s v="林啟燦"/>
  </r>
  <r>
    <x v="1"/>
    <s v="1150521"/>
    <s v="未審"/>
    <s v=""/>
    <x v="5"/>
    <n v="16520"/>
    <s v="旗津校區/海資系/系所躍升計畫5月份工讀金－陳韋安、李知學"/>
    <s v="海事資訊科技系"/>
  </r>
  <r>
    <x v="0"/>
    <s v="1150522"/>
    <s v="T202117"/>
    <s v="510301-2401印刷及裝訂費"/>
    <x v="12"/>
    <n v="134"/>
    <s v="報支躍升計畫用教學軟體使用費、影印費、文具一批※品名:3月份GAMMA、GAMMA(一年期)、GAMMA(一年期)國外交易手續費、影印費、影印膠裝、文具"/>
    <s v="黃佳純"/>
  </r>
  <r>
    <x v="0"/>
    <s v="1150522"/>
    <s v="T202117"/>
    <s v="510301-3201辦公（事務）用品"/>
    <x v="12"/>
    <n v="1079"/>
    <s v="報支躍升計畫用教學軟體使用費、影印費、文具一批※品名:3月份GAMMA、GAMMA(一年期)、GAMMA(一年期)國外交易手續費、影印費、影印膠裝、文具"/>
    <s v="黃佳純"/>
  </r>
  <r>
    <x v="0"/>
    <s v="1150522"/>
    <s v="T202117"/>
    <s v="510301-2810電腦軟體服務費"/>
    <x v="12"/>
    <n v="7328"/>
    <s v="報支躍升計畫用教學軟體使用費、影印費、文具一批※品名:3月份GAMMA、GAMMA(一年期)、GAMMA(一年期)國外交易手續費、影印費、影印膠裝、文具"/>
    <s v="黃佳純"/>
  </r>
  <r>
    <x v="0"/>
    <s v="1150522"/>
    <s v="T202117"/>
    <s v="510301-2706佣金、匯費、經理費及手續費"/>
    <x v="12"/>
    <n v="104"/>
    <s v="報支躍升計畫用教學軟體使用費、影印費、文具一批※品名:3月份GAMMA、GAMMA(一年期)、GAMMA(一年期)國外交易手續費、影印費、影印膠裝、文具"/>
    <s v="黃佳純"/>
  </r>
  <r>
    <x v="0"/>
    <s v="1150522"/>
    <s v="T202117"/>
    <s v="510301-3201辦公（事務）用品"/>
    <x v="9"/>
    <n v="2800"/>
    <s v="電通系電腦教室記憶體更新※品名:8GB記憶體"/>
    <s v="電腦與通訊工程系[第"/>
  </r>
  <r>
    <x v="0"/>
    <s v="1150522"/>
    <s v="T202117"/>
    <s v="510301-3201辦公（事務）用品"/>
    <x v="2"/>
    <n v="330"/>
    <s v="智慧商務系 購入4孔夾 辦公用※品名:4孔夾"/>
    <s v="智慧商務系"/>
  </r>
  <r>
    <x v="0"/>
    <s v="1150522"/>
    <s v="T202117"/>
    <s v="510301-3206食品"/>
    <x v="8"/>
    <n v="7320"/>
    <s v="(楠梓-商資系)業界專家專題講座誤餐費7320元。(115年4月29日10:30-12:00，61人)※品名:便當"/>
    <s v="商務資訊應用系"/>
  </r>
  <r>
    <x v="1"/>
    <s v="1150522"/>
    <s v="已審"/>
    <s v=""/>
    <x v="11"/>
    <n v="2145"/>
    <s v="執行躍升計畫-辦理IBET研討會籌備工作會議5/21-餐費※品名:便當"/>
    <s v="國企系"/>
  </r>
  <r>
    <x v="1"/>
    <s v="1150522"/>
    <s v="已審"/>
    <s v=""/>
    <x v="28"/>
    <n v="1150"/>
    <s v="配合躍升計畫, 舉辦活動講者iPad所需用之手寫筆※品名:手寫筆"/>
    <s v="企管系"/>
  </r>
  <r>
    <x v="1"/>
    <s v="1150522"/>
    <s v="未審"/>
    <s v=""/>
    <x v="1"/>
    <n v="2850"/>
    <s v="維修電腦(財產編號:3140101-03-5008922)，執行計畫用※品名:記憶體(美光DDR4 3200 8GB)"/>
    <s v="營建工程系[第一]"/>
  </r>
  <r>
    <x v="0"/>
    <s v="1150525"/>
    <s v="T202149"/>
    <s v="510301-3201辦公（事務）用品"/>
    <x v="14"/>
    <n v="12567"/>
    <s v="執行計畫-實驗資料數據等儲存、野外樣品數據採集使用(環境有機分析實驗室)※品名:OTG隨身碟、記憶卡"/>
    <s v="海洋環境工程系"/>
  </r>
  <r>
    <x v="0"/>
    <s v="1150525"/>
    <s v="T202150"/>
    <s v="510301-3201辦公（事務）用品"/>
    <x v="14"/>
    <n v="3940"/>
    <s v="執行計畫-實驗野外採樣儀器使用、成果發表及實驗線上會議使用(環境有機分析實驗室)※品名:USB外充變壓器、TYPE C TOC傳輸線、羅技視訊攝影機"/>
    <s v="海洋環境工程系"/>
  </r>
  <r>
    <x v="0"/>
    <s v="1150525"/>
    <s v="T300740"/>
    <s v="510301-280501講課鐘點、稿費、出席審查及查詢費"/>
    <x v="12"/>
    <n v="4084"/>
    <s v="報支躍升計畫115/5/10專題講座黃瓊儀講師鐘點費"/>
    <s v="黃佳純"/>
  </r>
  <r>
    <x v="0"/>
    <s v="1150525"/>
    <s v="T300740"/>
    <s v="510301-280501講課鐘點、稿費、出席審查及查詢費"/>
    <x v="22"/>
    <n v="4084"/>
    <s v="114-2會資系專題講座吳昇翰講師鐘點費"/>
    <s v="會計資訊系"/>
  </r>
  <r>
    <x v="1"/>
    <s v="1150525"/>
    <s v="未審"/>
    <s v=""/>
    <x v="29"/>
    <n v="1061"/>
    <s v="製作專題實驗用器材※品名:無線鍵盤"/>
    <s v="半導體工程系"/>
  </r>
  <r>
    <x v="1"/>
    <s v="1150525"/>
    <s v="未審"/>
    <s v=""/>
    <x v="3"/>
    <n v="4320"/>
    <s v="114-2學期四技專題實務課程成果報告展示海報製作。※品名:海報"/>
    <s v="航運技術系"/>
  </r>
  <r>
    <x v="0"/>
    <s v="1150526"/>
    <s v="T202211"/>
    <s v="510301-4401船租"/>
    <x v="14"/>
    <n v="12600"/>
    <s v="執行實驗計畫用-台中港租船採樣費用※品名:大瀚2號工作船台中港區採水(含稅)"/>
    <s v="林啟燦"/>
  </r>
  <r>
    <x v="0"/>
    <s v="1150526"/>
    <s v="T202242"/>
    <s v="510301-2810電腦軟體服務費"/>
    <x v="4"/>
    <n v="616"/>
    <s v="用於研究資料儲存與運算資源使用。※品名:Google Cloud 雲端伺服器使用費"/>
    <s v="林威成"/>
  </r>
  <r>
    <x v="0"/>
    <s v="1150526"/>
    <s v="T202242"/>
    <s v="510301-3204化學藥劑與實驗用品"/>
    <x v="1"/>
    <n v="3320"/>
    <s v="補助學生陳修毅、王彥鈞參加競賽的材料費※品名:材料費"/>
    <s v="營建工程系[第一]"/>
  </r>
  <r>
    <x v="0"/>
    <s v="1150526"/>
    <s v="T202252"/>
    <s v="510301-4402車租"/>
    <x v="8"/>
    <n v="15960"/>
    <s v="(楠梓-商資系-躍升計畫)115.05.13企業參訪校外教學遊覽車資。(參訪地點：南投辰光能源科技，參訪師生數：31人)※品名:車資"/>
    <s v="商務資訊應用系"/>
  </r>
  <r>
    <x v="0"/>
    <s v="1150526"/>
    <s v="T300787"/>
    <s v="510301-271315工讀金"/>
    <x v="11"/>
    <n v="4796"/>
    <s v="協助躍升計畫執行工讀金-王博毅"/>
    <s v="國企系"/>
  </r>
  <r>
    <x v="1"/>
    <s v="1150526"/>
    <s v="未審"/>
    <s v=""/>
    <x v="4"/>
    <n v="969"/>
    <s v="後端系統介接開發與測試服務(產學合作測試使用)。※品名:後端系統串接服務 (含國外交易服務費)"/>
    <s v="林威成"/>
  </r>
  <r>
    <x v="1"/>
    <s v="1150526"/>
    <s v="未審"/>
    <s v=""/>
    <x v="4"/>
    <n v="9759"/>
    <s v="Claude AI-AI開發工具，協助程式開發使用。※品名:Claude AI 使用費(含國外交易服務費)"/>
    <s v="林威成"/>
  </r>
  <r>
    <x v="1"/>
    <s v="1150526"/>
    <s v="未審"/>
    <s v=""/>
    <x v="23"/>
    <n v="24000"/>
    <s v="AI認證工作坊與證照補助款-證照輔導班講師鐘點費※品名:講師鐘點費"/>
    <s v="歐宗殷"/>
  </r>
  <r>
    <x v="1"/>
    <s v="1150526"/>
    <s v="未審"/>
    <s v=""/>
    <x v="13"/>
    <n v="46"/>
    <s v="受款人：睿朱數位電商股份有限公司，執行計畫用※品名:彩色影印費"/>
    <s v="造船及海洋工程系"/>
  </r>
  <r>
    <x v="0"/>
    <s v="1150527"/>
    <s v="T202270"/>
    <s v="510301-3201辦公（事務）用品"/>
    <x v="17"/>
    <n v="44751"/>
    <s v="木芯板:實驗室空間分隔使用_x000a_角材:實驗室空間分隔使用_x000a_合板:實驗室空間分隔使用※品名:五金耗材(木芯板等)"/>
    <s v="薛明憲"/>
  </r>
  <r>
    <x v="0"/>
    <s v="1150527"/>
    <s v="T202274"/>
    <s v="510301-3201辦公（事務）用品"/>
    <x v="2"/>
    <n v="220"/>
    <s v="智商系建工系辦公務用文具品支出※品名:公文封"/>
    <s v="智慧商務系"/>
  </r>
  <r>
    <x v="0"/>
    <s v="1150527"/>
    <s v="T202274"/>
    <s v="510301-3206食品"/>
    <x v="11"/>
    <n v="1680"/>
    <s v="執行躍升計畫-日間部專題競賽工作會議餐費※品名:餐費"/>
    <s v="國企系"/>
  </r>
  <r>
    <x v="0"/>
    <s v="1150527"/>
    <s v="T202280"/>
    <s v="510301-3201辦公（事務）用品"/>
    <x v="2"/>
    <n v="6059"/>
    <s v="智商系支援侯易佑老師教學/研究所需採購實驗用品暨文具品等支出※品名:AI翻譯機、血壓感測器、變壓器、文具品"/>
    <s v="智慧商務系"/>
  </r>
  <r>
    <x v="0"/>
    <s v="1150527"/>
    <s v="T202281"/>
    <s v="510301-3102物料"/>
    <x v="13"/>
    <n v="4950"/>
    <s v="受款人：興林電子實業有限公司，電工學實驗課程材料費※品名:MO電阻 2w-50Ω、MO電阻 2w-100Ω、MO電阻 2w-200Ω、保險絲 20mm 0.5A"/>
    <s v="造船及海洋工程系"/>
  </r>
  <r>
    <x v="0"/>
    <s v="1150527"/>
    <s v="T202281"/>
    <s v="510301-3201辦公（事務）用品"/>
    <x v="28"/>
    <n v="1300"/>
    <s v="配合躍升計畫, 舉辦活動講者筆電投影所需用之集線器※品名:5合一多功能集線器"/>
    <s v="企管系"/>
  </r>
  <r>
    <x v="0"/>
    <s v="1150527"/>
    <s v="T202282"/>
    <s v="510301-3102物料"/>
    <x v="16"/>
    <n v="1215"/>
    <s v="機電工程系學生實務專題實驗用-3D列印線材※品名:3D列印線材"/>
    <s v="機電工程系"/>
  </r>
  <r>
    <x v="0"/>
    <s v="1150527"/>
    <s v="T202282"/>
    <s v="510301-3102物料"/>
    <x v="16"/>
    <n v="208"/>
    <s v="機電工程系學生實務專題實驗用-軸承※品名:軸承"/>
    <s v="機電工程系"/>
  </r>
  <r>
    <x v="0"/>
    <s v="1150527"/>
    <s v="T202282"/>
    <s v="510301-3102物料"/>
    <x v="16"/>
    <n v="300"/>
    <s v="機電工程系學生實務專題實驗用-SUS螺絲※品名:軸承"/>
    <s v="機電工程系"/>
  </r>
  <r>
    <x v="0"/>
    <s v="1150527"/>
    <s v="T202282"/>
    <s v="510301-3102物料"/>
    <x v="16"/>
    <n v="170"/>
    <s v="機電工程系學生實務專題實驗用-ESP32開發板※品名:ESP32開發板"/>
    <s v="機電工程系"/>
  </r>
  <r>
    <x v="0"/>
    <s v="1150527"/>
    <s v="T202282"/>
    <s v="510301-3102物料"/>
    <x v="16"/>
    <n v="4104"/>
    <s v="機電工程系學生實務專題實驗用-語音辨識控制模組、大扭力舵機、16路PWM...等※品名:語音辨識控制模組、大扭力舵機...等"/>
    <s v="機電工程系"/>
  </r>
  <r>
    <x v="0"/>
    <s v="1150527"/>
    <s v="T202282"/>
    <s v="510301-3102物料"/>
    <x v="16"/>
    <n v="1610"/>
    <s v="機電工程系學生實務專題實驗用-3D列印線材※品名:3D列印線材"/>
    <s v="機電工程系"/>
  </r>
  <r>
    <x v="0"/>
    <s v="1150527"/>
    <s v="T202309"/>
    <s v="510301-3201辦公（事務）用品"/>
    <x v="30"/>
    <n v="1488"/>
    <s v="水食工廠用※品名:鱷魚超完美(BAIT)、IRIS全罩式水管車"/>
    <s v="水產食品科學系"/>
  </r>
  <r>
    <x v="0"/>
    <s v="1150527"/>
    <s v="T300791"/>
    <s v="510301-280501講課鐘點、稿費、出席審查及查詢費"/>
    <x v="13"/>
    <n v="2042"/>
    <s v="115年5月13日專題演講黃良田正訓練師專題演講鐘點費"/>
    <s v="造船及海洋工程系"/>
  </r>
  <r>
    <x v="1"/>
    <s v="1150527"/>
    <s v="未審"/>
    <s v=""/>
    <x v="29"/>
    <n v="3619"/>
    <s v="進無塵室製作專題使用耗材※品名:防化靴、C級鞋套、分裝罐"/>
    <s v="半導體工程系"/>
  </r>
  <r>
    <x v="1"/>
    <s v="1150527"/>
    <s v="未審"/>
    <s v=""/>
    <x v="11"/>
    <n v="2760"/>
    <s v="執行躍升計畫-日間部專題競賽第二次工作會議餐費※品名:餐費"/>
    <s v="國企系"/>
  </r>
  <r>
    <x v="1"/>
    <s v="1150527"/>
    <s v="未審"/>
    <s v=""/>
    <x v="21"/>
    <n v="1390"/>
    <s v="2026研討會差旅費高鐵台中左營來回(杜光玉)"/>
    <s v="戴堯種"/>
  </r>
  <r>
    <x v="1"/>
    <s v="1150527"/>
    <s v="未審"/>
    <s v=""/>
    <x v="10"/>
    <n v="3302"/>
    <s v="金融系黃信嘉老師租用線上翻譯軟體費用(2026.05.01-2027.04.30)※品名:線上翻譯軟體租用費"/>
    <s v="金融系"/>
  </r>
  <r>
    <x v="1"/>
    <s v="1150528"/>
    <s v="未審"/>
    <s v=""/>
    <x v="29"/>
    <n v="1931"/>
    <s v="製作專題實驗用耗材※品名:密林置物籃、玻璃清潔劑、大圖、濾毒罐"/>
    <s v="半導體工程系"/>
  </r>
  <r>
    <x v="1"/>
    <s v="1150528"/>
    <s v="未審"/>
    <s v=""/>
    <x v="29"/>
    <n v="2148"/>
    <s v="製作專題實驗室用耗材※品名:乙醇、電子秤、燙傷藥膏、紗布...等"/>
    <s v="半導體工程系"/>
  </r>
  <r>
    <x v="1"/>
    <s v="1150528"/>
    <s v="未審"/>
    <s v=""/>
    <x v="29"/>
    <n v="4850"/>
    <s v="製作專題實驗用器材※品名:噴墨複合機、墨水匣"/>
    <s v="半導體工程系"/>
  </r>
  <r>
    <x v="1"/>
    <s v="1150528"/>
    <s v="未審"/>
    <s v=""/>
    <x v="19"/>
    <n v="1957"/>
    <s v="B507實驗室製作專題之電子零件材料※品名:無線發射模組等、電子零件一批(明細如出貨單)、CN3722太陽能多功能、ESP32開發板 WIFI+藍芽模組"/>
    <s v="電子工程系[第一]"/>
  </r>
  <r>
    <x v="1"/>
    <s v="1150528"/>
    <s v="未審"/>
    <s v=""/>
    <x v="13"/>
    <n v="4084"/>
    <s v="115年5月26日專題演講吳俊概博士鐘點費"/>
    <s v="造船及海洋工程系"/>
  </r>
  <r>
    <x v="1"/>
    <s v="1150528"/>
    <s v="未審"/>
    <s v=""/>
    <x v="13"/>
    <n v="298"/>
    <s v="115年5月26日專題演講吳俊概博士交通費"/>
    <s v="造船及海洋工程系"/>
  </r>
  <r>
    <x v="1"/>
    <s v="1150529"/>
    <s v="未審"/>
    <s v=""/>
    <x v="11"/>
    <n v="2600"/>
    <s v="執行躍升計畫-辦理IBET研討會用印刷品-彩色布條、手冊影印※品名:彩色布條、影印"/>
    <s v="國企系"/>
  </r>
  <r>
    <x v="1"/>
    <s v="1150529"/>
    <s v="未審"/>
    <s v=""/>
    <x v="11"/>
    <n v="3760"/>
    <s v="執行躍升計畫-辦理IBET研討會5/28-餐費※品名:便當"/>
    <s v="國企系"/>
  </r>
  <r>
    <x v="1"/>
    <s v="1150529"/>
    <s v="未審"/>
    <s v=""/>
    <x v="21"/>
    <n v="17070"/>
    <s v="工讀費184小時(13位8時、1位30小時、1位50小時)"/>
    <s v="戴堯種"/>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x v="0"/>
    <s v="1150127"/>
    <s v="已審"/>
    <s v=""/>
    <x v="0"/>
    <n v="360000"/>
    <s v="順序控制課程教材: PLC人機介面※品名:人機介面、實習機箱體"/>
    <s v="郭士綱"/>
  </r>
  <r>
    <x v="1"/>
    <s v="1150201"/>
    <s v="T200124"/>
    <s v="130401-1001機械及設備-本年度預算"/>
    <x v="1"/>
    <n v="38370"/>
    <s v="工設系電腦教室設備更新-高速網路交換器，增加學生上課軟體使用上的穩定度※品名:高速網路交換器"/>
    <s v="工業設計系"/>
  </r>
  <r>
    <x v="1"/>
    <s v="1150201"/>
    <s v="T200145"/>
    <s v="130401-1001機械及設備-本年度預算"/>
    <x v="2"/>
    <n v="32900"/>
    <s v="付觀光系-黃永全老師執行躍升計畫教學與研究所需之平板電腦費用。※品名:ios平板電腦"/>
    <s v="觀光系"/>
  </r>
  <r>
    <x v="1"/>
    <s v="1150201"/>
    <s v="T200146"/>
    <s v="130401-1001機械及設備-本年度預算"/>
    <x v="3"/>
    <n v="55000"/>
    <s v="教學環境提升用專業版雷射工業級3D掃描器※品名:Revopoint MetroX專業版雷射工業級3D掃描器"/>
    <s v="海洋休閒管理系[楠梓|"/>
  </r>
  <r>
    <x v="1"/>
    <s v="1150205"/>
    <s v="T400129"/>
    <s v="130401-1001機械及設備-本年度預算"/>
    <x v="4"/>
    <n v="25387"/>
    <s v="供應鏈管理系3501教室更換投影機及安裝施工費※品名:投影機"/>
    <s v="供應鏈管理系[楠梓|旗"/>
  </r>
  <r>
    <x v="0"/>
    <s v="1150209"/>
    <s v="已審"/>
    <s v=""/>
    <x v="5"/>
    <n v="2000000"/>
    <s v="奈米粒徑及電位分析儀（躍升計畫分攤2,000,000元，基本維持設備費700,000元）※品名:奈米粒徑及電位分析儀"/>
    <s v="環境與安全衛生工程系"/>
  </r>
  <r>
    <x v="0"/>
    <s v="1150226"/>
    <s v="已審"/>
    <s v=""/>
    <x v="6"/>
    <n v="1500000"/>
    <s v="研究使用※品名:土木結構專用之非接觸式振動量測與模擬整合平台"/>
    <s v="土木系"/>
  </r>
  <r>
    <x v="0"/>
    <s v="1150303"/>
    <s v="已審"/>
    <s v=""/>
    <x v="7"/>
    <n v="1279500"/>
    <s v="(楠梓-商資系-躍升計畫)3405商務資訊分析與決策研討室設備更新案※品名:數位會議主控機、數位崁入式主席麥克風、數位崁入式列席麥克風、發言者追蹤攝影機、高階影像擷取器、短焦雷射投影機、電動線拉幕、互動觸控螢幕、混音擴大機、音柱陣列喇叭、雙頻無線接收機、矩陣切換器、總電源順序控制器、商用無線影音會議簡報器、無線路由器、大U型會議桌組、小U型會議桌組、玻璃白板、置物高櫃組、雙開置物高櫃組、投影/手寫2用白板、木製門片組、防焰塑膠地磚、燈光照明設備、防焰遮光捲簾、防焰調光簾"/>
    <s v="商務資訊應用系"/>
  </r>
  <r>
    <x v="1"/>
    <s v="1150304"/>
    <s v="T200433"/>
    <s v="130501-1001交通及運輸設備-本年度預算"/>
    <x v="8"/>
    <n v="17590"/>
    <s v="執行躍升計畫國際化交流-雙向口譯機※品名:雙向口譯機"/>
    <s v="國企系"/>
  </r>
  <r>
    <x v="1"/>
    <s v="1150304"/>
    <s v="T200435"/>
    <s v="130501-1001交通及運輸設備-本年度預算"/>
    <x v="7"/>
    <n v="111000"/>
    <s v="(楠梓-商資系-躍升計畫)商務資訊專業教室空間設備(2403、3401電腦教室音響、擴大機更換)※品名:雙頻無線接收機、兩音路箱型喇叭、綜合擴大機"/>
    <s v="商務資訊應用系"/>
  </r>
  <r>
    <x v="1"/>
    <s v="1150304"/>
    <s v="T200436"/>
    <s v="130601-1001什項設備-本年度預算"/>
    <x v="2"/>
    <n v="12400"/>
    <s v="付觀光系咖啡專業教室教學設備所需之磨豆機費用。※品名:磨豆機"/>
    <s v="觀光系"/>
  </r>
  <r>
    <x v="0"/>
    <s v="1150306"/>
    <s v="已審"/>
    <s v=""/>
    <x v="9"/>
    <n v="134645"/>
    <s v="漁管系水槽實驗室(A11118)研究生之用品※品名:2.5cm鋼製屏風、屏風採霧玻補差額、屏風桌板、鋼製中抽、討論桌、學生網椅、辦公椅、16埠Gigabit交換器、UTP網路配線配電施工費用、全區施工費用(含油漆粉刷等)"/>
    <s v="漁業科技與管理系"/>
  </r>
  <r>
    <x v="0"/>
    <s v="1150309"/>
    <s v="已審"/>
    <s v=""/>
    <x v="10"/>
    <n v="199500"/>
    <s v="電401教室電源供應器更新，係為本系執行系所改質躍升計畫四大關鍵任務之教學面向之設備更新。※品名:雙通道電源供應器"/>
    <s v="電機系"/>
  </r>
  <r>
    <x v="0"/>
    <s v="1150310"/>
    <s v="已審"/>
    <s v=""/>
    <x v="11"/>
    <n v="490000"/>
    <s v="教學實驗用設備※品名:網路分析儀"/>
    <s v="半導體工程系"/>
  </r>
  <r>
    <x v="1"/>
    <s v="1150311"/>
    <s v="T200553"/>
    <s v="130401-1001機械及設備-本年度預算"/>
    <x v="12"/>
    <n v="39480"/>
    <s v="執行躍升計畫, 王崇昱老師提升教學量能之授課工具※品名:IOS平板電腦Apple ipad Air"/>
    <s v="企管系"/>
  </r>
  <r>
    <x v="0"/>
    <s v="1150317"/>
    <s v="已審"/>
    <s v=""/>
    <x v="13"/>
    <n v="164000"/>
    <s v="教學研究用設備-HFS-4 氫化裝置反應槽採購案※品名:HFS-4 氫化裝置反應槽採購案"/>
    <s v="陳秋妏"/>
  </r>
  <r>
    <x v="1"/>
    <s v="1150319"/>
    <s v="T200737"/>
    <s v="130401-1001機械及設備-本年度預算"/>
    <x v="14"/>
    <n v="145200"/>
    <s v="李新木技士申請-資401教學用設備※品名:電源供應器"/>
    <s v="電子系"/>
  </r>
  <r>
    <x v="0"/>
    <s v="1150319"/>
    <s v="已審"/>
    <s v=""/>
    <x v="15"/>
    <n v="420000"/>
    <s v="航技系教學用航儀設備※品名:電羅經"/>
    <s v="航運技術系"/>
  </r>
  <r>
    <x v="1"/>
    <s v="1150323"/>
    <s v="T200788"/>
    <s v="130401-1001機械及設備-本年度預算"/>
    <x v="2"/>
    <n v="11360"/>
    <s v="付觀光系咖啡專業教室上課所需之教學器材費用。※品名:LE NEZ DU  CAFF36種聞香咖啡啟蒙組"/>
    <s v="觀光系"/>
  </r>
  <r>
    <x v="1"/>
    <s v="1150323"/>
    <s v="T200798"/>
    <s v="130501-1001交通及運輸設備-本年度預算"/>
    <x v="3"/>
    <n v="22374"/>
    <s v="全能進階多頻定位導航儀(智慧化海洋休閒教學及研究設備購置)※品名:全能進階多頻定位導航儀GARMIN GPS MAP67"/>
    <s v="海洋休閒管理系[楠梓|"/>
  </r>
  <r>
    <x v="1"/>
    <s v="1150323"/>
    <s v="T400312"/>
    <s v="130401-1001機械及設備-本年度預算"/>
    <x v="8"/>
    <n v="79735"/>
    <s v="執行躍升計畫，提升師生學術研究用繪圖印表機※品名:繪圖印表機"/>
    <s v="國企系"/>
  </r>
  <r>
    <x v="1"/>
    <s v="1150401"/>
    <s v="T200917"/>
    <s v="130401-1001機械及設備-本年度預算"/>
    <x v="16"/>
    <n v="1400000"/>
    <s v="電腦主機(含顯示器、還原軟體)-C220教學設備更新，提升學生學習效能與改善教學品質※品名:電腦主機(含顯示器、還原軟體)"/>
    <s v="資訊管理系[第一]"/>
  </r>
  <r>
    <x v="1"/>
    <s v="1150401"/>
    <s v="T201019"/>
    <s v="130401-1001機械及設備-本年度預算"/>
    <x v="17"/>
    <n v="149800"/>
    <s v="輪機系_執行躍升計畫採購PLC(FX5U-32MR)設備※品名:三菱PLC(FX5U-32UR)"/>
    <s v="輪機工程系"/>
  </r>
  <r>
    <x v="1"/>
    <s v="1150401"/>
    <s v="T201031"/>
    <s v="130401-1001機械及設備-本年度預算"/>
    <x v="11"/>
    <n v="143557"/>
    <s v="教學實驗用設備※品名:伺服器主機"/>
    <s v="半導體工程系"/>
  </r>
  <r>
    <x v="1"/>
    <s v="1150401"/>
    <s v="T400365"/>
    <s v="130601-1001什項設備-本年度預算"/>
    <x v="1"/>
    <n v="385579"/>
    <s v="工設系B501教室冷氣更新※品名:冷氣"/>
    <s v="工業設計系"/>
  </r>
  <r>
    <x v="1"/>
    <s v="1150401"/>
    <s v="T400366"/>
    <s v="130401-1001機械及設備-本年度預算"/>
    <x v="18"/>
    <n v="234545"/>
    <s v="(共契)擴增教學實驗設備(伺服器)(B504實驗室)※品名:2U機架式低階2路伺服器"/>
    <s v="電子工程系[第一]"/>
  </r>
  <r>
    <x v="2"/>
    <s v="1150402"/>
    <s v="未審"/>
    <s v=""/>
    <x v="19"/>
    <n v="100000"/>
    <s v="物鏡組:力學實驗之顯微鏡微觀結構放大暨濾波使用※品名:物鏡組"/>
    <s v="薛明憲"/>
  </r>
  <r>
    <x v="2"/>
    <s v="1150406"/>
    <s v="未審"/>
    <s v=""/>
    <x v="19"/>
    <n v="50000"/>
    <s v="三眼觀察筒及載物台:觀察金相微結構之鏡頭與置物平台※品名:三眼觀察筒及載物台"/>
    <s v="薛明憲"/>
  </r>
  <r>
    <x v="1"/>
    <s v="1150408"/>
    <s v="T201087"/>
    <s v="130401-1001機械及設備-本年度預算"/>
    <x v="18"/>
    <n v="50000"/>
    <s v="執行躍升計畫購置AI基礎技術教學設備※品名:平板電腦"/>
    <s v="陳浩暉"/>
  </r>
  <r>
    <x v="0"/>
    <s v="1150408"/>
    <s v="已審"/>
    <s v=""/>
    <x v="20"/>
    <n v="1400000"/>
    <s v="新購教學研究設備，自動調幅式示差掃描熱分析儀一台※品名:自動調幅式示差掃描熱分析儀"/>
    <s v="化材系"/>
  </r>
  <r>
    <x v="2"/>
    <s v="1150408"/>
    <s v="已審"/>
    <s v=""/>
    <x v="21"/>
    <n v="28199"/>
    <s v="電腦主機(研究用)※品名:電腦主機"/>
    <s v="陳俊豪"/>
  </r>
  <r>
    <x v="1"/>
    <s v="1150409"/>
    <s v="T201124"/>
    <s v="130601-1001什項設備-本年度預算"/>
    <x v="2"/>
    <n v="12400"/>
    <s v="付觀光系咖啡專業教室教學設備所需之磨豆機費用。※品名:磨豆機"/>
    <s v="觀光系"/>
  </r>
  <r>
    <x v="1"/>
    <s v="1150409"/>
    <s v="T201155"/>
    <s v="170102-1001電腦軟體 -本年度預算"/>
    <x v="22"/>
    <n v="147000"/>
    <s v="新版關港貿作業教學系統※品名:通關自動化系統"/>
    <s v="航運管理系[楠梓|旗津"/>
  </r>
  <r>
    <x v="1"/>
    <s v="1150410"/>
    <s v="T201172"/>
    <s v="130501-1001交通及運輸設備-本年度預算"/>
    <x v="11"/>
    <n v="210000"/>
    <s v="(共契)電腦教室教學廣播系統※品名:MagnNex 互動式廣播教學系統"/>
    <s v="半導體工程系"/>
  </r>
  <r>
    <x v="0"/>
    <s v="1150410"/>
    <s v="已審"/>
    <s v=""/>
    <x v="23"/>
    <n v="1400000"/>
    <s v="更新應英系D205A教室設備及環境※品名:應英系D205A採購案"/>
    <s v="外語學院應用英語系"/>
  </r>
  <r>
    <x v="1"/>
    <s v="1150413"/>
    <s v="T400397"/>
    <s v="130401-1001機械及設備-本年度預算"/>
    <x v="15"/>
    <n v="33612"/>
    <s v="航技系教師研究室採購教學用多功能印表機。※品名:A4規格多功能印表機"/>
    <s v="航運技術系"/>
  </r>
  <r>
    <x v="1"/>
    <s v="1150413"/>
    <s v="T400398"/>
    <s v="130401-1001機械及設備-本年度預算"/>
    <x v="15"/>
    <n v="122256"/>
    <s v="航技系教學用筆記型電腦※品名:筆記型電腦"/>
    <s v="航運技術系"/>
  </r>
  <r>
    <x v="0"/>
    <s v="1150413"/>
    <s v="未審"/>
    <s v=""/>
    <x v="24"/>
    <n v="800000"/>
    <s v="高精度無線腦波系統G.NAUTILUS g.SAHARA 16通道※品名:高精度無線腦波系統"/>
    <s v="歐宗殷"/>
  </r>
  <r>
    <x v="0"/>
    <s v="1150414"/>
    <s v="已審"/>
    <s v=""/>
    <x v="15"/>
    <n v="332114"/>
    <s v="航技系教學用電子海圖採購※品名:電子海圖"/>
    <s v="航運技術系"/>
  </r>
  <r>
    <x v="2"/>
    <s v="1150415"/>
    <s v="已審"/>
    <s v=""/>
    <x v="19"/>
    <n v="12286"/>
    <s v="辦公室用之抗敏清淨機※品名:抗敏清淨機"/>
    <s v="許桓瑜"/>
  </r>
  <r>
    <x v="1"/>
    <s v="1150416"/>
    <s v="T201264"/>
    <s v="130401-1001機械及設備-本年度預算"/>
    <x v="25"/>
    <n v="1400000"/>
    <s v="旗津校區/海資系/執行計畫用海資電腦教室主機※品名:ASUS E500 G9主機"/>
    <s v="海事資訊科技系"/>
  </r>
  <r>
    <x v="1"/>
    <s v="1150420"/>
    <s v="T201270"/>
    <s v="130601-1001什項設備-本年度預算"/>
    <x v="8"/>
    <n v="47407"/>
    <s v="執行躍升計畫-提升師生研究環境冷氣一台。※品名:冷氣機"/>
    <s v="國企系"/>
  </r>
  <r>
    <x v="0"/>
    <s v="1150421"/>
    <s v="未審"/>
    <s v=""/>
    <x v="13"/>
    <n v="160164"/>
    <s v="執行計畫-實驗用儀器-自動進樣固液體總有機碳氮分析儀※品名:自動進樣固液體總有機碳氮分析儀"/>
    <s v="陳建志"/>
  </r>
  <r>
    <x v="0"/>
    <s v="1150421"/>
    <s v="已審"/>
    <s v=""/>
    <x v="26"/>
    <n v="470000"/>
    <s v="教學及研究※品名:空化衝擊即時動態力及扭矩量測系統"/>
    <s v="洪宗彬"/>
  </r>
  <r>
    <x v="2"/>
    <s v="1150421"/>
    <s v="已審"/>
    <s v=""/>
    <x v="18"/>
    <n v="72034"/>
    <s v="執行躍升計畫研究用※品名:一般型電腦"/>
    <s v="電子工程系[第一]"/>
  </r>
  <r>
    <x v="1"/>
    <s v="1150422"/>
    <s v="T201316"/>
    <s v="130401-1001機械及設備-本年度預算"/>
    <x v="21"/>
    <n v="40000"/>
    <s v="執行研究計劃所需之運算工作站。※品名:人工智慧運算工作站_x000a_(併T115UE150040、B115005362、K115002260)"/>
    <s v="張道行"/>
  </r>
  <r>
    <x v="2"/>
    <s v="1150422"/>
    <s v="已審"/>
    <s v=""/>
    <x v="21"/>
    <n v="16680"/>
    <s v="購買執行計算程式用之電腦。※品名:商用工作站"/>
    <s v="鐘文鈺"/>
  </r>
  <r>
    <x v="2"/>
    <s v="1150422"/>
    <s v="已審"/>
    <s v=""/>
    <x v="21"/>
    <n v="149800"/>
    <s v="購買可用於深度學習模型訓練之AI電腦。※品名:桌上型AI運算伺服器"/>
    <s v="鐘文鈺"/>
  </r>
  <r>
    <x v="1"/>
    <s v="1150423"/>
    <s v="T201338"/>
    <s v="130401-1001機械及設備-本年度預算"/>
    <x v="10"/>
    <n v="11940"/>
    <s v="執行理論模擬電腦的使用配件※品名:鍵盤"/>
    <s v="周阜毅"/>
  </r>
  <r>
    <x v="1"/>
    <s v="1150423"/>
    <s v="T201354"/>
    <s v="130601-1001什項設備-本年度預算"/>
    <x v="9"/>
    <n v="35000"/>
    <s v="115年度漁管系執行改質躍升改善空間之遮陽棚帆布、工資費※品名:如發票"/>
    <s v="漁業科技與管理系"/>
  </r>
  <r>
    <x v="1"/>
    <s v="1150423"/>
    <s v="T201423"/>
    <s v="130401-1001機械及設備-本年度預算"/>
    <x v="3"/>
    <n v="149993"/>
    <s v="水域活動陸域教學及實作平台用二節式龍門吊架※品名:二節式龍門吊架"/>
    <s v="海洋休閒管理系[楠梓|"/>
  </r>
  <r>
    <x v="0"/>
    <s v="1150424"/>
    <s v="已審"/>
    <s v=""/>
    <x v="14"/>
    <n v="41000"/>
    <s v="鄭瑞川老師申請-資606B※品名:冷氣機"/>
    <s v="電子系"/>
  </r>
  <r>
    <x v="0"/>
    <s v="1150424"/>
    <s v="未審"/>
    <s v=""/>
    <x v="14"/>
    <n v="61741"/>
    <s v="李新木技士申請-資701※品名:投影機"/>
    <s v="電子系"/>
  </r>
  <r>
    <x v="0"/>
    <s v="1150424"/>
    <s v="未審"/>
    <s v=""/>
    <x v="13"/>
    <n v="91136"/>
    <s v="執行計畫-實驗用儀器-自動進樣固液體總有機碳氮分析儀。※品名:自動進樣固液體總有機碳氮分析儀"/>
    <s v="黃紀惟"/>
  </r>
  <r>
    <x v="0"/>
    <s v="1150424"/>
    <s v="已審"/>
    <s v=""/>
    <x v="13"/>
    <n v="378864"/>
    <s v="執行計畫-螢冷光微量盤分析儀。※品名:螢冷光微量盤分析儀"/>
    <s v="黃紀惟"/>
  </r>
  <r>
    <x v="0"/>
    <s v="1150427"/>
    <s v="已審"/>
    <s v=""/>
    <x v="27"/>
    <n v="1355150"/>
    <s v="應日系E002教室優化整建採購※品名:學生區連結型工學椅、學生區長型固定式長課桌、PTZ自動追蹤攝影機、8吋環控面板含軟體編程、白板面料更換、階梯區木地板面強化與空間油漆美化、座椅區項目拆除清運費用、空間器材保護與基礎清潔"/>
    <s v="陳佩君"/>
  </r>
  <r>
    <x v="2"/>
    <s v="1150427"/>
    <s v="未審"/>
    <s v=""/>
    <x v="18"/>
    <n v="75165"/>
    <s v="執行躍升計畫用:鑿破機(研究蒐集鑿破機震動數據、溫度及使用時數，AI感測作業數據傳輸及辨識預測故障分析)※品名:鑿破機"/>
    <s v="張簡嘉壬"/>
  </r>
  <r>
    <x v="2"/>
    <s v="1150427"/>
    <s v="未審"/>
    <s v=""/>
    <x v="10"/>
    <n v="35000"/>
    <s v=""/>
    <s v="莊錦俊"/>
  </r>
  <r>
    <x v="2"/>
    <s v="1150427"/>
    <s v="未審"/>
    <s v=""/>
    <x v="28"/>
    <n v="44725"/>
    <s v="教學與研究用伺服器機櫃與固態硬碟(伺服器財編:                 )※品名:機櫃、固態硬碟"/>
    <s v="李子宜"/>
  </r>
  <r>
    <x v="0"/>
    <s v="1150429"/>
    <s v="已審"/>
    <s v=""/>
    <x v="0"/>
    <n v="500000"/>
    <s v="新進老師研究設備費購買雙靶源磁控濺鍍系統※品名:雙靶源磁控濺鍍系統"/>
    <s v="曹德綱"/>
  </r>
  <r>
    <x v="0"/>
    <s v="1150430"/>
    <s v="已審"/>
    <s v=""/>
    <x v="12"/>
    <n v="522000"/>
    <s v="配合躍升計畫, 提升碩士生研究能量, 碩士班研究生研究室電腦主機老舊汰舊換新※品名:電腦主機"/>
    <s v="企管系"/>
  </r>
  <r>
    <x v="2"/>
    <s v="1150430"/>
    <s v="已審"/>
    <s v=""/>
    <x v="8"/>
    <n v="13417"/>
    <s v="協助躍升計畫執行-蕭伊茹"/>
    <s v="國企系"/>
  </r>
  <r>
    <x v="2"/>
    <s v="1150430"/>
    <s v="已審"/>
    <s v=""/>
    <x v="18"/>
    <n v="27950"/>
    <s v="上機與研究用※品名:個人MINI AI電腦"/>
    <s v="陳俊吉"/>
  </r>
  <r>
    <x v="2"/>
    <s v="1150430"/>
    <s v="未審"/>
    <s v=""/>
    <x v="15"/>
    <n v="184770"/>
    <s v="航技系辦公用電腦及顯示器※品名:個人電腦、26.5吋彩色液晶顯示器"/>
    <s v="航運技術系"/>
  </r>
  <r>
    <x v="2"/>
    <s v="1150430"/>
    <s v="未審"/>
    <s v=""/>
    <x v="17"/>
    <n v="140000"/>
    <s v="輪機系_執行躍升計畫採購設備(數位類比設備讓學生單獨實際訓練並可以編寫程式)※品名:數位-類比訊號系統(ETS-7000B)"/>
    <s v="輪機工程系"/>
  </r>
  <r>
    <x v="1"/>
    <s v="1150501"/>
    <s v="T201467"/>
    <s v="130401-1001機械及設備-本年度預算"/>
    <x v="29"/>
    <n v="139500"/>
    <s v="教學用※品名:86吋觸控顯示器、吸頂型迴轉攝影機"/>
    <s v="風險管理與保險系"/>
  </r>
  <r>
    <x v="1"/>
    <s v="1150501"/>
    <s v="T201486"/>
    <s v="130401-1001機械及設備-本年度預算"/>
    <x v="3"/>
    <n v="209572"/>
    <s v="專業教室用電腦設備(提升教學環境及設備改善更新)※品名:電腦、顯示器(併T201485、T201486)"/>
    <s v="海洋休閒管理系[楠梓|"/>
  </r>
  <r>
    <x v="0"/>
    <s v="1150501"/>
    <s v="未審"/>
    <s v=""/>
    <x v="17"/>
    <n v="480000"/>
    <s v="【未處理】輪機系_執行躍升計畫二期應教學需求故採購無形資產_工業配電模擬軟體(FluidSIM_E_12人授權，附USB dongle*1)※品名:工業配電模擬軟體(FluidSlM_E)"/>
    <s v="輪機工程系"/>
  </r>
  <r>
    <x v="2"/>
    <s v="1150501"/>
    <s v="已審"/>
    <s v=""/>
    <x v="21"/>
    <n v="40000"/>
    <s v="用於研究實驗的工作站※品名:商用工作站"/>
    <s v="王志強"/>
  </r>
  <r>
    <x v="2"/>
    <s v="1150501"/>
    <s v="未審"/>
    <s v=""/>
    <x v="17"/>
    <n v="227720"/>
    <s v="躍升計畫【尚未採購電腦主機和顯示器】※品名:電腦主機"/>
    <s v="輪機工程系"/>
  </r>
  <r>
    <x v="1"/>
    <s v="1150504"/>
    <s v="T201526"/>
    <s v="130401-1001機械及設備-本年度預算"/>
    <x v="28"/>
    <n v="305275"/>
    <s v="執行造船與海洋工程專業之複雜流場模擬，支援ANSYS Workgroup 128多核心運算之高階工作站※品名:伺服器(ASUS RS501A-E12-RS4)"/>
    <s v="李子宜"/>
  </r>
  <r>
    <x v="1"/>
    <s v="1150504"/>
    <s v="T201532"/>
    <s v="130401-1001機械及設備-本年度預算"/>
    <x v="8"/>
    <n v="34875"/>
    <s v="躍升計畫提升教學品質-教學教室用投影機※品名:投影機"/>
    <s v="國企系"/>
  </r>
  <r>
    <x v="1"/>
    <s v="1150505"/>
    <s v="T201604"/>
    <s v="130401-1001機械及設備-本年度預算"/>
    <x v="13"/>
    <n v="26000"/>
    <s v="執行計畫:用於研究過程的實驗樣本能妥善被保存的直立式冷凍櫃，確保樣品、原料或實驗研究相關物品以達到維持品質與實驗比對的準確性。※品名:直立式冷凍櫃"/>
    <s v="王琳麒"/>
  </r>
  <r>
    <x v="1"/>
    <s v="1150505"/>
    <s v="T201619"/>
    <s v="130401-1001機械及設備-本年度預算"/>
    <x v="19"/>
    <n v="33640"/>
    <s v="工管系-黃瑞展老師研究用平板電腦※品名:ipad air平板電腦"/>
    <s v="黃瑞展"/>
  </r>
  <r>
    <x v="1"/>
    <s v="1150505"/>
    <s v="T201623"/>
    <s v="130601-1001什項設備-本年度預算"/>
    <x v="12"/>
    <n v="47617"/>
    <s v="執行躍升計畫, 提升教學量能之授課空間-師長研究室冷氣更新※品名:一對一分離式冷氣機"/>
    <s v="企管系"/>
  </r>
  <r>
    <x v="2"/>
    <s v="1150505"/>
    <s v="已審"/>
    <s v=""/>
    <x v="10"/>
    <n v="50000"/>
    <s v="計畫用GPU加速卡-本案係為執行系所改質躍升計畫四大關鍵任務之 研究 面向所需之設備※品名:GPU加速卡 NVIDIA Geforce RTX5090_x000a_(併B115008264、T115UE270129共同分攤經費)"/>
    <s v="梁廷宇"/>
  </r>
  <r>
    <x v="1"/>
    <s v="1150506"/>
    <s v="T201655"/>
    <s v="130601-1001什項設備-本年度預算"/>
    <x v="15"/>
    <n v="39447"/>
    <s v="航技系楠梓校區辦公室辦公用※品名:一對一分離式冷氣機"/>
    <s v="航運技術系"/>
  </r>
  <r>
    <x v="1"/>
    <s v="1150506"/>
    <s v="T201679"/>
    <s v="130401-1001機械及設備-本年度預算"/>
    <x v="3"/>
    <n v="130007"/>
    <s v="水域活動陸域教學及實作平台用電動吊車(含運費及安裝)※品名:電動吊車(含運費及安裝)"/>
    <s v="海洋休閒管理系[楠梓|"/>
  </r>
  <r>
    <x v="1"/>
    <s v="1150506"/>
    <s v="T201681"/>
    <s v="130601-1001什項設備-本年度預算"/>
    <x v="22"/>
    <n v="24200"/>
    <s v="教學環境改善項目-2203教室連線投影及白板槽施作※品名:電視機(含分配器+施工費)、白板槽施作"/>
    <s v="航運管理系[楠梓|旗津"/>
  </r>
  <r>
    <x v="1"/>
    <s v="1150506"/>
    <s v="T201692"/>
    <s v="170102-1001電腦軟體 -本年度預算"/>
    <x v="22"/>
    <n v="42000"/>
    <s v="教學用專家決策分析軟體一年版※品名:expert choice"/>
    <s v="航運管理系[楠梓|旗津"/>
  </r>
  <r>
    <x v="1"/>
    <s v="1150506"/>
    <s v="T201693"/>
    <s v="130401-1001機械及設備-本年度預算"/>
    <x v="24"/>
    <n v="42000"/>
    <s v="宏仁老師 眼動實驗室※品名:HTC 眼動偵測VR- HTC VR PRO EYE"/>
    <s v="歐宗殷"/>
  </r>
  <r>
    <x v="1"/>
    <s v="1150506"/>
    <s v="T201694"/>
    <s v="130401-1001機械及設備-本年度預算"/>
    <x v="24"/>
    <n v="36460"/>
    <s v="歐宗殷老師 ※品名:筆記型電腦、D-LINK AX3000雙頻無線路由器"/>
    <s v="歐宗殷"/>
  </r>
  <r>
    <x v="1"/>
    <s v="1150506"/>
    <s v="T201695"/>
    <s v="130401-1001機械及設備-本年度預算"/>
    <x v="9"/>
    <n v="107700"/>
    <s v="115年度漁管系執行改質躍升改善空間之除濕機※品名:RD260HC除濕機、隱藏型除濕機(含安裝)"/>
    <s v="漁業科技與管理系"/>
  </r>
  <r>
    <x v="1"/>
    <s v="1150506"/>
    <s v="T400496"/>
    <s v="130401-1001機械及設備-本年度預算"/>
    <x v="30"/>
    <n v="83290"/>
    <s v="金融系D202教室教學用DLP固態光源投影機※品名:DLP固態光源投影機"/>
    <s v="金融系"/>
  </r>
  <r>
    <x v="0"/>
    <s v="1150506"/>
    <s v="已審"/>
    <s v=""/>
    <x v="4"/>
    <n v="158102"/>
    <s v="因教室冷氣設備老舊進行汰換，購入一對一分離式冷氣兩台(型號:HI-SL140/HO-SL140)，同時加購附加項銅管14M、控制線22M、電源線29M、室內機固定架2組、白鐵室外架2組、舊機拆除2組※品名:一對一分離式冷氣、銅管、控制線、電源線、室內機固定架、白鐵室外架、舊機拆除"/>
    <s v="供應鏈管理系[楠梓|旗"/>
  </r>
  <r>
    <x v="1"/>
    <s v="1150507"/>
    <s v="T201741"/>
    <s v="130401-1001機械及設備-本年度預算"/>
    <x v="31"/>
    <n v="135000"/>
    <s v="財稅系購買教學設備工作站主機含螢幕※品名:工作站主機含螢幕ASULS Pro E500 G9"/>
    <s v="財政稅務系"/>
  </r>
  <r>
    <x v="1"/>
    <s v="1150508"/>
    <s v="T201777"/>
    <s v="130401-1001機械及設備-本年度預算"/>
    <x v="32"/>
    <n v="34875"/>
    <s v="智慧商務系 普通教室MA216教學專用投影機故障汰換更新採購支出※品名:雷射投影機ViewSonic LS740HD"/>
    <s v="智慧商務系"/>
  </r>
  <r>
    <x v="0"/>
    <s v="1150508"/>
    <s v="已審"/>
    <s v=""/>
    <x v="32"/>
    <n v="54527"/>
    <s v="智慧商務系 MA309B2實驗室 冷氣故障汰舊換新※品名:一對一分離式冷氣機"/>
    <s v="智慧商務系"/>
  </r>
  <r>
    <x v="0"/>
    <s v="1150508"/>
    <s v="未審"/>
    <s v=""/>
    <x v="33"/>
    <n v="1400000"/>
    <s v="水食系教學設備費※品名:熱重/示差同步分析儀(TG-DSC)"/>
    <s v="水產食品科學系"/>
  </r>
  <r>
    <x v="2"/>
    <s v="1150508"/>
    <s v="未審"/>
    <s v=""/>
    <x v="14"/>
    <n v="35000"/>
    <s v="王鴻猷老師申請-資504※品名:雷射投影機"/>
    <s v="電子系"/>
  </r>
  <r>
    <x v="1"/>
    <s v="1150511"/>
    <s v="T201786"/>
    <s v="130601-1001什項設備-本年度預算"/>
    <x v="22"/>
    <n v="103500"/>
    <s v="研究環境改善-碩專研究室整修※品名:桌椅組、舊有設備拆除費用、教學電腦、整合施工費用"/>
    <s v="航運管理系[楠梓|旗津"/>
  </r>
  <r>
    <x v="1"/>
    <s v="1150511"/>
    <s v="T201786"/>
    <s v="130401-1001機械及設備-本年度預算"/>
    <x v="22"/>
    <n v="37250"/>
    <s v="研究環境改善-碩專研究室整修※品名:桌椅組、舊有設備拆除費用、教學電腦、整合施工費用"/>
    <s v="航運管理系[楠梓|旗津"/>
  </r>
  <r>
    <x v="1"/>
    <s v="1150511"/>
    <s v="T201788"/>
    <s v="130401-1001機械及設備-本年度預算"/>
    <x v="19"/>
    <n v="32056"/>
    <s v="工管系-黃瑞展老師研究用ASUS筆記型電腦※品名:ASUS V3607VJ筆記型電腦"/>
    <s v="黃瑞展"/>
  </r>
  <r>
    <x v="1"/>
    <s v="1150511"/>
    <s v="T201813"/>
    <s v="130601-1001什項設備-本年度預算"/>
    <x v="13"/>
    <n v="103094"/>
    <s v="執行計畫-成果發表及會議討論室控溫使用※品名:冷氣機"/>
    <s v="海洋環境工程系"/>
  </r>
  <r>
    <x v="2"/>
    <s v="1150511"/>
    <s v="已審"/>
    <s v=""/>
    <x v="8"/>
    <n v="442410"/>
    <s v="執行躍升計畫-改善學生教學設備-主機含螢幕※品名:主機含螢幕"/>
    <s v=""/>
  </r>
  <r>
    <x v="2"/>
    <s v="1150511"/>
    <s v="已審"/>
    <s v=""/>
    <x v="14"/>
    <n v="77970"/>
    <s v="黃永成技士申請-資809※品名:光纖負載平衡交換器"/>
    <s v="電子系"/>
  </r>
  <r>
    <x v="2"/>
    <s v="1150511"/>
    <s v="未審"/>
    <s v=""/>
    <x v="13"/>
    <n v="55200"/>
    <s v="執行計畫:大信樓3樓7310室OA辦公系統，規劃給研究生(新進博士生)進行研究、討論與休憩。※品名:OA辦公系統"/>
    <s v="王琳麒"/>
  </r>
  <r>
    <x v="2"/>
    <s v="1150511"/>
    <s v="未審"/>
    <s v=""/>
    <x v="31"/>
    <n v="37750"/>
    <s v="財稅系更換MA206教室雷射投影機※品名:雷射投影機"/>
    <s v="財政稅務系"/>
  </r>
  <r>
    <x v="1"/>
    <s v="1150512"/>
    <s v="T201841"/>
    <s v="130401-1001機械及設備-本年度預算"/>
    <x v="34"/>
    <n v="40000"/>
    <s v="執行計畫用-平板電腦※品名:平板電腦"/>
    <s v="財務管理系"/>
  </r>
  <r>
    <x v="1"/>
    <s v="1150512"/>
    <s v="T201860"/>
    <s v="130401-1001機械及設備-本年度預算"/>
    <x v="18"/>
    <n v="91145"/>
    <s v="執行躍升計畫購置AI基礎技教學設備※品名:運算工作站"/>
    <s v="陳銘志"/>
  </r>
  <r>
    <x v="1"/>
    <s v="1150512"/>
    <s v="T201863"/>
    <s v="130401-1001機械及設備-本年度預算"/>
    <x v="14"/>
    <n v="80000"/>
    <s v="張財榮老師申請-資1201※品名:GPU運算伺服器"/>
    <s v="電子系"/>
  </r>
  <r>
    <x v="1"/>
    <s v="1150512"/>
    <s v="T201871"/>
    <s v="130401-1001機械及設備-本年度預算"/>
    <x v="10"/>
    <n v="20000"/>
    <s v="本案係為執行系所改質躍升計畫四大關鍵任務之研究面向所需之設備添購※品名:平板電腦 Apple ipad Pro(併T115UE270091)"/>
    <s v="李俊宏"/>
  </r>
  <r>
    <x v="2"/>
    <s v="1150512"/>
    <s v="未審"/>
    <s v=""/>
    <x v="29"/>
    <n v="147000"/>
    <s v="教學用※品名:環控觸控液晶面板(含控制系統與編程)、多功能無線網路投影組"/>
    <s v="風險管理與保險系"/>
  </r>
  <r>
    <x v="2"/>
    <s v="1150512"/>
    <s v="未審"/>
    <s v=""/>
    <x v="17"/>
    <n v="144000"/>
    <s v="輪機系_執行躍升計畫採購設備※品名:電腦主機"/>
    <s v="輪機工程系"/>
  </r>
  <r>
    <x v="1"/>
    <s v="1150513"/>
    <s v="T201895"/>
    <s v="130601-1001什項設備-本年度預算"/>
    <x v="15"/>
    <n v="98409"/>
    <s v="航技系教師研究中心辦公用※品名:一對一分離式冷氣機"/>
    <s v="航運技術系"/>
  </r>
  <r>
    <x v="1"/>
    <s v="1150513"/>
    <s v="T201896"/>
    <s v="130401-1001機械及設備-本年度預算"/>
    <x v="3"/>
    <n v="99000"/>
    <s v="智慧化海洋休閒教學及研究用筆記型電腦※品名:筆記型電腦"/>
    <s v="海洋休閒管理系[楠梓|"/>
  </r>
  <r>
    <x v="0"/>
    <s v="1150513"/>
    <s v="已審"/>
    <s v=""/>
    <x v="13"/>
    <n v="35913"/>
    <s v="執行研究計畫-研究成果展示發表使用※品名:投影機"/>
    <s v="海洋環境工程系"/>
  </r>
  <r>
    <x v="2"/>
    <s v="1150513"/>
    <s v="未審"/>
    <s v=""/>
    <x v="10"/>
    <n v="15000"/>
    <s v="本案係為執行系所改質躍升計畫四大關鍵任務之研究面向所需之設備※品名:運算電腦主機"/>
    <s v="李明展"/>
  </r>
  <r>
    <x v="2"/>
    <s v="1150513"/>
    <s v="未審"/>
    <s v=""/>
    <x v="10"/>
    <n v="8060"/>
    <s v="基於研究需求，購買機器人動力模組※品名:機器人動力模組"/>
    <s v="周阜毅"/>
  </r>
  <r>
    <x v="1"/>
    <s v="1150514"/>
    <s v="T201936"/>
    <s v="130401-1001機械及設備-本年度預算"/>
    <x v="17"/>
    <n v="148480"/>
    <s v="輪機系_執行躍升計畫採購用電源供應器設備(提升學生電機與控制基礎)※品名:電源供應器"/>
    <s v="輪機工程系"/>
  </r>
  <r>
    <x v="0"/>
    <s v="1150515"/>
    <s v="未審"/>
    <s v=""/>
    <x v="1"/>
    <n v="211740"/>
    <s v="工設系工廠所需真空成型機※品名:真空成型機"/>
    <s v="工業設計系"/>
  </r>
  <r>
    <x v="2"/>
    <s v="1150517"/>
    <s v="未審"/>
    <s v=""/>
    <x v="18"/>
    <n v="100000"/>
    <s v="執行躍升計畫實驗研究用※品名:筆記型電腦"/>
    <s v="許耀文"/>
  </r>
  <r>
    <x v="1"/>
    <s v="1150518"/>
    <s v="T201997"/>
    <s v="130601-1001什項設備-本年度預算"/>
    <x v="4"/>
    <n v="39000"/>
    <s v="系上購入教室設備:_x000a_EPSON EB-FH54單槍投影機、ZERO ZBE-V100 100吋電動銀幕、HD T-1500PRO 總電源順序控制器(三項皆含安裝費)※品名:EPSON EB-FH54單槍投影機、ZERO ZBE-V100 100吋電動銀幕、HD T-1500PRO 總電源順序控制器"/>
    <s v="供應鏈管理系[楠梓|旗"/>
  </r>
  <r>
    <x v="1"/>
    <s v="1150518"/>
    <s v="T201997"/>
    <s v="130401-1001機械及設備-本年度預算"/>
    <x v="4"/>
    <n v="106500"/>
    <s v="系上購入教室設備:_x000a_EPSON EB-FH54單槍投影機、ZERO ZBE-V100 100吋電動銀幕、HD T-1500PRO 總電源順序控制器(三項皆含安裝費)※品名:EPSON EB-FH54單槍投影機、ZERO ZBE-V100 100吋電動銀幕、HD T-1500PRO 總電源順序控制器"/>
    <s v="供應鏈管理系[楠梓|旗"/>
  </r>
  <r>
    <x v="1"/>
    <s v="1150518"/>
    <s v="T202009"/>
    <s v="130401-1001機械及設備-本年度預算"/>
    <x v="19"/>
    <n v="65000"/>
    <s v="工管系-黃瑞展老師研究用室內空氣品質監測系統※品名:室內空氣品質監測系統"/>
    <s v="黃瑞展"/>
  </r>
  <r>
    <x v="2"/>
    <s v="1150518"/>
    <s v="已審"/>
    <s v=""/>
    <x v="35"/>
    <n v="45400"/>
    <s v="報支躍升計畫教學用電腦一台※品名:電腦主機(不含螢幕)"/>
    <s v="人資系"/>
  </r>
  <r>
    <x v="1"/>
    <s v="1150519"/>
    <s v="T202042"/>
    <s v="130401-1001機械及設備-本年度預算"/>
    <x v="19"/>
    <n v="24500"/>
    <s v="烘箱:拉伸試驗之熱處理使用※品名:27L經濟型烘箱"/>
    <s v="薛明憲"/>
  </r>
  <r>
    <x v="1"/>
    <s v="1150519"/>
    <s v="T202048"/>
    <s v="130601-1001什項設備-本年度預算"/>
    <x v="13"/>
    <n v="45000"/>
    <s v="執行計畫-計畫成果展示使用※品名:觸控廣告機"/>
    <s v="海洋環境工程系"/>
  </r>
  <r>
    <x v="2"/>
    <s v="1150519"/>
    <s v="已審"/>
    <s v=""/>
    <x v="34"/>
    <n v="1149095"/>
    <s v="購置計畫用伺服器※品名:伺服器、機櫃"/>
    <s v=""/>
  </r>
  <r>
    <x v="2"/>
    <s v="1150519"/>
    <s v="已審"/>
    <s v=""/>
    <x v="34"/>
    <n v="72000"/>
    <s v="購置計畫用伺服器※品名:伺服器、機櫃"/>
    <s v=""/>
  </r>
  <r>
    <x v="1"/>
    <s v="1150520"/>
    <s v="T202056"/>
    <s v="130601-1001什項設備-本年度預算"/>
    <x v="15"/>
    <n v="158070"/>
    <s v="航技系採購五樓研究中心辦公桌會議桌及屏風※品名:屏風、會議桌"/>
    <s v="航運技術系"/>
  </r>
  <r>
    <x v="2"/>
    <s v="1150520"/>
    <s v="未審"/>
    <s v=""/>
    <x v="36"/>
    <n v="920000"/>
    <s v="教學實驗課程使用(工程測量實習)※品名:衛星定位儀量測系統採購"/>
    <s v="營建工程系[第一]"/>
  </r>
  <r>
    <x v="2"/>
    <s v="1150521"/>
    <s v="未審"/>
    <s v=""/>
    <x v="18"/>
    <n v="100000"/>
    <s v="實驗室購入所需新設備※品名:AI運算工作站"/>
    <s v="郭永超"/>
  </r>
  <r>
    <x v="2"/>
    <s v="1150521"/>
    <s v="未審"/>
    <s v=""/>
    <x v="1"/>
    <n v="26280"/>
    <s v="工設系E103教室所需教學擴大機系統※品名:教學擴大機系統"/>
    <s v="工業設計系"/>
  </r>
  <r>
    <x v="2"/>
    <s v="1150521"/>
    <s v="未審"/>
    <s v=""/>
    <x v="37"/>
    <n v="25990"/>
    <s v="執行系所躍升計畫採購之藍光播放器※品名:藍光播放器"/>
    <s v="科技法律研究所[第一]"/>
  </r>
  <r>
    <x v="2"/>
    <s v="1150521"/>
    <s v="未審"/>
    <s v=""/>
    <x v="4"/>
    <n v="143000"/>
    <s v="教室空間整理，整理天花板及更換照明設備。※品名:輕鋼架花板、燈光照明設備"/>
    <s v="供應鏈管理系[楠梓|旗"/>
  </r>
  <r>
    <x v="2"/>
    <s v="1150521"/>
    <s v="未審"/>
    <s v=""/>
    <x v="34"/>
    <n v="37953"/>
    <s v="購置不斷電系統、電腦切換器等供伺服器用※品名:不斷電系統、電腦切換器"/>
    <s v="財務管理系"/>
  </r>
  <r>
    <x v="2"/>
    <s v="1150521"/>
    <s v="未審"/>
    <s v=""/>
    <x v="34"/>
    <n v="70000"/>
    <s v="執行計畫用-筆記型電腦、液晶顯示器※品名:筆記型電腦、液晶顯示器"/>
    <s v="財務管理系"/>
  </r>
  <r>
    <x v="2"/>
    <s v="1150522"/>
    <s v="未審"/>
    <s v=""/>
    <x v="19"/>
    <n v="65000"/>
    <s v="工管系-黃瑞展老師研究用二氧化碳氣體分析儀※品名:二氧化碳氣體分析儀"/>
    <s v="黃瑞展"/>
  </r>
  <r>
    <x v="2"/>
    <s v="1150522"/>
    <s v="未審"/>
    <s v=""/>
    <x v="19"/>
    <n v="76141"/>
    <s v="工管系-黃瑞展老師研究用空氣品質監測分析儀※品名:空氣品質監測分析儀"/>
    <s v="黃瑞展"/>
  </r>
  <r>
    <x v="1"/>
    <s v="1150525"/>
    <s v="T202127"/>
    <s v="130401-1001機械及設備-本年度預算"/>
    <x v="21"/>
    <n v="143801"/>
    <s v="GPU電腦主機(研究用)※品名:GPU電腦主機(微星)"/>
    <s v="陳俊豪"/>
  </r>
  <r>
    <x v="1"/>
    <s v="1150525"/>
    <s v="T202158"/>
    <s v="130601-1001什項設備-本年度預算"/>
    <x v="29"/>
    <n v="50300"/>
    <s v="教學用※品名:老師教學功能桌(含設備櫃)"/>
    <s v="風險管理與保險系"/>
  </r>
  <r>
    <x v="1"/>
    <s v="1150525"/>
    <s v="T202159"/>
    <s v="130601-1001什項設備-本年度預算"/>
    <x v="12"/>
    <n v="131352"/>
    <s v="執行躍升計畫, 提升教學量能之授課空間-教學空間MB522冷氣更新※品名:一對一分離式冷氣機"/>
    <s v="企管系"/>
  </r>
  <r>
    <x v="1"/>
    <s v="1150525"/>
    <s v="T202165"/>
    <s v="130601-1001什項設備-本年度預算"/>
    <x v="2"/>
    <n v="56000"/>
    <s v="付觀光系專業教室烘焙教室教學所需之四門風冷全藏冰箱。※品名:四門風冷全藏冰箱"/>
    <s v="觀光系"/>
  </r>
  <r>
    <x v="1"/>
    <s v="1150525"/>
    <s v="T202177"/>
    <s v="130601-1001什項設備-本年度預算"/>
    <x v="37"/>
    <n v="73103"/>
    <s v="執行系所躍升計畫建置科技法律研究所閱覽討論室採購之沙發及討論桌※品名:雙人沙發、三人沙發、咖啡桌"/>
    <s v="科技法律研究所[第一]"/>
  </r>
  <r>
    <x v="1"/>
    <s v="1150525"/>
    <s v="T400613"/>
    <s v="130401-1001機械及設備-本年度預算"/>
    <x v="38"/>
    <n v="900834"/>
    <s v="(共契)機電工程系師生教學用電腦主機※品名:電腦主機"/>
    <s v="機電工程系"/>
  </r>
  <r>
    <x v="1"/>
    <s v="1150525"/>
    <s v="T400620"/>
    <s v="130401-1001機械及設備-本年度預算"/>
    <x v="15"/>
    <n v="11322"/>
    <s v="航技系研究室教學用※品名:A4規格多功能彩色印表機"/>
    <s v="航運技術系"/>
  </r>
  <r>
    <x v="2"/>
    <s v="1150525"/>
    <s v="未審"/>
    <s v=""/>
    <x v="26"/>
    <n v="148000"/>
    <s v="研究使用※品名:商用工作站"/>
    <s v="林宛儒"/>
  </r>
  <r>
    <x v="2"/>
    <s v="1150525"/>
    <s v="未審"/>
    <s v=""/>
    <x v="22"/>
    <n v="95300"/>
    <s v="教室環境改善-教室整修※品名:教學電腦、舊有設備拆除費用、安裝整合施工費用、鋼製設備櫃"/>
    <s v="航運管理系[楠梓|旗津"/>
  </r>
  <r>
    <x v="2"/>
    <s v="1150525"/>
    <s v="未審"/>
    <s v=""/>
    <x v="13"/>
    <n v="10500"/>
    <s v="實驗室設備購買-監視器設備新增鏡頭※品名:監控設備新增(鏡頭)"/>
    <s v="許哲榮"/>
  </r>
  <r>
    <x v="1"/>
    <s v="1150526"/>
    <s v="T202238"/>
    <s v="130401-1001機械及設備-本年度預算"/>
    <x v="19"/>
    <n v="100000"/>
    <s v="金相顯微鏡攝影機及配件:力學試驗之試片微觀結構觀察※品名:金相顯微鏡攝影機及配件"/>
    <s v="薛明憲"/>
  </r>
  <r>
    <x v="1"/>
    <s v="1150526"/>
    <s v="T202240"/>
    <s v="130401-1001機械及設備-本年度預算"/>
    <x v="19"/>
    <n v="15750"/>
    <s v="行車紀錄器:研究生紀錄車輛行駛過程之GPS路徑、路況AI分析與車輛碳排放量之關係(國科會計畫NSTC 114-2637-E-992-007&quot;混合燃料與燃料預處理於火花式引擎燃燒搭配非熱電漿廢氣電離之動力與排放汙染分析&quot;之後續研究)※品名:行車紀錄器"/>
    <s v="薛明憲"/>
  </r>
  <r>
    <x v="0"/>
    <s v="1150526"/>
    <s v="未審"/>
    <s v=""/>
    <x v="0"/>
    <n v="495000"/>
    <s v="溫度控制模組及罩子※品名:溫度控制模組及罩子"/>
    <s v="陳建羽"/>
  </r>
  <r>
    <x v="2"/>
    <s v="1150526"/>
    <s v="已審"/>
    <s v=""/>
    <x v="35"/>
    <n v="337620"/>
    <s v="報支躍升計畫教學研究空間冷氣5台※品名:冷氣"/>
    <s v=""/>
  </r>
  <r>
    <x v="2"/>
    <s v="1150526"/>
    <s v="未審"/>
    <s v=""/>
    <x v="1"/>
    <n v="141750"/>
    <s v="工設系工廠新增噴漆乾式集塵設備※品名:噴漆乾式集塵設備"/>
    <s v="工業設計系"/>
  </r>
  <r>
    <x v="2"/>
    <s v="1150526"/>
    <s v="未審"/>
    <s v=""/>
    <x v="17"/>
    <n v="110000"/>
    <s v="輪機系_執行躍升計畫採購教學顯示器※品名:顯示器"/>
    <s v="輪機工程系"/>
  </r>
  <r>
    <x v="2"/>
    <s v="1150527"/>
    <s v="未審"/>
    <s v=""/>
    <x v="18"/>
    <n v="11600"/>
    <s v="執行躍升計畫用:18公升WIFI變頻除濕機(研究蒐集物聯網智慧控制與感測節能分析環境溫度、濕度、運轉時間及耗電資料等數據，結合生活實作及跨域整合智慧科技應用之實驗使用)※品名:18公升WIFI變頻除濕機"/>
    <s v="張簡嘉壬"/>
  </r>
  <r>
    <x v="2"/>
    <s v="1150527"/>
    <s v="未審"/>
    <s v=""/>
    <x v="18"/>
    <n v="13235"/>
    <s v="執行躍升計畫用:18公升WIFI變頻除濕機(研究蒐集物聯網智慧控制與感測節能分析環境溫度、濕度、運轉時間及耗電資料等數據，結合生活實作及跨域整合智慧科技應用之實驗使用)；因支出經費分攤，$4665核支於K115004035※品名:18公升WIFI變頻除濕機"/>
    <s v="張簡嘉壬"/>
  </r>
  <r>
    <x v="2"/>
    <s v="1150527"/>
    <s v="未審"/>
    <s v=""/>
    <x v="2"/>
    <n v="26600"/>
    <s v="付觀光系燕巢直播教室MB208所需之錄音設備費用。※品名:Pocast錄音設備"/>
    <s v="觀光系"/>
  </r>
  <r>
    <x v="2"/>
    <s v="1150528"/>
    <s v="未審"/>
    <s v=""/>
    <x v="1"/>
    <n v="83500"/>
    <s v="工設系電腦教室新增電子伺服式穩壓器※品名:電子伺服式穩壓器"/>
    <s v="工業設計系"/>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x v="0"/>
    <s v="1150409"/>
    <s v="T201114"/>
    <s v="510301-230204國外旅費-開會"/>
    <x v="0"/>
    <n v="15000"/>
    <s v="計畫用-楊春陵老師115年2月28日至3月7日-日本ISPlasma2026研討會(國外出差費用總計70,157元，系所躍升計畫支應15,000元，剩餘55,157元不足的費用由建教合作結餘款-楊春陵項下支應)"/>
    <s v="楊春陵"/>
  </r>
  <r>
    <x v="0"/>
    <s v="1150410"/>
    <s v="T201171"/>
    <s v="510301-230204國外旅費-開會"/>
    <x v="1"/>
    <n v="41120"/>
    <s v="鄭至玉老師前往越南公差參訪與參加The 16th AFOB Regional Symposium (ARS 2026)"/>
    <s v="海洋生物技術系"/>
  </r>
  <r>
    <x v="1"/>
    <s v="1150423"/>
    <s v="已審"/>
    <s v=""/>
    <x v="1"/>
    <n v="18186"/>
    <s v="海生系助理教授蘇豐傑前往日本參加春季水產年會"/>
    <s v="海洋生物技術系"/>
  </r>
  <r>
    <x v="1"/>
    <s v="1150423"/>
    <s v="已審"/>
    <s v=""/>
    <x v="2"/>
    <n v="51800"/>
    <s v="財稅系彭琪祿老師前往泰國曼谷參加「2026WEAI_18th International Conference」研討會115.3.31~115.4.4共5天差旅費總共$62,762;與D115003744購案$10,962分攤支應"/>
    <s v="財政稅務系"/>
  </r>
  <r>
    <x v="1"/>
    <s v="1150424"/>
    <s v="已審"/>
    <s v=""/>
    <x v="3"/>
    <n v="20000"/>
    <s v="115.04.13-115.04.17電子系吳毓恩老師至日本京都參加2026 ICASI國際學術研討會並發表論文(日本京都)-支出分攤:115TSD00-8 $2萬、114B1063 $6萬、K2-11014 $1424_x000a_(併B115007479、K115003152)"/>
    <s v="電子工程系[第一]"/>
  </r>
  <r>
    <x v="1"/>
    <s v="1150429"/>
    <s v="未審"/>
    <s v=""/>
    <x v="0"/>
    <n v="15000"/>
    <s v="輪機系_115年4月7日至15日孫建中老師赴日本東京參加2026 the 10th International Conference on Innovation in Artificial Intelligence (ICIAI 2026)補助差旅費用。_x000a_總額101489元，由115TSD00-8系所要升計畫第二期第二年支應15000元(T115UR020084)不足額度由114B1185(B115007783)分攤支應。"/>
    <s v="輪機工程系"/>
  </r>
  <r>
    <x v="1"/>
    <s v="1150506"/>
    <s v="已審"/>
    <s v=""/>
    <x v="4"/>
    <n v="14000"/>
    <s v="差旅費:王裕仁教授 事由：2/03-2/12赴日本大阪進行學術交流{02/03-02/12}併K115002834"/>
    <s v="王裕仁"/>
  </r>
  <r>
    <x v="0"/>
    <s v="1150508"/>
    <s v="T201751"/>
    <s v="510301-230209國外旅費-業務洽談"/>
    <x v="5"/>
    <n v="88800"/>
    <s v="盧正壽主任115年03月29日~04月05日前往法國馬賽與法國凱致商學院簽訂雙聯學制合約, 國外出差旅費"/>
    <s v="企管系"/>
  </r>
  <r>
    <x v="0"/>
    <s v="1150514"/>
    <s v="T201944"/>
    <s v="510301-230207國外旅費-研究"/>
    <x v="6"/>
    <n v="24050"/>
    <s v="躍升計畫_補助潘郁仁教授115.1.19-115.1.24至日本參加「ICSIM 2026』國際研討會之差旅費24050元(本次公差共支出67,783元，扣除躍升計畫補助部分日支費24050元後，餘43733元分別由:_x000a_1.國際處出席國際學術會議補助經費支出日支費10000元。_x000a_2.由潘郁仁教授計畫結餘款支出日支費餘額4915元及機票28818元。"/>
    <s v="供應鏈管理系[楠梓|旗"/>
  </r>
  <r>
    <x v="1"/>
    <s v="1150521"/>
    <s v="未審"/>
    <s v=""/>
    <x v="7"/>
    <n v="10000"/>
    <s v="【躍升計畫】：資管系曾守正老師115.5.13-17前往日本京都參加ICMHI 2026研討會並發表論文(114B1098、115TSD00-8支出分攤分別52,375元及10,000元）"/>
    <s v="資訊管理系[第一]"/>
  </r>
  <r>
    <x v="1"/>
    <s v="1150529"/>
    <s v="未審"/>
    <s v=""/>
    <x v="8"/>
    <n v="27405"/>
    <s v="(楠梓-商資系-躍升計畫)林繼昌副教授赴南韓中央大學短期移地教學之生活費(4月28日至4月30日生活費：290美金/天×31.5台幣匯率×3日)"/>
    <s v="林繼昌"/>
  </r>
  <r>
    <x v="0"/>
    <s v="1150601"/>
    <s v="T202311"/>
    <s v="510301-230204國外旅費-開會"/>
    <x v="0"/>
    <n v="15000"/>
    <s v="徐國欽老師115年2月28日至3月7日-日本ISPlasma2026研討會(國外出差費用總計68,808元，系所躍升計畫支應15,000元，剩餘53,808元，金屬有機框架衍生物材料結合還原法修飾金屬氧化物開發具低能耗且高響應之氣體感測器(114B1118)支應41,738，不足12,070元由徐國欽老師自行支應)"/>
    <s v="徐國欽"/>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
  <r>
    <x v="0"/>
    <s v="1150206"/>
    <s v="已審"/>
    <s v=""/>
    <x v="0"/>
    <n v="210000"/>
    <s v="配合躍升計畫,購置教學及研究用軟體※品名:Arena軟體系統網路2年使用版"/>
    <s v="企管系"/>
  </r>
  <r>
    <x v="0"/>
    <s v="1150223"/>
    <s v="已審"/>
    <s v=""/>
    <x v="1"/>
    <n v="525000"/>
    <s v="金融系執行躍昇計畫所需採購TESG永續發展指標※品名:TESG永續發展指標"/>
    <s v="金融系"/>
  </r>
  <r>
    <x v="0"/>
    <s v="1150309"/>
    <s v="已審"/>
    <s v=""/>
    <x v="2"/>
    <n v="721810"/>
    <s v="114.2(燕巢會資系)-MA325電腦教室-購置JCAATs AI稽核軟體單機教育版20套-教學用※品名:JCAATs AI稽核軟體單機教育版"/>
    <s v="會計資訊系"/>
  </r>
  <r>
    <x v="1"/>
    <s v="1150323"/>
    <s v="T200785"/>
    <s v="170102-1001電腦軟體 -本年度預算"/>
    <x v="3"/>
    <n v="44000"/>
    <s v="姚名鴻老師教學研究使用※品名:商品如明細所示"/>
    <s v="財政稅務系"/>
  </r>
  <r>
    <x v="2"/>
    <s v="1150327"/>
    <s v="未審"/>
    <s v=""/>
    <x v="4"/>
    <n v="115415"/>
    <s v="軟體※品名:軟體"/>
    <s v="蘇明鴻"/>
  </r>
  <r>
    <x v="0"/>
    <s v="1150427"/>
    <s v="未審"/>
    <s v=""/>
    <x v="5"/>
    <n v="750000"/>
    <s v="教學及研究用船舶性能設計與分析軟體永久授權商業版，買斷※品名:MAXSURF永久授權商業版，買斷"/>
    <s v="李子宜"/>
  </r>
  <r>
    <x v="2"/>
    <s v="1150503"/>
    <s v="未審"/>
    <s v=""/>
    <x v="6"/>
    <n v="10290"/>
    <s v="學術研究及教學使用之書籍、文具、資訊設備及軟體等※品名:DaVinci Resolve Studio 正版軟體"/>
    <s v="翁慈君"/>
  </r>
  <r>
    <x v="1"/>
    <s v="1150504"/>
    <s v="T201537"/>
    <s v="170102-1001電腦軟體 -本年度預算"/>
    <x v="6"/>
    <n v="117810"/>
    <s v="報支nuHRM人資系統(2年期租賃)※品名:nuHRM人資系統"/>
    <s v="人資系"/>
  </r>
  <r>
    <x v="2"/>
    <s v="1150511"/>
    <s v="未審"/>
    <s v=""/>
    <x v="4"/>
    <n v="140000"/>
    <s v="教學研究用採購智能異常檢測系統※品名:聯邦式智能異常檢測系統"/>
    <s v="林國義"/>
  </r>
  <r>
    <x v="2"/>
    <s v="1150511"/>
    <s v="未審"/>
    <s v=""/>
    <x v="4"/>
    <n v="99276"/>
    <s v="教學研究用高效能工業製程優化平台※品名:高效能工業製程優化平台"/>
    <s v="林國義"/>
  </r>
  <r>
    <x v="0"/>
    <s v="1150515"/>
    <s v="未審"/>
    <s v=""/>
    <x v="7"/>
    <n v="300000"/>
    <s v="購置逆向工程軟體※品名:逆向工程軟體"/>
    <s v="常閎智"/>
  </r>
  <r>
    <x v="0"/>
    <s v="1150522"/>
    <s v="未審"/>
    <s v=""/>
    <x v="2"/>
    <n v="434000"/>
    <s v="(燕巢會資系)-Stata/BE 19-教學研究用※品名:Stata /BE 19"/>
    <s v="會計資訊系"/>
  </r>
  <r>
    <x v="2"/>
    <s v="1150525"/>
    <s v="未審"/>
    <s v=""/>
    <x v="4"/>
    <n v="115208"/>
    <s v="IOT雲端空氣檢測軟體:ESG相關課程使用。※品名:IOT雲端空氣檢測軟體"/>
    <s v="薛明憲"/>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923ED3-D774-45D5-BBB4-0A8CE75B035F}" name="樞紐分析表2" cacheId="0" applyNumberFormats="0" applyBorderFormats="0" applyFontFormats="0" applyPatternFormats="0" applyAlignmentFormats="0" applyWidthHeightFormats="1" dataCaption="值" updatedVersion="7" minRefreshableVersion="3" useAutoFormatting="1" itemPrintTitles="1" createdVersion="7" indent="0" outline="1" outlineData="1" multipleFieldFilters="0">
  <location ref="J1:K33" firstHeaderRow="1" firstDataRow="1" firstDataCol="1"/>
  <pivotFields count="8">
    <pivotField showAll="0">
      <items count="4">
        <item x="0"/>
        <item x="1"/>
        <item x="2"/>
        <item t="default"/>
      </items>
    </pivotField>
    <pivotField showAll="0"/>
    <pivotField showAll="0"/>
    <pivotField showAll="0"/>
    <pivotField axis="axisRow" showAll="0">
      <items count="32">
        <item x="12"/>
        <item x="0"/>
        <item x="17"/>
        <item x="30"/>
        <item x="29"/>
        <item x="28"/>
        <item x="23"/>
        <item x="26"/>
        <item x="10"/>
        <item x="15"/>
        <item x="24"/>
        <item x="21"/>
        <item x="5"/>
        <item x="14"/>
        <item x="3"/>
        <item x="6"/>
        <item x="8"/>
        <item x="11"/>
        <item x="13"/>
        <item x="2"/>
        <item x="22"/>
        <item x="4"/>
        <item x="18"/>
        <item x="19"/>
        <item x="9"/>
        <item x="20"/>
        <item x="16"/>
        <item x="7"/>
        <item x="27"/>
        <item x="1"/>
        <item x="25"/>
        <item t="default"/>
      </items>
    </pivotField>
    <pivotField dataField="1" numFmtId="3" showAll="0"/>
    <pivotField showAll="0"/>
    <pivotField showAll="0"/>
  </pivotFields>
  <rowFields count="1">
    <field x="4"/>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加總 - 金額"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9890FA4-78AB-4473-9F4D-B699459341F2}" name="樞紐分析表5" cacheId="2" applyNumberFormats="0" applyBorderFormats="0" applyFontFormats="0" applyPatternFormats="0" applyAlignmentFormats="0" applyWidthHeightFormats="1" dataCaption="值" updatedVersion="7" minRefreshableVersion="3" useAutoFormatting="1" itemPrintTitles="1" createdVersion="7" indent="0" outline="1" outlineData="1" multipleFieldFilters="0">
  <location ref="J1:K6" firstHeaderRow="1" firstDataRow="1" firstDataCol="1"/>
  <pivotFields count="8">
    <pivotField showAll="0">
      <items count="3">
        <item x="0"/>
        <item h="1" x="1"/>
        <item t="default"/>
      </items>
    </pivotField>
    <pivotField showAll="0"/>
    <pivotField showAll="0"/>
    <pivotField showAll="0"/>
    <pivotField axis="axisRow" showAll="0">
      <items count="10">
        <item x="4"/>
        <item x="5"/>
        <item x="6"/>
        <item x="1"/>
        <item x="2"/>
        <item x="8"/>
        <item x="7"/>
        <item x="3"/>
        <item x="0"/>
        <item t="default"/>
      </items>
    </pivotField>
    <pivotField dataField="1" numFmtId="3" showAll="0"/>
    <pivotField showAll="0"/>
    <pivotField showAll="0"/>
  </pivotFields>
  <rowFields count="1">
    <field x="4"/>
  </rowFields>
  <rowItems count="5">
    <i>
      <x v="1"/>
    </i>
    <i>
      <x v="2"/>
    </i>
    <i>
      <x v="3"/>
    </i>
    <i>
      <x v="8"/>
    </i>
    <i t="grand">
      <x/>
    </i>
  </rowItems>
  <colItems count="1">
    <i/>
  </colItems>
  <dataFields count="1">
    <dataField name="加總 - 金額"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C1026AB-914A-4223-9338-85225454DAB2}" name="樞紐分析表6" cacheId="3" applyNumberFormats="0" applyBorderFormats="0" applyFontFormats="0" applyPatternFormats="0" applyAlignmentFormats="0" applyWidthHeightFormats="1" dataCaption="值" updatedVersion="7" minRefreshableVersion="3" useAutoFormatting="1" itemPrintTitles="1" createdVersion="7" indent="0" outline="1" outlineData="1" multipleFieldFilters="0">
  <location ref="J1:K4" firstHeaderRow="1" firstDataRow="1" firstDataCol="1"/>
  <pivotFields count="8">
    <pivotField showAll="0">
      <items count="4">
        <item x="1"/>
        <item h="1" x="2"/>
        <item h="1" x="0"/>
        <item t="default"/>
      </items>
    </pivotField>
    <pivotField showAll="0"/>
    <pivotField showAll="0"/>
    <pivotField showAll="0"/>
    <pivotField axis="axisRow" showAll="0">
      <items count="9">
        <item x="6"/>
        <item x="4"/>
        <item x="0"/>
        <item x="1"/>
        <item x="3"/>
        <item x="5"/>
        <item x="2"/>
        <item x="7"/>
        <item t="default"/>
      </items>
    </pivotField>
    <pivotField dataField="1" numFmtId="3" showAll="0"/>
    <pivotField showAll="0"/>
    <pivotField showAll="0"/>
  </pivotFields>
  <rowFields count="1">
    <field x="4"/>
  </rowFields>
  <rowItems count="3">
    <i>
      <x/>
    </i>
    <i>
      <x v="4"/>
    </i>
    <i t="grand">
      <x/>
    </i>
  </rowItems>
  <colItems count="1">
    <i/>
  </colItems>
  <dataFields count="1">
    <dataField name="加總 - 金額"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AC018BC-186B-4827-BD01-98C21B0599FA}" name="樞紐分析表3" cacheId="1" applyNumberFormats="0" applyBorderFormats="0" applyFontFormats="0" applyPatternFormats="0" applyAlignmentFormats="0" applyWidthHeightFormats="1" dataCaption="值" updatedVersion="7" minRefreshableVersion="3" useAutoFormatting="1" itemPrintTitles="1" createdVersion="7" indent="0" outline="1" outlineData="1" multipleFieldFilters="0">
  <location ref="J1:K41" firstHeaderRow="1" firstDataRow="1" firstDataCol="1"/>
  <pivotFields count="8">
    <pivotField showAll="0">
      <items count="4">
        <item x="1"/>
        <item x="2"/>
        <item x="0"/>
        <item t="default"/>
      </items>
    </pivotField>
    <pivotField showAll="0"/>
    <pivotField showAll="0"/>
    <pivotField showAll="0"/>
    <pivotField axis="axisRow" showAll="0">
      <items count="40">
        <item x="35"/>
        <item x="6"/>
        <item x="1"/>
        <item x="19"/>
        <item x="20"/>
        <item x="33"/>
        <item x="11"/>
        <item x="12"/>
        <item x="24"/>
        <item x="4"/>
        <item x="30"/>
        <item x="37"/>
        <item x="29"/>
        <item x="3"/>
        <item x="25"/>
        <item x="13"/>
        <item x="15"/>
        <item x="22"/>
        <item x="31"/>
        <item x="34"/>
        <item x="7"/>
        <item x="8"/>
        <item x="28"/>
        <item x="32"/>
        <item x="21"/>
        <item x="16"/>
        <item x="14"/>
        <item x="18"/>
        <item x="10"/>
        <item x="9"/>
        <item x="26"/>
        <item x="17"/>
        <item x="0"/>
        <item x="38"/>
        <item x="27"/>
        <item x="23"/>
        <item x="36"/>
        <item x="5"/>
        <item x="2"/>
        <item t="default"/>
      </items>
    </pivotField>
    <pivotField dataField="1" numFmtId="3" showAll="0"/>
    <pivotField showAll="0"/>
    <pivotField showAll="0"/>
  </pivotFields>
  <rowFields count="1">
    <field x="4"/>
  </rowFields>
  <rowItems count="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t="grand">
      <x/>
    </i>
  </rowItems>
  <colItems count="1">
    <i/>
  </colItems>
  <dataFields count="1">
    <dataField name="加總 - 金額"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經費用途" xr10:uid="{0DA2DD49-7D76-440F-86BE-F4B6AC625DD6}" sourceName="經費用途">
  <pivotTables>
    <pivotTable tabId="3" name="樞紐分析表2"/>
  </pivotTables>
  <data>
    <tabular pivotCacheId="462973404">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經費用途1" xr10:uid="{C7EB7FFB-EC89-4D81-B966-DE1655C19521}" sourceName="經費用途">
  <pivotTables>
    <pivotTable tabId="2" name="樞紐分析表3"/>
  </pivotTables>
  <data>
    <tabular pivotCacheId="1259973369">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經費用途2" xr10:uid="{F34ED2E4-DA13-48D5-8962-3DC78ED9B889}" sourceName="經費用途">
  <pivotTables>
    <pivotTable tabId="4" name="樞紐分析表5"/>
  </pivotTables>
  <data>
    <tabular pivotCacheId="1705302332">
      <items count="2">
        <i x="0" s="1"/>
        <i x="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經費用途3" xr10:uid="{8FDB0CD1-0749-4E61-B2A7-BD0D43D41DCE}" sourceName="經費用途">
  <pivotTables>
    <pivotTable tabId="5" name="樞紐分析表6"/>
  </pivotTables>
  <data>
    <tabular pivotCacheId="1263165684">
      <items count="3">
        <i x="1" s="1"/>
        <i x="2"/>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經費用途" xr10:uid="{AF5A30AB-64B5-4B6C-82E1-70C343D505F7}" cache="Slicer_經費用途" caption="經費用途" rowHeight="2222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經費用途 2" xr10:uid="{BA41FC86-92A0-46E5-860E-92A9C6E910D9}" cache="Slicer_經費用途2" caption="經費用途" rowHeight="2222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經費用途 3" xr10:uid="{384C8599-F82F-4273-8D0E-86C52D2C9DA7}" cache="Slicer_經費用途3" caption="經費用途" rowHeight="2222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經費用途 1" xr10:uid="{DC0BDB26-AFDD-455F-9FB3-4F8E4DBA46B6}" cache="Slicer_經費用途1" caption="經費用途" rowHeight="222250"/>
</slicer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88ECE-5F0C-4358-9E44-010A14A40541}">
  <dimension ref="A1:M428"/>
  <sheetViews>
    <sheetView topLeftCell="A4" zoomScaleNormal="100" workbookViewId="0">
      <selection activeCell="F10" sqref="F10"/>
    </sheetView>
  </sheetViews>
  <sheetFormatPr defaultColWidth="9" defaultRowHeight="16.2" x14ac:dyDescent="0.3"/>
  <cols>
    <col min="1" max="1" width="20.6640625" style="2" customWidth="1"/>
    <col min="2" max="3" width="18.6640625" style="2" customWidth="1"/>
    <col min="4" max="4" width="21" style="21" customWidth="1"/>
    <col min="5" max="5" width="20" style="7" customWidth="1"/>
    <col min="6" max="6" width="15.6640625" style="18" customWidth="1"/>
    <col min="7" max="8" width="15.6640625" style="10" customWidth="1"/>
    <col min="9" max="9" width="15.44140625" style="10" customWidth="1"/>
    <col min="10" max="10" width="20.6640625" style="10" customWidth="1"/>
    <col min="11" max="11" width="14.109375" style="2" bestFit="1" customWidth="1"/>
    <col min="12" max="16384" width="9" style="2"/>
  </cols>
  <sheetData>
    <row r="1" spans="1:12" x14ac:dyDescent="0.3">
      <c r="A1" s="2" t="s">
        <v>0</v>
      </c>
      <c r="D1" s="7"/>
      <c r="F1" s="10"/>
    </row>
    <row r="2" spans="1:12" ht="28.2" x14ac:dyDescent="0.3">
      <c r="A2" s="55" t="s">
        <v>1</v>
      </c>
      <c r="B2" s="55"/>
      <c r="C2" s="55"/>
      <c r="D2" s="55"/>
      <c r="E2" s="55"/>
      <c r="F2" s="55"/>
      <c r="G2" s="55"/>
      <c r="H2" s="55"/>
      <c r="I2" s="55"/>
      <c r="J2" s="55"/>
    </row>
    <row r="3" spans="1:12" ht="28.2" x14ac:dyDescent="0.3">
      <c r="A3" s="55" t="s">
        <v>2</v>
      </c>
      <c r="B3" s="55"/>
      <c r="C3" s="55"/>
      <c r="D3" s="55"/>
      <c r="E3" s="55"/>
      <c r="F3" s="55"/>
      <c r="G3" s="55"/>
      <c r="H3" s="55"/>
      <c r="I3" s="55"/>
      <c r="J3" s="55"/>
    </row>
    <row r="4" spans="1:12" ht="48.6" x14ac:dyDescent="0.3">
      <c r="D4" s="2"/>
      <c r="E4" s="2"/>
      <c r="F4" s="2"/>
      <c r="G4" s="2"/>
      <c r="H4" s="2"/>
      <c r="I4" s="2"/>
      <c r="J4" s="13" t="s">
        <v>3</v>
      </c>
    </row>
    <row r="5" spans="1:12" x14ac:dyDescent="0.3">
      <c r="A5" s="8" t="s">
        <v>4</v>
      </c>
      <c r="B5" s="56" t="s">
        <v>5</v>
      </c>
      <c r="C5" s="56"/>
      <c r="D5" s="56"/>
      <c r="E5" s="56"/>
      <c r="F5" s="9" t="s">
        <v>6</v>
      </c>
      <c r="G5" s="56" t="s">
        <v>7</v>
      </c>
      <c r="H5" s="56"/>
      <c r="I5" s="56"/>
      <c r="J5" s="56"/>
    </row>
    <row r="6" spans="1:12" x14ac:dyDescent="0.3">
      <c r="A6" s="8" t="s">
        <v>8</v>
      </c>
      <c r="B6" s="57" t="s">
        <v>7</v>
      </c>
      <c r="C6" s="58"/>
      <c r="D6" s="58"/>
      <c r="E6" s="59"/>
      <c r="F6" s="9" t="s">
        <v>9</v>
      </c>
      <c r="G6" s="56" t="s">
        <v>10</v>
      </c>
      <c r="H6" s="56"/>
      <c r="I6" s="56"/>
      <c r="J6" s="56"/>
    </row>
    <row r="7" spans="1:12" x14ac:dyDescent="0.3">
      <c r="A7" s="52" t="s">
        <v>11</v>
      </c>
      <c r="B7" s="54" t="s">
        <v>12</v>
      </c>
      <c r="C7" s="54"/>
      <c r="D7" s="54"/>
      <c r="E7" s="54"/>
      <c r="F7" s="54"/>
      <c r="G7" s="54"/>
      <c r="H7" s="54"/>
      <c r="I7" s="54"/>
      <c r="J7" s="54"/>
    </row>
    <row r="8" spans="1:12" x14ac:dyDescent="0.3">
      <c r="A8" s="53"/>
      <c r="B8" s="54"/>
      <c r="C8" s="54"/>
      <c r="D8" s="54"/>
      <c r="E8" s="54"/>
      <c r="F8" s="54"/>
      <c r="G8" s="54"/>
      <c r="H8" s="54"/>
      <c r="I8" s="54"/>
      <c r="J8" s="54"/>
    </row>
    <row r="9" spans="1:12" x14ac:dyDescent="0.3">
      <c r="A9" s="8" t="s">
        <v>13</v>
      </c>
      <c r="B9" s="54" t="s">
        <v>14</v>
      </c>
      <c r="C9" s="54"/>
      <c r="D9" s="54"/>
      <c r="E9" s="54"/>
      <c r="F9" s="9" t="s">
        <v>15</v>
      </c>
      <c r="G9" s="56" t="s">
        <v>10</v>
      </c>
      <c r="H9" s="56"/>
      <c r="I9" s="56"/>
      <c r="J9" s="56"/>
    </row>
    <row r="10" spans="1:12" x14ac:dyDescent="0.3">
      <c r="A10" s="8" t="s">
        <v>16</v>
      </c>
      <c r="B10" s="8" t="s">
        <v>17</v>
      </c>
      <c r="C10" s="8" t="s">
        <v>18</v>
      </c>
      <c r="D10" s="6" t="s">
        <v>19</v>
      </c>
      <c r="E10" s="9" t="s">
        <v>20</v>
      </c>
      <c r="F10" s="9" t="s">
        <v>21</v>
      </c>
      <c r="G10" s="9" t="s">
        <v>22</v>
      </c>
      <c r="H10" s="9" t="s">
        <v>23</v>
      </c>
      <c r="I10" s="60" t="s">
        <v>24</v>
      </c>
      <c r="J10" s="62"/>
    </row>
    <row r="11" spans="1:12" ht="32.4" x14ac:dyDescent="0.3">
      <c r="A11" s="11" t="s">
        <v>25</v>
      </c>
      <c r="B11" s="4">
        <v>61698650</v>
      </c>
      <c r="C11" s="4">
        <v>9408809</v>
      </c>
      <c r="D11" s="4">
        <v>0</v>
      </c>
      <c r="E11" s="4">
        <v>6039100</v>
      </c>
      <c r="F11" s="4">
        <v>0</v>
      </c>
      <c r="G11" s="4">
        <v>16895096</v>
      </c>
      <c r="H11" s="3">
        <f>B11-C11-D11-E11-F11-G11</f>
        <v>29355645</v>
      </c>
      <c r="I11" s="63">
        <f t="shared" ref="I11:I16" si="0">IF(B11,(C11/B11)*100,0)</f>
        <v>15.249618913866026</v>
      </c>
      <c r="J11" s="64"/>
      <c r="K11" s="7">
        <f>B11-H11</f>
        <v>32343005</v>
      </c>
      <c r="L11" s="33">
        <f>K11/B11</f>
        <v>0.52420928172658554</v>
      </c>
    </row>
    <row r="12" spans="1:12" ht="32.4" x14ac:dyDescent="0.3">
      <c r="A12" s="11" t="s">
        <v>26</v>
      </c>
      <c r="B12" s="4">
        <v>8119450</v>
      </c>
      <c r="C12" s="4">
        <v>1825796</v>
      </c>
      <c r="D12" s="4">
        <v>0</v>
      </c>
      <c r="E12" s="4">
        <v>332298</v>
      </c>
      <c r="F12" s="4">
        <v>0</v>
      </c>
      <c r="G12" s="4">
        <v>44500</v>
      </c>
      <c r="H12" s="3">
        <f>B12-C12-D12-E12-F12-G12</f>
        <v>5916856</v>
      </c>
      <c r="I12" s="63">
        <f t="shared" si="0"/>
        <v>22.486695527406415</v>
      </c>
      <c r="J12" s="64"/>
      <c r="K12" s="7">
        <f t="shared" ref="K12:K16" si="1">B12-H12</f>
        <v>2202594</v>
      </c>
      <c r="L12" s="33">
        <f t="shared" ref="L12:L16" si="2">K12/B12</f>
        <v>0.27127379317564615</v>
      </c>
    </row>
    <row r="13" spans="1:12" ht="32.4" x14ac:dyDescent="0.3">
      <c r="A13" s="11" t="s">
        <v>27</v>
      </c>
      <c r="B13" s="4">
        <v>1635400</v>
      </c>
      <c r="C13" s="4">
        <v>183970</v>
      </c>
      <c r="D13" s="4">
        <v>0</v>
      </c>
      <c r="E13" s="4">
        <v>156391</v>
      </c>
      <c r="F13" s="4">
        <v>0</v>
      </c>
      <c r="G13" s="4">
        <v>0</v>
      </c>
      <c r="H13" s="3">
        <f>B13-C13-D13-E13-F13-G13</f>
        <v>1295039</v>
      </c>
      <c r="I13" s="63">
        <f t="shared" si="0"/>
        <v>11.249235661000368</v>
      </c>
      <c r="J13" s="64"/>
      <c r="K13" s="7">
        <f t="shared" si="1"/>
        <v>340361</v>
      </c>
      <c r="L13" s="33">
        <f t="shared" si="2"/>
        <v>0.20812094900330194</v>
      </c>
    </row>
    <row r="14" spans="1:12" ht="32.4" x14ac:dyDescent="0.3">
      <c r="A14" s="11" t="s">
        <v>28</v>
      </c>
      <c r="B14" s="4">
        <v>30000</v>
      </c>
      <c r="C14" s="4">
        <v>0</v>
      </c>
      <c r="D14" s="4">
        <v>0</v>
      </c>
      <c r="E14" s="4">
        <v>0</v>
      </c>
      <c r="F14" s="4">
        <v>0</v>
      </c>
      <c r="G14" s="4">
        <v>0</v>
      </c>
      <c r="H14" s="3">
        <f>B14-C14-D14-E14-F14-G14</f>
        <v>30000</v>
      </c>
      <c r="I14" s="63">
        <f t="shared" si="0"/>
        <v>0</v>
      </c>
      <c r="J14" s="64"/>
      <c r="K14" s="7">
        <f t="shared" si="1"/>
        <v>0</v>
      </c>
      <c r="L14" s="33">
        <f t="shared" si="2"/>
        <v>0</v>
      </c>
    </row>
    <row r="15" spans="1:12" ht="32.4" x14ac:dyDescent="0.3">
      <c r="A15" s="11" t="s">
        <v>29</v>
      </c>
      <c r="B15" s="4">
        <v>7416500</v>
      </c>
      <c r="C15" s="4">
        <v>161810</v>
      </c>
      <c r="D15" s="4">
        <v>0</v>
      </c>
      <c r="E15" s="4">
        <v>480189</v>
      </c>
      <c r="F15" s="4">
        <v>0</v>
      </c>
      <c r="G15" s="4">
        <v>2940810</v>
      </c>
      <c r="H15" s="3">
        <f>B15-C15-D15-E15-F15-G15</f>
        <v>3833691</v>
      </c>
      <c r="I15" s="63">
        <f t="shared" si="0"/>
        <v>2.1817568934133353</v>
      </c>
      <c r="J15" s="64"/>
      <c r="K15" s="7">
        <f t="shared" si="1"/>
        <v>3582809</v>
      </c>
      <c r="L15" s="33">
        <f t="shared" si="2"/>
        <v>0.48308622665677881</v>
      </c>
    </row>
    <row r="16" spans="1:12" x14ac:dyDescent="0.3">
      <c r="A16" s="8" t="s">
        <v>30</v>
      </c>
      <c r="B16" s="4">
        <v>78900000</v>
      </c>
      <c r="C16" s="4">
        <v>11580385</v>
      </c>
      <c r="D16" s="4">
        <v>0</v>
      </c>
      <c r="E16" s="4">
        <v>7007978</v>
      </c>
      <c r="F16" s="4">
        <v>0</v>
      </c>
      <c r="G16" s="4">
        <v>19880406</v>
      </c>
      <c r="H16" s="5">
        <f>B16-C16-D16-E16-F16-G16-F17</f>
        <v>40431231</v>
      </c>
      <c r="I16" s="63">
        <f t="shared" si="0"/>
        <v>14.677294043092523</v>
      </c>
      <c r="J16" s="64"/>
      <c r="K16" s="7">
        <f t="shared" si="1"/>
        <v>38468769</v>
      </c>
      <c r="L16" s="33">
        <f t="shared" si="2"/>
        <v>0.48756361216730038</v>
      </c>
    </row>
    <row r="17" spans="1:13" x14ac:dyDescent="0.3">
      <c r="A17" s="8" t="s">
        <v>31</v>
      </c>
      <c r="B17" s="4">
        <v>0</v>
      </c>
      <c r="C17" s="8" t="s">
        <v>32</v>
      </c>
      <c r="D17" s="4">
        <v>0</v>
      </c>
      <c r="E17" s="4"/>
      <c r="F17" s="19"/>
      <c r="G17" s="4"/>
      <c r="H17" s="14"/>
      <c r="I17" s="9"/>
      <c r="J17" s="4"/>
    </row>
    <row r="18" spans="1:13" x14ac:dyDescent="0.3">
      <c r="A18" s="8" t="s">
        <v>33</v>
      </c>
      <c r="B18" s="17">
        <v>0</v>
      </c>
      <c r="C18" s="8"/>
      <c r="D18" s="17"/>
      <c r="E18" s="17"/>
      <c r="F18" s="20"/>
      <c r="G18" s="20"/>
      <c r="H18" s="15"/>
      <c r="I18" s="9" t="s">
        <v>34</v>
      </c>
      <c r="J18" s="16">
        <v>-38468769</v>
      </c>
    </row>
    <row r="19" spans="1:13" x14ac:dyDescent="0.3">
      <c r="B19" s="10"/>
      <c r="D19" s="7"/>
      <c r="F19" s="10"/>
    </row>
    <row r="20" spans="1:13" x14ac:dyDescent="0.3">
      <c r="A20" s="8" t="s">
        <v>16</v>
      </c>
      <c r="B20" s="8" t="s">
        <v>35</v>
      </c>
      <c r="C20" s="8" t="s">
        <v>36</v>
      </c>
      <c r="D20" s="6" t="s">
        <v>37</v>
      </c>
      <c r="E20" s="12" t="s">
        <v>38</v>
      </c>
      <c r="F20" s="9" t="s">
        <v>39</v>
      </c>
      <c r="G20" s="60" t="s">
        <v>40</v>
      </c>
      <c r="H20" s="61"/>
      <c r="I20" s="9" t="s">
        <v>41</v>
      </c>
      <c r="J20" s="9" t="s">
        <v>42</v>
      </c>
      <c r="K20" s="10"/>
      <c r="L20" s="10"/>
      <c r="M20" s="10"/>
    </row>
    <row r="21" spans="1:13" x14ac:dyDescent="0.3">
      <c r="A21" s="25" t="s">
        <v>43</v>
      </c>
      <c r="B21" s="22"/>
      <c r="C21" s="22"/>
      <c r="D21" s="23"/>
      <c r="E21" s="22"/>
      <c r="F21" s="24"/>
      <c r="G21" s="23"/>
      <c r="H21" s="23"/>
      <c r="I21" s="23"/>
      <c r="J21" s="23"/>
    </row>
    <row r="22" spans="1:13" x14ac:dyDescent="0.3">
      <c r="B22" s="29" t="s">
        <v>44</v>
      </c>
      <c r="C22" s="48" t="s">
        <v>45</v>
      </c>
      <c r="D22" s="49"/>
      <c r="E22" s="50"/>
      <c r="F22" s="51"/>
      <c r="G22" s="48"/>
      <c r="H22" s="48"/>
      <c r="I22" s="48"/>
      <c r="J22" s="48"/>
    </row>
    <row r="23" spans="1:13" x14ac:dyDescent="0.3">
      <c r="A23" s="25" t="s">
        <v>46</v>
      </c>
      <c r="B23" s="22"/>
      <c r="C23" s="22"/>
      <c r="D23" s="30"/>
      <c r="E23" s="31"/>
      <c r="F23" s="24"/>
      <c r="G23" s="23"/>
      <c r="H23" s="23"/>
      <c r="I23" s="23"/>
      <c r="J23" s="23"/>
    </row>
    <row r="24" spans="1:13" x14ac:dyDescent="0.3">
      <c r="B24" s="29" t="s">
        <v>44</v>
      </c>
      <c r="C24" s="48" t="s">
        <v>47</v>
      </c>
      <c r="D24" s="49"/>
      <c r="E24" s="50"/>
      <c r="F24" s="51"/>
      <c r="G24" s="48"/>
      <c r="H24" s="48"/>
      <c r="I24" s="48"/>
      <c r="J24" s="48"/>
    </row>
    <row r="25" spans="1:13" x14ac:dyDescent="0.3">
      <c r="A25" s="25" t="s">
        <v>25</v>
      </c>
      <c r="B25" s="22"/>
      <c r="C25" s="22"/>
      <c r="D25" s="30"/>
      <c r="E25" s="31"/>
      <c r="F25" s="24"/>
      <c r="G25" s="23"/>
      <c r="H25" s="23"/>
      <c r="I25" s="23"/>
      <c r="J25" s="23"/>
    </row>
    <row r="26" spans="1:13" x14ac:dyDescent="0.3">
      <c r="A26" s="2" t="s">
        <v>22</v>
      </c>
      <c r="B26" s="26" t="s">
        <v>48</v>
      </c>
      <c r="C26" s="26" t="s">
        <v>49</v>
      </c>
      <c r="D26" s="28" t="s">
        <v>7</v>
      </c>
      <c r="E26" s="28" t="s">
        <v>50</v>
      </c>
      <c r="F26" s="32">
        <v>360000</v>
      </c>
      <c r="G26" s="48" t="s">
        <v>51</v>
      </c>
      <c r="H26" s="48"/>
      <c r="I26" s="27" t="s">
        <v>52</v>
      </c>
      <c r="J26" s="27" t="s">
        <v>7</v>
      </c>
    </row>
    <row r="27" spans="1:13" ht="32.4" x14ac:dyDescent="0.3">
      <c r="A27" s="2" t="s">
        <v>53</v>
      </c>
      <c r="B27" s="26" t="s">
        <v>54</v>
      </c>
      <c r="C27" s="26" t="s">
        <v>55</v>
      </c>
      <c r="D27" s="28" t="s">
        <v>56</v>
      </c>
      <c r="E27" s="28" t="s">
        <v>57</v>
      </c>
      <c r="F27" s="32">
        <v>38370</v>
      </c>
      <c r="G27" s="48" t="s">
        <v>58</v>
      </c>
      <c r="H27" s="48"/>
      <c r="I27" s="27" t="s">
        <v>59</v>
      </c>
      <c r="J27" s="27" t="s">
        <v>7</v>
      </c>
    </row>
    <row r="28" spans="1:13" ht="32.4" x14ac:dyDescent="0.3">
      <c r="A28" s="2" t="s">
        <v>53</v>
      </c>
      <c r="B28" s="26" t="s">
        <v>54</v>
      </c>
      <c r="C28" s="26" t="s">
        <v>60</v>
      </c>
      <c r="D28" s="28" t="s">
        <v>56</v>
      </c>
      <c r="E28" s="28" t="s">
        <v>61</v>
      </c>
      <c r="F28" s="32">
        <v>32900</v>
      </c>
      <c r="G28" s="48" t="s">
        <v>62</v>
      </c>
      <c r="H28" s="48"/>
      <c r="I28" s="27" t="s">
        <v>63</v>
      </c>
      <c r="J28" s="27" t="s">
        <v>7</v>
      </c>
    </row>
    <row r="29" spans="1:13" ht="32.4" x14ac:dyDescent="0.3">
      <c r="A29" s="2" t="s">
        <v>53</v>
      </c>
      <c r="B29" s="26" t="s">
        <v>54</v>
      </c>
      <c r="C29" s="26" t="s">
        <v>64</v>
      </c>
      <c r="D29" s="28" t="s">
        <v>56</v>
      </c>
      <c r="E29" s="28" t="s">
        <v>65</v>
      </c>
      <c r="F29" s="32">
        <v>55000</v>
      </c>
      <c r="G29" s="48" t="s">
        <v>66</v>
      </c>
      <c r="H29" s="48"/>
      <c r="I29" s="27" t="s">
        <v>67</v>
      </c>
      <c r="J29" s="27" t="s">
        <v>7</v>
      </c>
    </row>
    <row r="30" spans="1:13" ht="32.4" x14ac:dyDescent="0.3">
      <c r="A30" s="2" t="s">
        <v>53</v>
      </c>
      <c r="B30" s="26" t="s">
        <v>68</v>
      </c>
      <c r="C30" s="26" t="s">
        <v>69</v>
      </c>
      <c r="D30" s="28" t="s">
        <v>56</v>
      </c>
      <c r="E30" s="28" t="s">
        <v>70</v>
      </c>
      <c r="F30" s="32">
        <v>25387</v>
      </c>
      <c r="G30" s="48" t="s">
        <v>71</v>
      </c>
      <c r="H30" s="48"/>
      <c r="I30" s="27" t="s">
        <v>72</v>
      </c>
      <c r="J30" s="27" t="s">
        <v>7</v>
      </c>
    </row>
    <row r="31" spans="1:13" ht="32.4" x14ac:dyDescent="0.3">
      <c r="A31" s="2" t="s">
        <v>22</v>
      </c>
      <c r="B31" s="26" t="s">
        <v>73</v>
      </c>
      <c r="C31" s="26" t="s">
        <v>49</v>
      </c>
      <c r="D31" s="28" t="s">
        <v>7</v>
      </c>
      <c r="E31" s="28" t="s">
        <v>74</v>
      </c>
      <c r="F31" s="32">
        <v>2000000</v>
      </c>
      <c r="G31" s="48" t="s">
        <v>75</v>
      </c>
      <c r="H31" s="48"/>
      <c r="I31" s="27" t="s">
        <v>76</v>
      </c>
      <c r="J31" s="27" t="s">
        <v>7</v>
      </c>
    </row>
    <row r="32" spans="1:13" x14ac:dyDescent="0.3">
      <c r="A32" s="2" t="s">
        <v>22</v>
      </c>
      <c r="B32" s="26" t="s">
        <v>77</v>
      </c>
      <c r="C32" s="26" t="s">
        <v>49</v>
      </c>
      <c r="D32" s="28" t="s">
        <v>7</v>
      </c>
      <c r="E32" s="28" t="s">
        <v>78</v>
      </c>
      <c r="F32" s="32">
        <v>1500000</v>
      </c>
      <c r="G32" s="48" t="s">
        <v>79</v>
      </c>
      <c r="H32" s="48"/>
      <c r="I32" s="27" t="s">
        <v>80</v>
      </c>
      <c r="J32" s="27" t="s">
        <v>7</v>
      </c>
    </row>
    <row r="33" spans="1:10" ht="32.4" x14ac:dyDescent="0.3">
      <c r="A33" s="2" t="s">
        <v>22</v>
      </c>
      <c r="B33" s="26" t="s">
        <v>81</v>
      </c>
      <c r="C33" s="26" t="s">
        <v>49</v>
      </c>
      <c r="D33" s="28" t="s">
        <v>7</v>
      </c>
      <c r="E33" s="28" t="s">
        <v>82</v>
      </c>
      <c r="F33" s="32">
        <v>1279500</v>
      </c>
      <c r="G33" s="48" t="s">
        <v>83</v>
      </c>
      <c r="H33" s="48"/>
      <c r="I33" s="27" t="s">
        <v>84</v>
      </c>
      <c r="J33" s="27" t="s">
        <v>7</v>
      </c>
    </row>
    <row r="34" spans="1:10" ht="48.6" x14ac:dyDescent="0.3">
      <c r="A34" s="2" t="s">
        <v>53</v>
      </c>
      <c r="B34" s="26" t="s">
        <v>85</v>
      </c>
      <c r="C34" s="26" t="s">
        <v>86</v>
      </c>
      <c r="D34" s="28" t="s">
        <v>87</v>
      </c>
      <c r="E34" s="28" t="s">
        <v>88</v>
      </c>
      <c r="F34" s="32">
        <v>17590</v>
      </c>
      <c r="G34" s="48" t="s">
        <v>89</v>
      </c>
      <c r="H34" s="48"/>
      <c r="I34" s="27" t="s">
        <v>90</v>
      </c>
      <c r="J34" s="27" t="s">
        <v>7</v>
      </c>
    </row>
    <row r="35" spans="1:10" ht="48.6" x14ac:dyDescent="0.3">
      <c r="A35" s="2" t="s">
        <v>53</v>
      </c>
      <c r="B35" s="26" t="s">
        <v>85</v>
      </c>
      <c r="C35" s="26" t="s">
        <v>91</v>
      </c>
      <c r="D35" s="28" t="s">
        <v>87</v>
      </c>
      <c r="E35" s="28" t="s">
        <v>92</v>
      </c>
      <c r="F35" s="32">
        <v>111000</v>
      </c>
      <c r="G35" s="48" t="s">
        <v>93</v>
      </c>
      <c r="H35" s="48"/>
      <c r="I35" s="27" t="s">
        <v>84</v>
      </c>
      <c r="J35" s="27" t="s">
        <v>7</v>
      </c>
    </row>
    <row r="36" spans="1:10" ht="32.4" x14ac:dyDescent="0.3">
      <c r="A36" s="2" t="s">
        <v>53</v>
      </c>
      <c r="B36" s="26" t="s">
        <v>85</v>
      </c>
      <c r="C36" s="26" t="s">
        <v>94</v>
      </c>
      <c r="D36" s="28" t="s">
        <v>95</v>
      </c>
      <c r="E36" s="28" t="s">
        <v>96</v>
      </c>
      <c r="F36" s="32">
        <v>12400</v>
      </c>
      <c r="G36" s="48" t="s">
        <v>97</v>
      </c>
      <c r="H36" s="48"/>
      <c r="I36" s="27" t="s">
        <v>63</v>
      </c>
      <c r="J36" s="27" t="s">
        <v>7</v>
      </c>
    </row>
    <row r="37" spans="1:10" ht="32.4" x14ac:dyDescent="0.3">
      <c r="A37" s="2" t="s">
        <v>22</v>
      </c>
      <c r="B37" s="26" t="s">
        <v>98</v>
      </c>
      <c r="C37" s="26" t="s">
        <v>49</v>
      </c>
      <c r="D37" s="28" t="s">
        <v>7</v>
      </c>
      <c r="E37" s="28" t="s">
        <v>99</v>
      </c>
      <c r="F37" s="32">
        <v>134645</v>
      </c>
      <c r="G37" s="48" t="s">
        <v>100</v>
      </c>
      <c r="H37" s="48"/>
      <c r="I37" s="27" t="s">
        <v>101</v>
      </c>
      <c r="J37" s="27" t="s">
        <v>7</v>
      </c>
    </row>
    <row r="38" spans="1:10" x14ac:dyDescent="0.3">
      <c r="A38" s="2" t="s">
        <v>22</v>
      </c>
      <c r="B38" s="26" t="s">
        <v>102</v>
      </c>
      <c r="C38" s="26" t="s">
        <v>49</v>
      </c>
      <c r="D38" s="28" t="s">
        <v>7</v>
      </c>
      <c r="E38" s="28" t="s">
        <v>103</v>
      </c>
      <c r="F38" s="32">
        <v>199500</v>
      </c>
      <c r="G38" s="48" t="s">
        <v>104</v>
      </c>
      <c r="H38" s="48"/>
      <c r="I38" s="27" t="s">
        <v>105</v>
      </c>
      <c r="J38" s="27" t="s">
        <v>7</v>
      </c>
    </row>
    <row r="39" spans="1:10" x14ac:dyDescent="0.3">
      <c r="A39" s="2" t="s">
        <v>22</v>
      </c>
      <c r="B39" s="26" t="s">
        <v>106</v>
      </c>
      <c r="C39" s="26" t="s">
        <v>49</v>
      </c>
      <c r="D39" s="28" t="s">
        <v>7</v>
      </c>
      <c r="E39" s="28" t="s">
        <v>107</v>
      </c>
      <c r="F39" s="32">
        <v>490000</v>
      </c>
      <c r="G39" s="48" t="s">
        <v>108</v>
      </c>
      <c r="H39" s="48"/>
      <c r="I39" s="27" t="s">
        <v>109</v>
      </c>
      <c r="J39" s="27" t="s">
        <v>7</v>
      </c>
    </row>
    <row r="40" spans="1:10" ht="32.4" x14ac:dyDescent="0.3">
      <c r="A40" s="2" t="s">
        <v>53</v>
      </c>
      <c r="B40" s="26" t="s">
        <v>110</v>
      </c>
      <c r="C40" s="26" t="s">
        <v>111</v>
      </c>
      <c r="D40" s="28" t="s">
        <v>56</v>
      </c>
      <c r="E40" s="28" t="s">
        <v>112</v>
      </c>
      <c r="F40" s="32">
        <v>39480</v>
      </c>
      <c r="G40" s="48" t="s">
        <v>113</v>
      </c>
      <c r="H40" s="48"/>
      <c r="I40" s="27" t="s">
        <v>114</v>
      </c>
      <c r="J40" s="27" t="s">
        <v>7</v>
      </c>
    </row>
    <row r="41" spans="1:10" x14ac:dyDescent="0.3">
      <c r="A41" s="2" t="s">
        <v>22</v>
      </c>
      <c r="B41" s="26" t="s">
        <v>115</v>
      </c>
      <c r="C41" s="26" t="s">
        <v>49</v>
      </c>
      <c r="D41" s="28" t="s">
        <v>7</v>
      </c>
      <c r="E41" s="28" t="s">
        <v>116</v>
      </c>
      <c r="F41" s="32">
        <v>164000</v>
      </c>
      <c r="G41" s="48" t="s">
        <v>117</v>
      </c>
      <c r="H41" s="48"/>
      <c r="I41" s="27" t="s">
        <v>118</v>
      </c>
      <c r="J41" s="27" t="s">
        <v>7</v>
      </c>
    </row>
    <row r="42" spans="1:10" ht="32.4" x14ac:dyDescent="0.3">
      <c r="A42" s="2" t="s">
        <v>53</v>
      </c>
      <c r="B42" s="26" t="s">
        <v>119</v>
      </c>
      <c r="C42" s="26" t="s">
        <v>120</v>
      </c>
      <c r="D42" s="28" t="s">
        <v>56</v>
      </c>
      <c r="E42" s="28" t="s">
        <v>121</v>
      </c>
      <c r="F42" s="32">
        <v>145200</v>
      </c>
      <c r="G42" s="48" t="s">
        <v>122</v>
      </c>
      <c r="H42" s="48"/>
      <c r="I42" s="27" t="s">
        <v>123</v>
      </c>
      <c r="J42" s="27" t="s">
        <v>7</v>
      </c>
    </row>
    <row r="43" spans="1:10" x14ac:dyDescent="0.3">
      <c r="A43" s="2" t="s">
        <v>22</v>
      </c>
      <c r="B43" s="26" t="s">
        <v>119</v>
      </c>
      <c r="C43" s="26" t="s">
        <v>49</v>
      </c>
      <c r="D43" s="28" t="s">
        <v>7</v>
      </c>
      <c r="E43" s="28" t="s">
        <v>124</v>
      </c>
      <c r="F43" s="32">
        <v>420000</v>
      </c>
      <c r="G43" s="48" t="s">
        <v>125</v>
      </c>
      <c r="H43" s="48"/>
      <c r="I43" s="27" t="s">
        <v>126</v>
      </c>
      <c r="J43" s="27" t="s">
        <v>7</v>
      </c>
    </row>
    <row r="44" spans="1:10" ht="32.4" x14ac:dyDescent="0.3">
      <c r="A44" s="2" t="s">
        <v>53</v>
      </c>
      <c r="B44" s="26" t="s">
        <v>127</v>
      </c>
      <c r="C44" s="26" t="s">
        <v>128</v>
      </c>
      <c r="D44" s="28" t="s">
        <v>56</v>
      </c>
      <c r="E44" s="28" t="s">
        <v>129</v>
      </c>
      <c r="F44" s="32">
        <v>11360</v>
      </c>
      <c r="G44" s="48" t="s">
        <v>130</v>
      </c>
      <c r="H44" s="48"/>
      <c r="I44" s="27" t="s">
        <v>63</v>
      </c>
      <c r="J44" s="27" t="s">
        <v>7</v>
      </c>
    </row>
    <row r="45" spans="1:10" ht="48.6" x14ac:dyDescent="0.3">
      <c r="A45" s="2" t="s">
        <v>53</v>
      </c>
      <c r="B45" s="26" t="s">
        <v>127</v>
      </c>
      <c r="C45" s="26" t="s">
        <v>131</v>
      </c>
      <c r="D45" s="28" t="s">
        <v>87</v>
      </c>
      <c r="E45" s="28" t="s">
        <v>132</v>
      </c>
      <c r="F45" s="32">
        <v>22374</v>
      </c>
      <c r="G45" s="48" t="s">
        <v>133</v>
      </c>
      <c r="H45" s="48"/>
      <c r="I45" s="27" t="s">
        <v>67</v>
      </c>
      <c r="J45" s="27" t="s">
        <v>7</v>
      </c>
    </row>
    <row r="46" spans="1:10" ht="32.4" x14ac:dyDescent="0.3">
      <c r="A46" s="2" t="s">
        <v>53</v>
      </c>
      <c r="B46" s="26" t="s">
        <v>127</v>
      </c>
      <c r="C46" s="26" t="s">
        <v>134</v>
      </c>
      <c r="D46" s="28" t="s">
        <v>56</v>
      </c>
      <c r="E46" s="28" t="s">
        <v>135</v>
      </c>
      <c r="F46" s="32">
        <v>79735</v>
      </c>
      <c r="G46" s="48" t="s">
        <v>136</v>
      </c>
      <c r="H46" s="48"/>
      <c r="I46" s="27" t="s">
        <v>90</v>
      </c>
      <c r="J46" s="27" t="s">
        <v>7</v>
      </c>
    </row>
    <row r="47" spans="1:10" ht="32.4" x14ac:dyDescent="0.3">
      <c r="A47" s="2" t="s">
        <v>53</v>
      </c>
      <c r="B47" s="26" t="s">
        <v>137</v>
      </c>
      <c r="C47" s="26" t="s">
        <v>138</v>
      </c>
      <c r="D47" s="28" t="s">
        <v>56</v>
      </c>
      <c r="E47" s="28" t="s">
        <v>139</v>
      </c>
      <c r="F47" s="32">
        <v>1400000</v>
      </c>
      <c r="G47" s="48" t="s">
        <v>140</v>
      </c>
      <c r="H47" s="48"/>
      <c r="I47" s="27" t="s">
        <v>141</v>
      </c>
      <c r="J47" s="27" t="s">
        <v>7</v>
      </c>
    </row>
    <row r="48" spans="1:10" ht="32.4" x14ac:dyDescent="0.3">
      <c r="A48" s="2" t="s">
        <v>53</v>
      </c>
      <c r="B48" s="26" t="s">
        <v>137</v>
      </c>
      <c r="C48" s="26" t="s">
        <v>142</v>
      </c>
      <c r="D48" s="28" t="s">
        <v>56</v>
      </c>
      <c r="E48" s="28" t="s">
        <v>143</v>
      </c>
      <c r="F48" s="32">
        <v>149800</v>
      </c>
      <c r="G48" s="48" t="s">
        <v>144</v>
      </c>
      <c r="H48" s="48"/>
      <c r="I48" s="27" t="s">
        <v>145</v>
      </c>
      <c r="J48" s="27" t="s">
        <v>7</v>
      </c>
    </row>
    <row r="49" spans="1:10" ht="32.4" x14ac:dyDescent="0.3">
      <c r="A49" s="2" t="s">
        <v>53</v>
      </c>
      <c r="B49" s="26" t="s">
        <v>137</v>
      </c>
      <c r="C49" s="26" t="s">
        <v>146</v>
      </c>
      <c r="D49" s="28" t="s">
        <v>56</v>
      </c>
      <c r="E49" s="28" t="s">
        <v>147</v>
      </c>
      <c r="F49" s="32">
        <v>143557</v>
      </c>
      <c r="G49" s="48" t="s">
        <v>148</v>
      </c>
      <c r="H49" s="48"/>
      <c r="I49" s="27" t="s">
        <v>109</v>
      </c>
      <c r="J49" s="27" t="s">
        <v>7</v>
      </c>
    </row>
    <row r="50" spans="1:10" ht="32.4" x14ac:dyDescent="0.3">
      <c r="A50" s="2" t="s">
        <v>53</v>
      </c>
      <c r="B50" s="26" t="s">
        <v>137</v>
      </c>
      <c r="C50" s="26" t="s">
        <v>149</v>
      </c>
      <c r="D50" s="28" t="s">
        <v>95</v>
      </c>
      <c r="E50" s="28" t="s">
        <v>150</v>
      </c>
      <c r="F50" s="32">
        <v>385579</v>
      </c>
      <c r="G50" s="48" t="s">
        <v>151</v>
      </c>
      <c r="H50" s="48"/>
      <c r="I50" s="27" t="s">
        <v>59</v>
      </c>
      <c r="J50" s="27" t="s">
        <v>7</v>
      </c>
    </row>
    <row r="51" spans="1:10" ht="32.4" x14ac:dyDescent="0.3">
      <c r="A51" s="2" t="s">
        <v>53</v>
      </c>
      <c r="B51" s="26" t="s">
        <v>137</v>
      </c>
      <c r="C51" s="26" t="s">
        <v>152</v>
      </c>
      <c r="D51" s="28" t="s">
        <v>56</v>
      </c>
      <c r="E51" s="28" t="s">
        <v>153</v>
      </c>
      <c r="F51" s="32">
        <v>234545</v>
      </c>
      <c r="G51" s="48" t="s">
        <v>154</v>
      </c>
      <c r="H51" s="48"/>
      <c r="I51" s="27" t="s">
        <v>155</v>
      </c>
      <c r="J51" s="27" t="s">
        <v>7</v>
      </c>
    </row>
    <row r="52" spans="1:10" x14ac:dyDescent="0.3">
      <c r="A52" s="2" t="s">
        <v>156</v>
      </c>
      <c r="B52" s="26" t="s">
        <v>157</v>
      </c>
      <c r="C52" s="26" t="s">
        <v>158</v>
      </c>
      <c r="D52" s="28" t="s">
        <v>7</v>
      </c>
      <c r="E52" s="28" t="s">
        <v>159</v>
      </c>
      <c r="F52" s="32">
        <v>100000</v>
      </c>
      <c r="G52" s="48" t="s">
        <v>160</v>
      </c>
      <c r="H52" s="48"/>
      <c r="I52" s="27" t="s">
        <v>161</v>
      </c>
      <c r="J52" s="27" t="s">
        <v>7</v>
      </c>
    </row>
    <row r="53" spans="1:10" x14ac:dyDescent="0.3">
      <c r="A53" s="2" t="s">
        <v>156</v>
      </c>
      <c r="B53" s="26" t="s">
        <v>162</v>
      </c>
      <c r="C53" s="26" t="s">
        <v>158</v>
      </c>
      <c r="D53" s="28" t="s">
        <v>7</v>
      </c>
      <c r="E53" s="28" t="s">
        <v>163</v>
      </c>
      <c r="F53" s="32">
        <v>50000</v>
      </c>
      <c r="G53" s="48" t="s">
        <v>164</v>
      </c>
      <c r="H53" s="48"/>
      <c r="I53" s="27" t="s">
        <v>161</v>
      </c>
      <c r="J53" s="27" t="s">
        <v>7</v>
      </c>
    </row>
    <row r="54" spans="1:10" ht="32.4" x14ac:dyDescent="0.3">
      <c r="A54" s="2" t="s">
        <v>53</v>
      </c>
      <c r="B54" s="26" t="s">
        <v>165</v>
      </c>
      <c r="C54" s="26" t="s">
        <v>166</v>
      </c>
      <c r="D54" s="28" t="s">
        <v>56</v>
      </c>
      <c r="E54" s="28" t="s">
        <v>167</v>
      </c>
      <c r="F54" s="32">
        <v>50000</v>
      </c>
      <c r="G54" s="48" t="s">
        <v>168</v>
      </c>
      <c r="H54" s="48"/>
      <c r="I54" s="27" t="s">
        <v>169</v>
      </c>
      <c r="J54" s="27" t="s">
        <v>7</v>
      </c>
    </row>
    <row r="55" spans="1:10" x14ac:dyDescent="0.3">
      <c r="A55" s="2" t="s">
        <v>22</v>
      </c>
      <c r="B55" s="26" t="s">
        <v>165</v>
      </c>
      <c r="C55" s="26" t="s">
        <v>49</v>
      </c>
      <c r="D55" s="28" t="s">
        <v>7</v>
      </c>
      <c r="E55" s="28" t="s">
        <v>170</v>
      </c>
      <c r="F55" s="32">
        <v>1400000</v>
      </c>
      <c r="G55" s="48" t="s">
        <v>171</v>
      </c>
      <c r="H55" s="48"/>
      <c r="I55" s="27" t="s">
        <v>172</v>
      </c>
      <c r="J55" s="27" t="s">
        <v>7</v>
      </c>
    </row>
    <row r="56" spans="1:10" x14ac:dyDescent="0.3">
      <c r="A56" s="2" t="s">
        <v>156</v>
      </c>
      <c r="B56" s="26" t="s">
        <v>165</v>
      </c>
      <c r="C56" s="26" t="s">
        <v>49</v>
      </c>
      <c r="D56" s="28" t="s">
        <v>7</v>
      </c>
      <c r="E56" s="28" t="s">
        <v>173</v>
      </c>
      <c r="F56" s="32">
        <v>28199</v>
      </c>
      <c r="G56" s="48" t="s">
        <v>174</v>
      </c>
      <c r="H56" s="48"/>
      <c r="I56" s="27" t="s">
        <v>175</v>
      </c>
      <c r="J56" s="27" t="s">
        <v>7</v>
      </c>
    </row>
    <row r="57" spans="1:10" ht="32.4" x14ac:dyDescent="0.3">
      <c r="A57" s="2" t="s">
        <v>53</v>
      </c>
      <c r="B57" s="26" t="s">
        <v>176</v>
      </c>
      <c r="C57" s="26" t="s">
        <v>177</v>
      </c>
      <c r="D57" s="28" t="s">
        <v>95</v>
      </c>
      <c r="E57" s="28" t="s">
        <v>178</v>
      </c>
      <c r="F57" s="32">
        <v>12400</v>
      </c>
      <c r="G57" s="48" t="s">
        <v>97</v>
      </c>
      <c r="H57" s="48"/>
      <c r="I57" s="27" t="s">
        <v>63</v>
      </c>
      <c r="J57" s="27" t="s">
        <v>7</v>
      </c>
    </row>
    <row r="58" spans="1:10" ht="32.4" x14ac:dyDescent="0.3">
      <c r="A58" s="2" t="s">
        <v>53</v>
      </c>
      <c r="B58" s="26" t="s">
        <v>176</v>
      </c>
      <c r="C58" s="26" t="s">
        <v>179</v>
      </c>
      <c r="D58" s="28" t="s">
        <v>180</v>
      </c>
      <c r="E58" s="28" t="s">
        <v>181</v>
      </c>
      <c r="F58" s="32">
        <v>147000</v>
      </c>
      <c r="G58" s="48" t="s">
        <v>182</v>
      </c>
      <c r="H58" s="48"/>
      <c r="I58" s="27" t="s">
        <v>183</v>
      </c>
      <c r="J58" s="27" t="s">
        <v>7</v>
      </c>
    </row>
    <row r="59" spans="1:10" ht="48.6" x14ac:dyDescent="0.3">
      <c r="A59" s="2" t="s">
        <v>53</v>
      </c>
      <c r="B59" s="26" t="s">
        <v>184</v>
      </c>
      <c r="C59" s="26" t="s">
        <v>185</v>
      </c>
      <c r="D59" s="28" t="s">
        <v>87</v>
      </c>
      <c r="E59" s="28" t="s">
        <v>186</v>
      </c>
      <c r="F59" s="32">
        <v>210000</v>
      </c>
      <c r="G59" s="48" t="s">
        <v>187</v>
      </c>
      <c r="H59" s="48"/>
      <c r="I59" s="27" t="s">
        <v>109</v>
      </c>
      <c r="J59" s="27" t="s">
        <v>7</v>
      </c>
    </row>
    <row r="60" spans="1:10" ht="32.4" x14ac:dyDescent="0.3">
      <c r="A60" s="2" t="s">
        <v>22</v>
      </c>
      <c r="B60" s="26" t="s">
        <v>184</v>
      </c>
      <c r="C60" s="26" t="s">
        <v>49</v>
      </c>
      <c r="D60" s="28" t="s">
        <v>7</v>
      </c>
      <c r="E60" s="28" t="s">
        <v>188</v>
      </c>
      <c r="F60" s="32">
        <v>1400000</v>
      </c>
      <c r="G60" s="48" t="s">
        <v>189</v>
      </c>
      <c r="H60" s="48"/>
      <c r="I60" s="27" t="s">
        <v>190</v>
      </c>
      <c r="J60" s="27" t="s">
        <v>7</v>
      </c>
    </row>
    <row r="61" spans="1:10" ht="32.4" x14ac:dyDescent="0.3">
      <c r="A61" s="2" t="s">
        <v>53</v>
      </c>
      <c r="B61" s="26" t="s">
        <v>191</v>
      </c>
      <c r="C61" s="26" t="s">
        <v>192</v>
      </c>
      <c r="D61" s="28" t="s">
        <v>56</v>
      </c>
      <c r="E61" s="28" t="s">
        <v>193</v>
      </c>
      <c r="F61" s="32">
        <v>33612</v>
      </c>
      <c r="G61" s="48" t="s">
        <v>194</v>
      </c>
      <c r="H61" s="48"/>
      <c r="I61" s="27" t="s">
        <v>126</v>
      </c>
      <c r="J61" s="27" t="s">
        <v>7</v>
      </c>
    </row>
    <row r="62" spans="1:10" ht="32.4" x14ac:dyDescent="0.3">
      <c r="A62" s="2" t="s">
        <v>53</v>
      </c>
      <c r="B62" s="26" t="s">
        <v>191</v>
      </c>
      <c r="C62" s="26" t="s">
        <v>195</v>
      </c>
      <c r="D62" s="28" t="s">
        <v>56</v>
      </c>
      <c r="E62" s="28" t="s">
        <v>196</v>
      </c>
      <c r="F62" s="32">
        <v>122256</v>
      </c>
      <c r="G62" s="48" t="s">
        <v>197</v>
      </c>
      <c r="H62" s="48"/>
      <c r="I62" s="27" t="s">
        <v>126</v>
      </c>
      <c r="J62" s="27" t="s">
        <v>7</v>
      </c>
    </row>
    <row r="63" spans="1:10" x14ac:dyDescent="0.3">
      <c r="A63" s="2" t="s">
        <v>22</v>
      </c>
      <c r="B63" s="26" t="s">
        <v>191</v>
      </c>
      <c r="C63" s="26" t="s">
        <v>158</v>
      </c>
      <c r="D63" s="28" t="s">
        <v>7</v>
      </c>
      <c r="E63" s="28" t="s">
        <v>198</v>
      </c>
      <c r="F63" s="32">
        <v>800000</v>
      </c>
      <c r="G63" s="48" t="s">
        <v>199</v>
      </c>
      <c r="H63" s="48"/>
      <c r="I63" s="27" t="s">
        <v>200</v>
      </c>
      <c r="J63" s="27" t="s">
        <v>7</v>
      </c>
    </row>
    <row r="64" spans="1:10" x14ac:dyDescent="0.3">
      <c r="A64" s="2" t="s">
        <v>22</v>
      </c>
      <c r="B64" s="26" t="s">
        <v>201</v>
      </c>
      <c r="C64" s="26" t="s">
        <v>49</v>
      </c>
      <c r="D64" s="28" t="s">
        <v>7</v>
      </c>
      <c r="E64" s="28" t="s">
        <v>202</v>
      </c>
      <c r="F64" s="32">
        <v>332114</v>
      </c>
      <c r="G64" s="48" t="s">
        <v>203</v>
      </c>
      <c r="H64" s="48"/>
      <c r="I64" s="27" t="s">
        <v>126</v>
      </c>
      <c r="J64" s="27" t="s">
        <v>7</v>
      </c>
    </row>
    <row r="65" spans="1:10" x14ac:dyDescent="0.3">
      <c r="A65" s="2" t="s">
        <v>156</v>
      </c>
      <c r="B65" s="26" t="s">
        <v>204</v>
      </c>
      <c r="C65" s="26" t="s">
        <v>49</v>
      </c>
      <c r="D65" s="28" t="s">
        <v>7</v>
      </c>
      <c r="E65" s="28" t="s">
        <v>205</v>
      </c>
      <c r="F65" s="32">
        <v>12286</v>
      </c>
      <c r="G65" s="48" t="s">
        <v>206</v>
      </c>
      <c r="H65" s="48"/>
      <c r="I65" s="27" t="s">
        <v>207</v>
      </c>
      <c r="J65" s="27" t="s">
        <v>7</v>
      </c>
    </row>
    <row r="66" spans="1:10" ht="32.4" x14ac:dyDescent="0.3">
      <c r="A66" s="2" t="s">
        <v>53</v>
      </c>
      <c r="B66" s="26" t="s">
        <v>208</v>
      </c>
      <c r="C66" s="26" t="s">
        <v>209</v>
      </c>
      <c r="D66" s="28" t="s">
        <v>56</v>
      </c>
      <c r="E66" s="28" t="s">
        <v>210</v>
      </c>
      <c r="F66" s="32">
        <v>1400000</v>
      </c>
      <c r="G66" s="48" t="s">
        <v>211</v>
      </c>
      <c r="H66" s="48"/>
      <c r="I66" s="27" t="s">
        <v>212</v>
      </c>
      <c r="J66" s="27" t="s">
        <v>7</v>
      </c>
    </row>
    <row r="67" spans="1:10" ht="32.4" x14ac:dyDescent="0.3">
      <c r="A67" s="2" t="s">
        <v>53</v>
      </c>
      <c r="B67" s="26" t="s">
        <v>213</v>
      </c>
      <c r="C67" s="26" t="s">
        <v>214</v>
      </c>
      <c r="D67" s="28" t="s">
        <v>95</v>
      </c>
      <c r="E67" s="28" t="s">
        <v>215</v>
      </c>
      <c r="F67" s="32">
        <v>47407</v>
      </c>
      <c r="G67" s="48" t="s">
        <v>216</v>
      </c>
      <c r="H67" s="48"/>
      <c r="I67" s="27" t="s">
        <v>90</v>
      </c>
      <c r="J67" s="27" t="s">
        <v>7</v>
      </c>
    </row>
    <row r="68" spans="1:10" x14ac:dyDescent="0.3">
      <c r="A68" s="2" t="s">
        <v>22</v>
      </c>
      <c r="B68" s="26" t="s">
        <v>217</v>
      </c>
      <c r="C68" s="26" t="s">
        <v>158</v>
      </c>
      <c r="D68" s="28" t="s">
        <v>7</v>
      </c>
      <c r="E68" s="28" t="s">
        <v>218</v>
      </c>
      <c r="F68" s="32">
        <v>160164</v>
      </c>
      <c r="G68" s="48" t="s">
        <v>219</v>
      </c>
      <c r="H68" s="48"/>
      <c r="I68" s="27" t="s">
        <v>220</v>
      </c>
      <c r="J68" s="27" t="s">
        <v>7</v>
      </c>
    </row>
    <row r="69" spans="1:10" x14ac:dyDescent="0.3">
      <c r="A69" s="2" t="s">
        <v>22</v>
      </c>
      <c r="B69" s="26" t="s">
        <v>217</v>
      </c>
      <c r="C69" s="26" t="s">
        <v>49</v>
      </c>
      <c r="D69" s="28" t="s">
        <v>7</v>
      </c>
      <c r="E69" s="28" t="s">
        <v>221</v>
      </c>
      <c r="F69" s="32">
        <v>470000</v>
      </c>
      <c r="G69" s="48" t="s">
        <v>222</v>
      </c>
      <c r="H69" s="48"/>
      <c r="I69" s="27" t="s">
        <v>223</v>
      </c>
      <c r="J69" s="27" t="s">
        <v>7</v>
      </c>
    </row>
    <row r="70" spans="1:10" ht="32.4" x14ac:dyDescent="0.3">
      <c r="A70" s="2" t="s">
        <v>156</v>
      </c>
      <c r="B70" s="26" t="s">
        <v>217</v>
      </c>
      <c r="C70" s="26" t="s">
        <v>49</v>
      </c>
      <c r="D70" s="28" t="s">
        <v>7</v>
      </c>
      <c r="E70" s="28" t="s">
        <v>224</v>
      </c>
      <c r="F70" s="32">
        <v>72034</v>
      </c>
      <c r="G70" s="48" t="s">
        <v>225</v>
      </c>
      <c r="H70" s="48"/>
      <c r="I70" s="27" t="s">
        <v>155</v>
      </c>
      <c r="J70" s="27" t="s">
        <v>7</v>
      </c>
    </row>
    <row r="71" spans="1:10" ht="32.4" x14ac:dyDescent="0.3">
      <c r="A71" s="2" t="s">
        <v>53</v>
      </c>
      <c r="B71" s="26" t="s">
        <v>226</v>
      </c>
      <c r="C71" s="26" t="s">
        <v>227</v>
      </c>
      <c r="D71" s="28" t="s">
        <v>56</v>
      </c>
      <c r="E71" s="28" t="s">
        <v>228</v>
      </c>
      <c r="F71" s="32">
        <v>40000</v>
      </c>
      <c r="G71" s="48" t="s">
        <v>229</v>
      </c>
      <c r="H71" s="48"/>
      <c r="I71" s="27" t="s">
        <v>230</v>
      </c>
      <c r="J71" s="27" t="s">
        <v>7</v>
      </c>
    </row>
    <row r="72" spans="1:10" x14ac:dyDescent="0.3">
      <c r="A72" s="2" t="s">
        <v>156</v>
      </c>
      <c r="B72" s="26" t="s">
        <v>226</v>
      </c>
      <c r="C72" s="26" t="s">
        <v>49</v>
      </c>
      <c r="D72" s="28" t="s">
        <v>7</v>
      </c>
      <c r="E72" s="28" t="s">
        <v>231</v>
      </c>
      <c r="F72" s="32">
        <v>16680</v>
      </c>
      <c r="G72" s="48" t="s">
        <v>232</v>
      </c>
      <c r="H72" s="48"/>
      <c r="I72" s="27" t="s">
        <v>233</v>
      </c>
      <c r="J72" s="27" t="s">
        <v>7</v>
      </c>
    </row>
    <row r="73" spans="1:10" x14ac:dyDescent="0.3">
      <c r="A73" s="2" t="s">
        <v>156</v>
      </c>
      <c r="B73" s="26" t="s">
        <v>226</v>
      </c>
      <c r="C73" s="26" t="s">
        <v>49</v>
      </c>
      <c r="D73" s="28" t="s">
        <v>7</v>
      </c>
      <c r="E73" s="28" t="s">
        <v>234</v>
      </c>
      <c r="F73" s="32">
        <v>149800</v>
      </c>
      <c r="G73" s="48" t="s">
        <v>235</v>
      </c>
      <c r="H73" s="48"/>
      <c r="I73" s="27" t="s">
        <v>233</v>
      </c>
      <c r="J73" s="27" t="s">
        <v>7</v>
      </c>
    </row>
    <row r="74" spans="1:10" ht="32.4" x14ac:dyDescent="0.3">
      <c r="A74" s="2" t="s">
        <v>53</v>
      </c>
      <c r="B74" s="26" t="s">
        <v>236</v>
      </c>
      <c r="C74" s="26" t="s">
        <v>237</v>
      </c>
      <c r="D74" s="28" t="s">
        <v>56</v>
      </c>
      <c r="E74" s="28" t="s">
        <v>238</v>
      </c>
      <c r="F74" s="32">
        <v>11940</v>
      </c>
      <c r="G74" s="48" t="s">
        <v>239</v>
      </c>
      <c r="H74" s="48"/>
      <c r="I74" s="27" t="s">
        <v>240</v>
      </c>
      <c r="J74" s="27" t="s">
        <v>7</v>
      </c>
    </row>
    <row r="75" spans="1:10" ht="32.4" x14ac:dyDescent="0.3">
      <c r="A75" s="2" t="s">
        <v>53</v>
      </c>
      <c r="B75" s="26" t="s">
        <v>236</v>
      </c>
      <c r="C75" s="26" t="s">
        <v>241</v>
      </c>
      <c r="D75" s="28" t="s">
        <v>95</v>
      </c>
      <c r="E75" s="28" t="s">
        <v>242</v>
      </c>
      <c r="F75" s="32">
        <v>35000</v>
      </c>
      <c r="G75" s="48" t="s">
        <v>243</v>
      </c>
      <c r="H75" s="48"/>
      <c r="I75" s="27" t="s">
        <v>101</v>
      </c>
      <c r="J75" s="27" t="s">
        <v>7</v>
      </c>
    </row>
    <row r="76" spans="1:10" ht="32.4" x14ac:dyDescent="0.3">
      <c r="A76" s="2" t="s">
        <v>53</v>
      </c>
      <c r="B76" s="26" t="s">
        <v>236</v>
      </c>
      <c r="C76" s="26" t="s">
        <v>244</v>
      </c>
      <c r="D76" s="28" t="s">
        <v>56</v>
      </c>
      <c r="E76" s="28" t="s">
        <v>245</v>
      </c>
      <c r="F76" s="32">
        <v>149993</v>
      </c>
      <c r="G76" s="48" t="s">
        <v>246</v>
      </c>
      <c r="H76" s="48"/>
      <c r="I76" s="27" t="s">
        <v>67</v>
      </c>
      <c r="J76" s="27" t="s">
        <v>7</v>
      </c>
    </row>
    <row r="77" spans="1:10" x14ac:dyDescent="0.3">
      <c r="A77" s="2" t="s">
        <v>22</v>
      </c>
      <c r="B77" s="26" t="s">
        <v>247</v>
      </c>
      <c r="C77" s="26" t="s">
        <v>49</v>
      </c>
      <c r="D77" s="28" t="s">
        <v>7</v>
      </c>
      <c r="E77" s="28" t="s">
        <v>248</v>
      </c>
      <c r="F77" s="32">
        <v>41000</v>
      </c>
      <c r="G77" s="48" t="s">
        <v>249</v>
      </c>
      <c r="H77" s="48"/>
      <c r="I77" s="27" t="s">
        <v>123</v>
      </c>
      <c r="J77" s="27" t="s">
        <v>7</v>
      </c>
    </row>
    <row r="78" spans="1:10" x14ac:dyDescent="0.3">
      <c r="A78" s="2" t="s">
        <v>22</v>
      </c>
      <c r="B78" s="26" t="s">
        <v>247</v>
      </c>
      <c r="C78" s="26" t="s">
        <v>158</v>
      </c>
      <c r="D78" s="28" t="s">
        <v>7</v>
      </c>
      <c r="E78" s="28" t="s">
        <v>250</v>
      </c>
      <c r="F78" s="32">
        <v>61741</v>
      </c>
      <c r="G78" s="48" t="s">
        <v>251</v>
      </c>
      <c r="H78" s="48"/>
      <c r="I78" s="27" t="s">
        <v>123</v>
      </c>
      <c r="J78" s="27" t="s">
        <v>7</v>
      </c>
    </row>
    <row r="79" spans="1:10" x14ac:dyDescent="0.3">
      <c r="A79" s="2" t="s">
        <v>22</v>
      </c>
      <c r="B79" s="26" t="s">
        <v>247</v>
      </c>
      <c r="C79" s="26" t="s">
        <v>158</v>
      </c>
      <c r="D79" s="28" t="s">
        <v>7</v>
      </c>
      <c r="E79" s="28" t="s">
        <v>252</v>
      </c>
      <c r="F79" s="32">
        <v>91136</v>
      </c>
      <c r="G79" s="48" t="s">
        <v>253</v>
      </c>
      <c r="H79" s="48"/>
      <c r="I79" s="27" t="s">
        <v>254</v>
      </c>
      <c r="J79" s="27" t="s">
        <v>7</v>
      </c>
    </row>
    <row r="80" spans="1:10" x14ac:dyDescent="0.3">
      <c r="A80" s="2" t="s">
        <v>22</v>
      </c>
      <c r="B80" s="26" t="s">
        <v>247</v>
      </c>
      <c r="C80" s="26" t="s">
        <v>49</v>
      </c>
      <c r="D80" s="28" t="s">
        <v>7</v>
      </c>
      <c r="E80" s="28" t="s">
        <v>255</v>
      </c>
      <c r="F80" s="32">
        <v>378864</v>
      </c>
      <c r="G80" s="48" t="s">
        <v>256</v>
      </c>
      <c r="H80" s="48"/>
      <c r="I80" s="27" t="s">
        <v>254</v>
      </c>
      <c r="J80" s="27" t="s">
        <v>7</v>
      </c>
    </row>
    <row r="81" spans="1:10" x14ac:dyDescent="0.3">
      <c r="A81" s="2" t="s">
        <v>22</v>
      </c>
      <c r="B81" s="26" t="s">
        <v>257</v>
      </c>
      <c r="C81" s="26" t="s">
        <v>49</v>
      </c>
      <c r="D81" s="28" t="s">
        <v>7</v>
      </c>
      <c r="E81" s="28" t="s">
        <v>258</v>
      </c>
      <c r="F81" s="32">
        <v>1355150</v>
      </c>
      <c r="G81" s="48" t="s">
        <v>259</v>
      </c>
      <c r="H81" s="48"/>
      <c r="I81" s="27" t="s">
        <v>260</v>
      </c>
      <c r="J81" s="27" t="s">
        <v>7</v>
      </c>
    </row>
    <row r="82" spans="1:10" x14ac:dyDescent="0.3">
      <c r="A82" s="2" t="s">
        <v>156</v>
      </c>
      <c r="B82" s="26" t="s">
        <v>257</v>
      </c>
      <c r="C82" s="26" t="s">
        <v>158</v>
      </c>
      <c r="D82" s="28" t="s">
        <v>7</v>
      </c>
      <c r="E82" s="28" t="s">
        <v>261</v>
      </c>
      <c r="F82" s="32">
        <v>75165</v>
      </c>
      <c r="G82" s="48" t="s">
        <v>262</v>
      </c>
      <c r="H82" s="48"/>
      <c r="I82" s="27" t="s">
        <v>263</v>
      </c>
      <c r="J82" s="27" t="s">
        <v>7</v>
      </c>
    </row>
    <row r="83" spans="1:10" x14ac:dyDescent="0.3">
      <c r="A83" s="2" t="s">
        <v>156</v>
      </c>
      <c r="B83" s="26" t="s">
        <v>257</v>
      </c>
      <c r="C83" s="26" t="s">
        <v>158</v>
      </c>
      <c r="D83" s="28" t="s">
        <v>7</v>
      </c>
      <c r="E83" s="28" t="s">
        <v>264</v>
      </c>
      <c r="F83" s="32">
        <v>35000</v>
      </c>
      <c r="G83" s="48" t="s">
        <v>7</v>
      </c>
      <c r="H83" s="48"/>
      <c r="I83" s="27" t="s">
        <v>265</v>
      </c>
      <c r="J83" s="27" t="s">
        <v>7</v>
      </c>
    </row>
    <row r="84" spans="1:10" x14ac:dyDescent="0.3">
      <c r="A84" s="2" t="s">
        <v>156</v>
      </c>
      <c r="B84" s="26" t="s">
        <v>257</v>
      </c>
      <c r="C84" s="26" t="s">
        <v>158</v>
      </c>
      <c r="D84" s="28" t="s">
        <v>7</v>
      </c>
      <c r="E84" s="28" t="s">
        <v>266</v>
      </c>
      <c r="F84" s="32">
        <v>44725</v>
      </c>
      <c r="G84" s="48" t="s">
        <v>267</v>
      </c>
      <c r="H84" s="48"/>
      <c r="I84" s="27" t="s">
        <v>268</v>
      </c>
      <c r="J84" s="27" t="s">
        <v>7</v>
      </c>
    </row>
    <row r="85" spans="1:10" x14ac:dyDescent="0.3">
      <c r="A85" s="2" t="s">
        <v>22</v>
      </c>
      <c r="B85" s="26" t="s">
        <v>269</v>
      </c>
      <c r="C85" s="26" t="s">
        <v>49</v>
      </c>
      <c r="D85" s="28" t="s">
        <v>7</v>
      </c>
      <c r="E85" s="28" t="s">
        <v>270</v>
      </c>
      <c r="F85" s="32">
        <v>500000</v>
      </c>
      <c r="G85" s="48" t="s">
        <v>271</v>
      </c>
      <c r="H85" s="48"/>
      <c r="I85" s="27" t="s">
        <v>272</v>
      </c>
      <c r="J85" s="27" t="s">
        <v>7</v>
      </c>
    </row>
    <row r="86" spans="1:10" x14ac:dyDescent="0.3">
      <c r="A86" s="2" t="s">
        <v>22</v>
      </c>
      <c r="B86" s="26" t="s">
        <v>273</v>
      </c>
      <c r="C86" s="26" t="s">
        <v>49</v>
      </c>
      <c r="D86" s="28" t="s">
        <v>7</v>
      </c>
      <c r="E86" s="28" t="s">
        <v>274</v>
      </c>
      <c r="F86" s="32">
        <v>522000</v>
      </c>
      <c r="G86" s="48" t="s">
        <v>275</v>
      </c>
      <c r="H86" s="48"/>
      <c r="I86" s="27" t="s">
        <v>114</v>
      </c>
      <c r="J86" s="27" t="s">
        <v>7</v>
      </c>
    </row>
    <row r="87" spans="1:10" x14ac:dyDescent="0.3">
      <c r="A87" s="2" t="s">
        <v>156</v>
      </c>
      <c r="B87" s="26" t="s">
        <v>273</v>
      </c>
      <c r="C87" s="26" t="s">
        <v>49</v>
      </c>
      <c r="D87" s="28" t="s">
        <v>7</v>
      </c>
      <c r="E87" s="28" t="s">
        <v>276</v>
      </c>
      <c r="F87" s="32">
        <v>13417</v>
      </c>
      <c r="G87" s="48" t="s">
        <v>277</v>
      </c>
      <c r="H87" s="48"/>
      <c r="I87" s="27" t="s">
        <v>90</v>
      </c>
      <c r="J87" s="27" t="s">
        <v>7</v>
      </c>
    </row>
    <row r="88" spans="1:10" x14ac:dyDescent="0.3">
      <c r="A88" s="2" t="s">
        <v>156</v>
      </c>
      <c r="B88" s="26" t="s">
        <v>273</v>
      </c>
      <c r="C88" s="26" t="s">
        <v>49</v>
      </c>
      <c r="D88" s="28" t="s">
        <v>7</v>
      </c>
      <c r="E88" s="28" t="s">
        <v>278</v>
      </c>
      <c r="F88" s="32">
        <v>27950</v>
      </c>
      <c r="G88" s="48" t="s">
        <v>279</v>
      </c>
      <c r="H88" s="48"/>
      <c r="I88" s="27" t="s">
        <v>280</v>
      </c>
      <c r="J88" s="27" t="s">
        <v>7</v>
      </c>
    </row>
    <row r="89" spans="1:10" x14ac:dyDescent="0.3">
      <c r="A89" s="2" t="s">
        <v>156</v>
      </c>
      <c r="B89" s="26" t="s">
        <v>273</v>
      </c>
      <c r="C89" s="26" t="s">
        <v>158</v>
      </c>
      <c r="D89" s="28" t="s">
        <v>7</v>
      </c>
      <c r="E89" s="28" t="s">
        <v>281</v>
      </c>
      <c r="F89" s="32">
        <v>184770</v>
      </c>
      <c r="G89" s="48" t="s">
        <v>282</v>
      </c>
      <c r="H89" s="48"/>
      <c r="I89" s="27" t="s">
        <v>126</v>
      </c>
      <c r="J89" s="27" t="s">
        <v>7</v>
      </c>
    </row>
    <row r="90" spans="1:10" x14ac:dyDescent="0.3">
      <c r="A90" s="2" t="s">
        <v>156</v>
      </c>
      <c r="B90" s="26" t="s">
        <v>273</v>
      </c>
      <c r="C90" s="26" t="s">
        <v>158</v>
      </c>
      <c r="D90" s="28" t="s">
        <v>7</v>
      </c>
      <c r="E90" s="28" t="s">
        <v>283</v>
      </c>
      <c r="F90" s="32">
        <v>140000</v>
      </c>
      <c r="G90" s="48" t="s">
        <v>284</v>
      </c>
      <c r="H90" s="48"/>
      <c r="I90" s="27" t="s">
        <v>145</v>
      </c>
      <c r="J90" s="27" t="s">
        <v>7</v>
      </c>
    </row>
    <row r="91" spans="1:10" ht="32.4" x14ac:dyDescent="0.3">
      <c r="A91" s="2" t="s">
        <v>53</v>
      </c>
      <c r="B91" s="26" t="s">
        <v>285</v>
      </c>
      <c r="C91" s="26" t="s">
        <v>286</v>
      </c>
      <c r="D91" s="28" t="s">
        <v>56</v>
      </c>
      <c r="E91" s="28" t="s">
        <v>287</v>
      </c>
      <c r="F91" s="32">
        <v>139500</v>
      </c>
      <c r="G91" s="48" t="s">
        <v>288</v>
      </c>
      <c r="H91" s="48"/>
      <c r="I91" s="27" t="s">
        <v>289</v>
      </c>
      <c r="J91" s="27" t="s">
        <v>7</v>
      </c>
    </row>
    <row r="92" spans="1:10" ht="32.4" x14ac:dyDescent="0.3">
      <c r="A92" s="2" t="s">
        <v>53</v>
      </c>
      <c r="B92" s="26" t="s">
        <v>285</v>
      </c>
      <c r="C92" s="26" t="s">
        <v>290</v>
      </c>
      <c r="D92" s="28" t="s">
        <v>56</v>
      </c>
      <c r="E92" s="28" t="s">
        <v>291</v>
      </c>
      <c r="F92" s="32">
        <v>209572</v>
      </c>
      <c r="G92" s="48" t="s">
        <v>292</v>
      </c>
      <c r="H92" s="48"/>
      <c r="I92" s="27" t="s">
        <v>67</v>
      </c>
      <c r="J92" s="27" t="s">
        <v>7</v>
      </c>
    </row>
    <row r="93" spans="1:10" x14ac:dyDescent="0.3">
      <c r="A93" s="2" t="s">
        <v>22</v>
      </c>
      <c r="B93" s="26" t="s">
        <v>285</v>
      </c>
      <c r="C93" s="26" t="s">
        <v>158</v>
      </c>
      <c r="D93" s="28" t="s">
        <v>7</v>
      </c>
      <c r="E93" s="28" t="s">
        <v>293</v>
      </c>
      <c r="F93" s="32">
        <v>480000</v>
      </c>
      <c r="G93" s="48" t="s">
        <v>294</v>
      </c>
      <c r="H93" s="48"/>
      <c r="I93" s="27" t="s">
        <v>145</v>
      </c>
      <c r="J93" s="27" t="s">
        <v>7</v>
      </c>
    </row>
    <row r="94" spans="1:10" x14ac:dyDescent="0.3">
      <c r="A94" s="2" t="s">
        <v>156</v>
      </c>
      <c r="B94" s="26" t="s">
        <v>285</v>
      </c>
      <c r="C94" s="26" t="s">
        <v>49</v>
      </c>
      <c r="D94" s="28" t="s">
        <v>7</v>
      </c>
      <c r="E94" s="28" t="s">
        <v>295</v>
      </c>
      <c r="F94" s="32">
        <v>40000</v>
      </c>
      <c r="G94" s="48" t="s">
        <v>296</v>
      </c>
      <c r="H94" s="48"/>
      <c r="I94" s="27" t="s">
        <v>297</v>
      </c>
      <c r="J94" s="27" t="s">
        <v>7</v>
      </c>
    </row>
    <row r="95" spans="1:10" x14ac:dyDescent="0.3">
      <c r="A95" s="2" t="s">
        <v>156</v>
      </c>
      <c r="B95" s="26" t="s">
        <v>285</v>
      </c>
      <c r="C95" s="26" t="s">
        <v>158</v>
      </c>
      <c r="D95" s="28" t="s">
        <v>7</v>
      </c>
      <c r="E95" s="28" t="s">
        <v>298</v>
      </c>
      <c r="F95" s="32">
        <v>227720</v>
      </c>
      <c r="G95" s="48" t="s">
        <v>299</v>
      </c>
      <c r="H95" s="48"/>
      <c r="I95" s="27" t="s">
        <v>145</v>
      </c>
      <c r="J95" s="27" t="s">
        <v>7</v>
      </c>
    </row>
    <row r="96" spans="1:10" ht="32.4" x14ac:dyDescent="0.3">
      <c r="A96" s="2" t="s">
        <v>53</v>
      </c>
      <c r="B96" s="26" t="s">
        <v>300</v>
      </c>
      <c r="C96" s="26" t="s">
        <v>301</v>
      </c>
      <c r="D96" s="28" t="s">
        <v>56</v>
      </c>
      <c r="E96" s="28" t="s">
        <v>302</v>
      </c>
      <c r="F96" s="32">
        <v>305275</v>
      </c>
      <c r="G96" s="48" t="s">
        <v>303</v>
      </c>
      <c r="H96" s="48"/>
      <c r="I96" s="27" t="s">
        <v>268</v>
      </c>
      <c r="J96" s="27" t="s">
        <v>7</v>
      </c>
    </row>
    <row r="97" spans="1:10" ht="32.4" x14ac:dyDescent="0.3">
      <c r="A97" s="2" t="s">
        <v>53</v>
      </c>
      <c r="B97" s="26" t="s">
        <v>300</v>
      </c>
      <c r="C97" s="26" t="s">
        <v>304</v>
      </c>
      <c r="D97" s="28" t="s">
        <v>56</v>
      </c>
      <c r="E97" s="28" t="s">
        <v>305</v>
      </c>
      <c r="F97" s="32">
        <v>34875</v>
      </c>
      <c r="G97" s="48" t="s">
        <v>306</v>
      </c>
      <c r="H97" s="48"/>
      <c r="I97" s="27" t="s">
        <v>90</v>
      </c>
      <c r="J97" s="27" t="s">
        <v>7</v>
      </c>
    </row>
    <row r="98" spans="1:10" ht="32.4" x14ac:dyDescent="0.3">
      <c r="A98" s="2" t="s">
        <v>53</v>
      </c>
      <c r="B98" s="26" t="s">
        <v>307</v>
      </c>
      <c r="C98" s="26" t="s">
        <v>308</v>
      </c>
      <c r="D98" s="28" t="s">
        <v>56</v>
      </c>
      <c r="E98" s="28" t="s">
        <v>309</v>
      </c>
      <c r="F98" s="32">
        <v>26000</v>
      </c>
      <c r="G98" s="48" t="s">
        <v>310</v>
      </c>
      <c r="H98" s="48"/>
      <c r="I98" s="27" t="s">
        <v>311</v>
      </c>
      <c r="J98" s="27" t="s">
        <v>7</v>
      </c>
    </row>
    <row r="99" spans="1:10" ht="32.4" x14ac:dyDescent="0.3">
      <c r="A99" s="2" t="s">
        <v>53</v>
      </c>
      <c r="B99" s="26" t="s">
        <v>307</v>
      </c>
      <c r="C99" s="26" t="s">
        <v>312</v>
      </c>
      <c r="D99" s="28" t="s">
        <v>56</v>
      </c>
      <c r="E99" s="28" t="s">
        <v>313</v>
      </c>
      <c r="F99" s="32">
        <v>33640</v>
      </c>
      <c r="G99" s="48" t="s">
        <v>314</v>
      </c>
      <c r="H99" s="48"/>
      <c r="I99" s="27" t="s">
        <v>315</v>
      </c>
      <c r="J99" s="27" t="s">
        <v>7</v>
      </c>
    </row>
    <row r="100" spans="1:10" ht="32.4" x14ac:dyDescent="0.3">
      <c r="A100" s="2" t="s">
        <v>53</v>
      </c>
      <c r="B100" s="26" t="s">
        <v>307</v>
      </c>
      <c r="C100" s="26" t="s">
        <v>316</v>
      </c>
      <c r="D100" s="28" t="s">
        <v>95</v>
      </c>
      <c r="E100" s="28" t="s">
        <v>317</v>
      </c>
      <c r="F100" s="32">
        <v>47617</v>
      </c>
      <c r="G100" s="48" t="s">
        <v>318</v>
      </c>
      <c r="H100" s="48"/>
      <c r="I100" s="27" t="s">
        <v>114</v>
      </c>
      <c r="J100" s="27" t="s">
        <v>7</v>
      </c>
    </row>
    <row r="101" spans="1:10" x14ac:dyDescent="0.3">
      <c r="A101" s="2" t="s">
        <v>156</v>
      </c>
      <c r="B101" s="26" t="s">
        <v>307</v>
      </c>
      <c r="C101" s="26" t="s">
        <v>49</v>
      </c>
      <c r="D101" s="28" t="s">
        <v>7</v>
      </c>
      <c r="E101" s="28" t="s">
        <v>319</v>
      </c>
      <c r="F101" s="32">
        <v>50000</v>
      </c>
      <c r="G101" s="48" t="s">
        <v>320</v>
      </c>
      <c r="H101" s="48"/>
      <c r="I101" s="27" t="s">
        <v>321</v>
      </c>
      <c r="J101" s="27" t="s">
        <v>7</v>
      </c>
    </row>
    <row r="102" spans="1:10" ht="32.4" x14ac:dyDescent="0.3">
      <c r="A102" s="2" t="s">
        <v>53</v>
      </c>
      <c r="B102" s="26" t="s">
        <v>322</v>
      </c>
      <c r="C102" s="26" t="s">
        <v>323</v>
      </c>
      <c r="D102" s="28" t="s">
        <v>95</v>
      </c>
      <c r="E102" s="28" t="s">
        <v>324</v>
      </c>
      <c r="F102" s="32">
        <v>39447</v>
      </c>
      <c r="G102" s="48" t="s">
        <v>325</v>
      </c>
      <c r="H102" s="48"/>
      <c r="I102" s="27" t="s">
        <v>126</v>
      </c>
      <c r="J102" s="27" t="s">
        <v>7</v>
      </c>
    </row>
    <row r="103" spans="1:10" ht="32.4" x14ac:dyDescent="0.3">
      <c r="A103" s="2" t="s">
        <v>53</v>
      </c>
      <c r="B103" s="26" t="s">
        <v>322</v>
      </c>
      <c r="C103" s="26" t="s">
        <v>326</v>
      </c>
      <c r="D103" s="28" t="s">
        <v>56</v>
      </c>
      <c r="E103" s="28" t="s">
        <v>327</v>
      </c>
      <c r="F103" s="32">
        <v>130007</v>
      </c>
      <c r="G103" s="48" t="s">
        <v>328</v>
      </c>
      <c r="H103" s="48"/>
      <c r="I103" s="27" t="s">
        <v>67</v>
      </c>
      <c r="J103" s="27" t="s">
        <v>7</v>
      </c>
    </row>
    <row r="104" spans="1:10" ht="32.4" x14ac:dyDescent="0.3">
      <c r="A104" s="2" t="s">
        <v>53</v>
      </c>
      <c r="B104" s="26" t="s">
        <v>322</v>
      </c>
      <c r="C104" s="26" t="s">
        <v>329</v>
      </c>
      <c r="D104" s="28" t="s">
        <v>95</v>
      </c>
      <c r="E104" s="28" t="s">
        <v>330</v>
      </c>
      <c r="F104" s="32">
        <v>24200</v>
      </c>
      <c r="G104" s="48" t="s">
        <v>331</v>
      </c>
      <c r="H104" s="48"/>
      <c r="I104" s="27" t="s">
        <v>183</v>
      </c>
      <c r="J104" s="27" t="s">
        <v>7</v>
      </c>
    </row>
    <row r="105" spans="1:10" ht="32.4" x14ac:dyDescent="0.3">
      <c r="A105" s="2" t="s">
        <v>53</v>
      </c>
      <c r="B105" s="26" t="s">
        <v>322</v>
      </c>
      <c r="C105" s="26" t="s">
        <v>332</v>
      </c>
      <c r="D105" s="28" t="s">
        <v>180</v>
      </c>
      <c r="E105" s="28" t="s">
        <v>333</v>
      </c>
      <c r="F105" s="32">
        <v>42000</v>
      </c>
      <c r="G105" s="48" t="s">
        <v>334</v>
      </c>
      <c r="H105" s="48"/>
      <c r="I105" s="27" t="s">
        <v>183</v>
      </c>
      <c r="J105" s="27" t="s">
        <v>7</v>
      </c>
    </row>
    <row r="106" spans="1:10" ht="32.4" x14ac:dyDescent="0.3">
      <c r="A106" s="2" t="s">
        <v>53</v>
      </c>
      <c r="B106" s="26" t="s">
        <v>322</v>
      </c>
      <c r="C106" s="26" t="s">
        <v>335</v>
      </c>
      <c r="D106" s="28" t="s">
        <v>56</v>
      </c>
      <c r="E106" s="28" t="s">
        <v>336</v>
      </c>
      <c r="F106" s="32">
        <v>42000</v>
      </c>
      <c r="G106" s="48" t="s">
        <v>337</v>
      </c>
      <c r="H106" s="48"/>
      <c r="I106" s="27" t="s">
        <v>200</v>
      </c>
      <c r="J106" s="27" t="s">
        <v>7</v>
      </c>
    </row>
    <row r="107" spans="1:10" ht="32.4" x14ac:dyDescent="0.3">
      <c r="A107" s="2" t="s">
        <v>53</v>
      </c>
      <c r="B107" s="26" t="s">
        <v>322</v>
      </c>
      <c r="C107" s="26" t="s">
        <v>338</v>
      </c>
      <c r="D107" s="28" t="s">
        <v>56</v>
      </c>
      <c r="E107" s="28" t="s">
        <v>339</v>
      </c>
      <c r="F107" s="32">
        <v>36460</v>
      </c>
      <c r="G107" s="48" t="s">
        <v>340</v>
      </c>
      <c r="H107" s="48"/>
      <c r="I107" s="27" t="s">
        <v>200</v>
      </c>
      <c r="J107" s="27" t="s">
        <v>7</v>
      </c>
    </row>
    <row r="108" spans="1:10" ht="32.4" x14ac:dyDescent="0.3">
      <c r="A108" s="2" t="s">
        <v>53</v>
      </c>
      <c r="B108" s="26" t="s">
        <v>322</v>
      </c>
      <c r="C108" s="26" t="s">
        <v>341</v>
      </c>
      <c r="D108" s="28" t="s">
        <v>56</v>
      </c>
      <c r="E108" s="28" t="s">
        <v>342</v>
      </c>
      <c r="F108" s="32">
        <v>107700</v>
      </c>
      <c r="G108" s="48" t="s">
        <v>343</v>
      </c>
      <c r="H108" s="48"/>
      <c r="I108" s="27" t="s">
        <v>101</v>
      </c>
      <c r="J108" s="27" t="s">
        <v>7</v>
      </c>
    </row>
    <row r="109" spans="1:10" ht="32.4" x14ac:dyDescent="0.3">
      <c r="A109" s="2" t="s">
        <v>53</v>
      </c>
      <c r="B109" s="26" t="s">
        <v>322</v>
      </c>
      <c r="C109" s="26" t="s">
        <v>344</v>
      </c>
      <c r="D109" s="28" t="s">
        <v>56</v>
      </c>
      <c r="E109" s="28" t="s">
        <v>345</v>
      </c>
      <c r="F109" s="32">
        <v>83290</v>
      </c>
      <c r="G109" s="48" t="s">
        <v>346</v>
      </c>
      <c r="H109" s="48"/>
      <c r="I109" s="27" t="s">
        <v>347</v>
      </c>
      <c r="J109" s="27" t="s">
        <v>7</v>
      </c>
    </row>
    <row r="110" spans="1:10" ht="32.4" x14ac:dyDescent="0.3">
      <c r="A110" s="2" t="s">
        <v>22</v>
      </c>
      <c r="B110" s="26" t="s">
        <v>322</v>
      </c>
      <c r="C110" s="26" t="s">
        <v>49</v>
      </c>
      <c r="D110" s="28" t="s">
        <v>7</v>
      </c>
      <c r="E110" s="28" t="s">
        <v>348</v>
      </c>
      <c r="F110" s="32">
        <v>158102</v>
      </c>
      <c r="G110" s="48" t="s">
        <v>349</v>
      </c>
      <c r="H110" s="48"/>
      <c r="I110" s="27" t="s">
        <v>72</v>
      </c>
      <c r="J110" s="27" t="s">
        <v>7</v>
      </c>
    </row>
    <row r="111" spans="1:10" ht="32.4" x14ac:dyDescent="0.3">
      <c r="A111" s="2" t="s">
        <v>53</v>
      </c>
      <c r="B111" s="26" t="s">
        <v>350</v>
      </c>
      <c r="C111" s="26" t="s">
        <v>351</v>
      </c>
      <c r="D111" s="28" t="s">
        <v>56</v>
      </c>
      <c r="E111" s="28" t="s">
        <v>352</v>
      </c>
      <c r="F111" s="32">
        <v>135000</v>
      </c>
      <c r="G111" s="48" t="s">
        <v>353</v>
      </c>
      <c r="H111" s="48"/>
      <c r="I111" s="27" t="s">
        <v>354</v>
      </c>
      <c r="J111" s="27" t="s">
        <v>7</v>
      </c>
    </row>
    <row r="112" spans="1:10" ht="32.4" x14ac:dyDescent="0.3">
      <c r="A112" s="2" t="s">
        <v>53</v>
      </c>
      <c r="B112" s="26" t="s">
        <v>355</v>
      </c>
      <c r="C112" s="26" t="s">
        <v>356</v>
      </c>
      <c r="D112" s="28" t="s">
        <v>56</v>
      </c>
      <c r="E112" s="28" t="s">
        <v>357</v>
      </c>
      <c r="F112" s="32">
        <v>34875</v>
      </c>
      <c r="G112" s="48" t="s">
        <v>358</v>
      </c>
      <c r="H112" s="48"/>
      <c r="I112" s="27" t="s">
        <v>359</v>
      </c>
      <c r="J112" s="27" t="s">
        <v>7</v>
      </c>
    </row>
    <row r="113" spans="1:10" x14ac:dyDescent="0.3">
      <c r="A113" s="2" t="s">
        <v>22</v>
      </c>
      <c r="B113" s="26" t="s">
        <v>355</v>
      </c>
      <c r="C113" s="26" t="s">
        <v>49</v>
      </c>
      <c r="D113" s="28" t="s">
        <v>7</v>
      </c>
      <c r="E113" s="28" t="s">
        <v>360</v>
      </c>
      <c r="F113" s="32">
        <v>54527</v>
      </c>
      <c r="G113" s="48" t="s">
        <v>361</v>
      </c>
      <c r="H113" s="48"/>
      <c r="I113" s="27" t="s">
        <v>359</v>
      </c>
      <c r="J113" s="27" t="s">
        <v>7</v>
      </c>
    </row>
    <row r="114" spans="1:10" ht="32.4" x14ac:dyDescent="0.3">
      <c r="A114" s="2" t="s">
        <v>22</v>
      </c>
      <c r="B114" s="26" t="s">
        <v>355</v>
      </c>
      <c r="C114" s="26" t="s">
        <v>158</v>
      </c>
      <c r="D114" s="28" t="s">
        <v>7</v>
      </c>
      <c r="E114" s="28" t="s">
        <v>362</v>
      </c>
      <c r="F114" s="32">
        <v>1400000</v>
      </c>
      <c r="G114" s="48" t="s">
        <v>363</v>
      </c>
      <c r="H114" s="48"/>
      <c r="I114" s="27" t="s">
        <v>364</v>
      </c>
      <c r="J114" s="27" t="s">
        <v>7</v>
      </c>
    </row>
    <row r="115" spans="1:10" x14ac:dyDescent="0.3">
      <c r="A115" s="2" t="s">
        <v>156</v>
      </c>
      <c r="B115" s="26" t="s">
        <v>355</v>
      </c>
      <c r="C115" s="26" t="s">
        <v>158</v>
      </c>
      <c r="D115" s="28" t="s">
        <v>7</v>
      </c>
      <c r="E115" s="28" t="s">
        <v>365</v>
      </c>
      <c r="F115" s="32">
        <v>35000</v>
      </c>
      <c r="G115" s="48" t="s">
        <v>366</v>
      </c>
      <c r="H115" s="48"/>
      <c r="I115" s="27" t="s">
        <v>123</v>
      </c>
      <c r="J115" s="27" t="s">
        <v>7</v>
      </c>
    </row>
    <row r="116" spans="1:10" ht="32.4" x14ac:dyDescent="0.3">
      <c r="A116" s="2" t="s">
        <v>53</v>
      </c>
      <c r="B116" s="26" t="s">
        <v>367</v>
      </c>
      <c r="C116" s="26" t="s">
        <v>368</v>
      </c>
      <c r="D116" s="28" t="s">
        <v>95</v>
      </c>
      <c r="E116" s="28" t="s">
        <v>369</v>
      </c>
      <c r="F116" s="32">
        <v>103500</v>
      </c>
      <c r="G116" s="48" t="s">
        <v>370</v>
      </c>
      <c r="H116" s="48"/>
      <c r="I116" s="27" t="s">
        <v>183</v>
      </c>
      <c r="J116" s="27" t="s">
        <v>7</v>
      </c>
    </row>
    <row r="117" spans="1:10" ht="32.4" x14ac:dyDescent="0.3">
      <c r="A117" s="2" t="s">
        <v>53</v>
      </c>
      <c r="B117" s="26" t="s">
        <v>367</v>
      </c>
      <c r="C117" s="26" t="s">
        <v>368</v>
      </c>
      <c r="D117" s="28" t="s">
        <v>56</v>
      </c>
      <c r="E117" s="28" t="s">
        <v>369</v>
      </c>
      <c r="F117" s="32">
        <v>37250</v>
      </c>
      <c r="G117" s="48" t="s">
        <v>370</v>
      </c>
      <c r="H117" s="48"/>
      <c r="I117" s="27" t="s">
        <v>183</v>
      </c>
      <c r="J117" s="27" t="s">
        <v>7</v>
      </c>
    </row>
    <row r="118" spans="1:10" ht="32.4" x14ac:dyDescent="0.3">
      <c r="A118" s="2" t="s">
        <v>53</v>
      </c>
      <c r="B118" s="26" t="s">
        <v>367</v>
      </c>
      <c r="C118" s="26" t="s">
        <v>371</v>
      </c>
      <c r="D118" s="28" t="s">
        <v>56</v>
      </c>
      <c r="E118" s="28" t="s">
        <v>372</v>
      </c>
      <c r="F118" s="32">
        <v>32056</v>
      </c>
      <c r="G118" s="48" t="s">
        <v>373</v>
      </c>
      <c r="H118" s="48"/>
      <c r="I118" s="27" t="s">
        <v>315</v>
      </c>
      <c r="J118" s="27" t="s">
        <v>7</v>
      </c>
    </row>
    <row r="119" spans="1:10" ht="32.4" x14ac:dyDescent="0.3">
      <c r="A119" s="2" t="s">
        <v>53</v>
      </c>
      <c r="B119" s="26" t="s">
        <v>367</v>
      </c>
      <c r="C119" s="26" t="s">
        <v>374</v>
      </c>
      <c r="D119" s="28" t="s">
        <v>95</v>
      </c>
      <c r="E119" s="28" t="s">
        <v>375</v>
      </c>
      <c r="F119" s="32">
        <v>103094</v>
      </c>
      <c r="G119" s="48" t="s">
        <v>376</v>
      </c>
      <c r="H119" s="48"/>
      <c r="I119" s="27" t="s">
        <v>377</v>
      </c>
      <c r="J119" s="27" t="s">
        <v>7</v>
      </c>
    </row>
    <row r="120" spans="1:10" x14ac:dyDescent="0.3">
      <c r="A120" s="2" t="s">
        <v>156</v>
      </c>
      <c r="B120" s="26" t="s">
        <v>367</v>
      </c>
      <c r="C120" s="26" t="s">
        <v>49</v>
      </c>
      <c r="D120" s="28" t="s">
        <v>7</v>
      </c>
      <c r="E120" s="28" t="s">
        <v>378</v>
      </c>
      <c r="F120" s="32">
        <v>442410</v>
      </c>
      <c r="G120" s="48" t="s">
        <v>379</v>
      </c>
      <c r="H120" s="48"/>
      <c r="I120" s="27" t="s">
        <v>7</v>
      </c>
      <c r="J120" s="27" t="s">
        <v>7</v>
      </c>
    </row>
    <row r="121" spans="1:10" x14ac:dyDescent="0.3">
      <c r="A121" s="2" t="s">
        <v>156</v>
      </c>
      <c r="B121" s="26" t="s">
        <v>367</v>
      </c>
      <c r="C121" s="26" t="s">
        <v>49</v>
      </c>
      <c r="D121" s="28" t="s">
        <v>7</v>
      </c>
      <c r="E121" s="28" t="s">
        <v>380</v>
      </c>
      <c r="F121" s="32">
        <v>77970</v>
      </c>
      <c r="G121" s="48" t="s">
        <v>381</v>
      </c>
      <c r="H121" s="48"/>
      <c r="I121" s="27" t="s">
        <v>123</v>
      </c>
      <c r="J121" s="27" t="s">
        <v>7</v>
      </c>
    </row>
    <row r="122" spans="1:10" x14ac:dyDescent="0.3">
      <c r="A122" s="2" t="s">
        <v>156</v>
      </c>
      <c r="B122" s="26" t="s">
        <v>367</v>
      </c>
      <c r="C122" s="26" t="s">
        <v>158</v>
      </c>
      <c r="D122" s="28" t="s">
        <v>7</v>
      </c>
      <c r="E122" s="28" t="s">
        <v>382</v>
      </c>
      <c r="F122" s="32">
        <v>55200</v>
      </c>
      <c r="G122" s="48" t="s">
        <v>383</v>
      </c>
      <c r="H122" s="48"/>
      <c r="I122" s="27" t="s">
        <v>311</v>
      </c>
      <c r="J122" s="27" t="s">
        <v>7</v>
      </c>
    </row>
    <row r="123" spans="1:10" x14ac:dyDescent="0.3">
      <c r="A123" s="2" t="s">
        <v>156</v>
      </c>
      <c r="B123" s="26" t="s">
        <v>367</v>
      </c>
      <c r="C123" s="26" t="s">
        <v>158</v>
      </c>
      <c r="D123" s="28" t="s">
        <v>7</v>
      </c>
      <c r="E123" s="28" t="s">
        <v>384</v>
      </c>
      <c r="F123" s="32">
        <v>37750</v>
      </c>
      <c r="G123" s="48" t="s">
        <v>385</v>
      </c>
      <c r="H123" s="48"/>
      <c r="I123" s="27" t="s">
        <v>354</v>
      </c>
      <c r="J123" s="27" t="s">
        <v>7</v>
      </c>
    </row>
    <row r="124" spans="1:10" ht="32.4" x14ac:dyDescent="0.3">
      <c r="A124" s="2" t="s">
        <v>53</v>
      </c>
      <c r="B124" s="26" t="s">
        <v>386</v>
      </c>
      <c r="C124" s="26" t="s">
        <v>387</v>
      </c>
      <c r="D124" s="28" t="s">
        <v>56</v>
      </c>
      <c r="E124" s="28" t="s">
        <v>388</v>
      </c>
      <c r="F124" s="32">
        <v>40000</v>
      </c>
      <c r="G124" s="48" t="s">
        <v>389</v>
      </c>
      <c r="H124" s="48"/>
      <c r="I124" s="27" t="s">
        <v>390</v>
      </c>
      <c r="J124" s="27" t="s">
        <v>7</v>
      </c>
    </row>
    <row r="125" spans="1:10" ht="32.4" x14ac:dyDescent="0.3">
      <c r="A125" s="2" t="s">
        <v>53</v>
      </c>
      <c r="B125" s="26" t="s">
        <v>386</v>
      </c>
      <c r="C125" s="26" t="s">
        <v>391</v>
      </c>
      <c r="D125" s="28" t="s">
        <v>56</v>
      </c>
      <c r="E125" s="28" t="s">
        <v>392</v>
      </c>
      <c r="F125" s="32">
        <v>91145</v>
      </c>
      <c r="G125" s="48" t="s">
        <v>393</v>
      </c>
      <c r="H125" s="48"/>
      <c r="I125" s="27" t="s">
        <v>394</v>
      </c>
      <c r="J125" s="27" t="s">
        <v>7</v>
      </c>
    </row>
    <row r="126" spans="1:10" ht="32.4" x14ac:dyDescent="0.3">
      <c r="A126" s="2" t="s">
        <v>53</v>
      </c>
      <c r="B126" s="26" t="s">
        <v>386</v>
      </c>
      <c r="C126" s="26" t="s">
        <v>395</v>
      </c>
      <c r="D126" s="28" t="s">
        <v>56</v>
      </c>
      <c r="E126" s="28" t="s">
        <v>396</v>
      </c>
      <c r="F126" s="32">
        <v>80000</v>
      </c>
      <c r="G126" s="48" t="s">
        <v>397</v>
      </c>
      <c r="H126" s="48"/>
      <c r="I126" s="27" t="s">
        <v>123</v>
      </c>
      <c r="J126" s="27" t="s">
        <v>7</v>
      </c>
    </row>
    <row r="127" spans="1:10" ht="32.4" x14ac:dyDescent="0.3">
      <c r="A127" s="2" t="s">
        <v>53</v>
      </c>
      <c r="B127" s="26" t="s">
        <v>386</v>
      </c>
      <c r="C127" s="26" t="s">
        <v>398</v>
      </c>
      <c r="D127" s="28" t="s">
        <v>56</v>
      </c>
      <c r="E127" s="28" t="s">
        <v>399</v>
      </c>
      <c r="F127" s="32">
        <v>20000</v>
      </c>
      <c r="G127" s="48" t="s">
        <v>400</v>
      </c>
      <c r="H127" s="48"/>
      <c r="I127" s="27" t="s">
        <v>401</v>
      </c>
      <c r="J127" s="27" t="s">
        <v>7</v>
      </c>
    </row>
    <row r="128" spans="1:10" ht="32.4" x14ac:dyDescent="0.3">
      <c r="A128" s="2" t="s">
        <v>156</v>
      </c>
      <c r="B128" s="26" t="s">
        <v>386</v>
      </c>
      <c r="C128" s="26" t="s">
        <v>158</v>
      </c>
      <c r="D128" s="28" t="s">
        <v>7</v>
      </c>
      <c r="E128" s="28" t="s">
        <v>402</v>
      </c>
      <c r="F128" s="32">
        <v>147000</v>
      </c>
      <c r="G128" s="48" t="s">
        <v>403</v>
      </c>
      <c r="H128" s="48"/>
      <c r="I128" s="27" t="s">
        <v>289</v>
      </c>
      <c r="J128" s="27" t="s">
        <v>7</v>
      </c>
    </row>
    <row r="129" spans="1:10" x14ac:dyDescent="0.3">
      <c r="A129" s="2" t="s">
        <v>156</v>
      </c>
      <c r="B129" s="26" t="s">
        <v>386</v>
      </c>
      <c r="C129" s="26" t="s">
        <v>158</v>
      </c>
      <c r="D129" s="28" t="s">
        <v>7</v>
      </c>
      <c r="E129" s="28" t="s">
        <v>404</v>
      </c>
      <c r="F129" s="32">
        <v>144000</v>
      </c>
      <c r="G129" s="48" t="s">
        <v>405</v>
      </c>
      <c r="H129" s="48"/>
      <c r="I129" s="27" t="s">
        <v>145</v>
      </c>
      <c r="J129" s="27" t="s">
        <v>7</v>
      </c>
    </row>
    <row r="130" spans="1:10" ht="32.4" x14ac:dyDescent="0.3">
      <c r="A130" s="2" t="s">
        <v>53</v>
      </c>
      <c r="B130" s="26" t="s">
        <v>406</v>
      </c>
      <c r="C130" s="26" t="s">
        <v>407</v>
      </c>
      <c r="D130" s="28" t="s">
        <v>95</v>
      </c>
      <c r="E130" s="28" t="s">
        <v>408</v>
      </c>
      <c r="F130" s="32">
        <v>98409</v>
      </c>
      <c r="G130" s="48" t="s">
        <v>409</v>
      </c>
      <c r="H130" s="48"/>
      <c r="I130" s="27" t="s">
        <v>126</v>
      </c>
      <c r="J130" s="27" t="s">
        <v>7</v>
      </c>
    </row>
    <row r="131" spans="1:10" ht="32.4" x14ac:dyDescent="0.3">
      <c r="A131" s="2" t="s">
        <v>53</v>
      </c>
      <c r="B131" s="26" t="s">
        <v>406</v>
      </c>
      <c r="C131" s="26" t="s">
        <v>410</v>
      </c>
      <c r="D131" s="28" t="s">
        <v>56</v>
      </c>
      <c r="E131" s="28" t="s">
        <v>411</v>
      </c>
      <c r="F131" s="32">
        <v>99000</v>
      </c>
      <c r="G131" s="48" t="s">
        <v>412</v>
      </c>
      <c r="H131" s="48"/>
      <c r="I131" s="27" t="s">
        <v>67</v>
      </c>
      <c r="J131" s="27" t="s">
        <v>7</v>
      </c>
    </row>
    <row r="132" spans="1:10" ht="32.4" x14ac:dyDescent="0.3">
      <c r="A132" s="2" t="s">
        <v>22</v>
      </c>
      <c r="B132" s="26" t="s">
        <v>406</v>
      </c>
      <c r="C132" s="26" t="s">
        <v>49</v>
      </c>
      <c r="D132" s="28" t="s">
        <v>7</v>
      </c>
      <c r="E132" s="28" t="s">
        <v>413</v>
      </c>
      <c r="F132" s="32">
        <v>35913</v>
      </c>
      <c r="G132" s="48" t="s">
        <v>414</v>
      </c>
      <c r="H132" s="48"/>
      <c r="I132" s="27" t="s">
        <v>377</v>
      </c>
      <c r="J132" s="27" t="s">
        <v>7</v>
      </c>
    </row>
    <row r="133" spans="1:10" x14ac:dyDescent="0.3">
      <c r="A133" s="2" t="s">
        <v>156</v>
      </c>
      <c r="B133" s="26" t="s">
        <v>406</v>
      </c>
      <c r="C133" s="26" t="s">
        <v>158</v>
      </c>
      <c r="D133" s="28" t="s">
        <v>7</v>
      </c>
      <c r="E133" s="28" t="s">
        <v>415</v>
      </c>
      <c r="F133" s="32">
        <v>15000</v>
      </c>
      <c r="G133" s="48" t="s">
        <v>416</v>
      </c>
      <c r="H133" s="48"/>
      <c r="I133" s="27" t="s">
        <v>417</v>
      </c>
      <c r="J133" s="27" t="s">
        <v>7</v>
      </c>
    </row>
    <row r="134" spans="1:10" x14ac:dyDescent="0.3">
      <c r="A134" s="2" t="s">
        <v>156</v>
      </c>
      <c r="B134" s="26" t="s">
        <v>406</v>
      </c>
      <c r="C134" s="26" t="s">
        <v>158</v>
      </c>
      <c r="D134" s="28" t="s">
        <v>7</v>
      </c>
      <c r="E134" s="28" t="s">
        <v>418</v>
      </c>
      <c r="F134" s="32">
        <v>8060</v>
      </c>
      <c r="G134" s="48" t="s">
        <v>419</v>
      </c>
      <c r="H134" s="48"/>
      <c r="I134" s="27" t="s">
        <v>240</v>
      </c>
      <c r="J134" s="27" t="s">
        <v>7</v>
      </c>
    </row>
    <row r="135" spans="1:10" ht="32.4" x14ac:dyDescent="0.3">
      <c r="A135" s="2" t="s">
        <v>53</v>
      </c>
      <c r="B135" s="26" t="s">
        <v>420</v>
      </c>
      <c r="C135" s="26" t="s">
        <v>421</v>
      </c>
      <c r="D135" s="28" t="s">
        <v>56</v>
      </c>
      <c r="E135" s="28" t="s">
        <v>422</v>
      </c>
      <c r="F135" s="32">
        <v>148480</v>
      </c>
      <c r="G135" s="48" t="s">
        <v>423</v>
      </c>
      <c r="H135" s="48"/>
      <c r="I135" s="27" t="s">
        <v>145</v>
      </c>
      <c r="J135" s="27" t="s">
        <v>7</v>
      </c>
    </row>
    <row r="136" spans="1:10" x14ac:dyDescent="0.3">
      <c r="A136" s="2" t="s">
        <v>22</v>
      </c>
      <c r="B136" s="26" t="s">
        <v>424</v>
      </c>
      <c r="C136" s="26" t="s">
        <v>158</v>
      </c>
      <c r="D136" s="28" t="s">
        <v>7</v>
      </c>
      <c r="E136" s="28" t="s">
        <v>425</v>
      </c>
      <c r="F136" s="32">
        <v>211740</v>
      </c>
      <c r="G136" s="48" t="s">
        <v>426</v>
      </c>
      <c r="H136" s="48"/>
      <c r="I136" s="27" t="s">
        <v>59</v>
      </c>
      <c r="J136" s="27" t="s">
        <v>7</v>
      </c>
    </row>
    <row r="137" spans="1:10" x14ac:dyDescent="0.3">
      <c r="A137" s="2" t="s">
        <v>156</v>
      </c>
      <c r="B137" s="26" t="s">
        <v>427</v>
      </c>
      <c r="C137" s="26" t="s">
        <v>158</v>
      </c>
      <c r="D137" s="28" t="s">
        <v>7</v>
      </c>
      <c r="E137" s="28" t="s">
        <v>428</v>
      </c>
      <c r="F137" s="32">
        <v>100000</v>
      </c>
      <c r="G137" s="48" t="s">
        <v>429</v>
      </c>
      <c r="H137" s="48"/>
      <c r="I137" s="27" t="s">
        <v>430</v>
      </c>
      <c r="J137" s="27" t="s">
        <v>7</v>
      </c>
    </row>
    <row r="138" spans="1:10" ht="32.4" x14ac:dyDescent="0.3">
      <c r="A138" s="2" t="s">
        <v>53</v>
      </c>
      <c r="B138" s="26" t="s">
        <v>431</v>
      </c>
      <c r="C138" s="26" t="s">
        <v>432</v>
      </c>
      <c r="D138" s="28" t="s">
        <v>95</v>
      </c>
      <c r="E138" s="28" t="s">
        <v>433</v>
      </c>
      <c r="F138" s="32">
        <v>39000</v>
      </c>
      <c r="G138" s="48" t="s">
        <v>434</v>
      </c>
      <c r="H138" s="48"/>
      <c r="I138" s="27" t="s">
        <v>72</v>
      </c>
      <c r="J138" s="27" t="s">
        <v>7</v>
      </c>
    </row>
    <row r="139" spans="1:10" ht="32.4" x14ac:dyDescent="0.3">
      <c r="A139" s="2" t="s">
        <v>53</v>
      </c>
      <c r="B139" s="26" t="s">
        <v>431</v>
      </c>
      <c r="C139" s="26" t="s">
        <v>432</v>
      </c>
      <c r="D139" s="28" t="s">
        <v>56</v>
      </c>
      <c r="E139" s="28" t="s">
        <v>433</v>
      </c>
      <c r="F139" s="32">
        <v>106500</v>
      </c>
      <c r="G139" s="48" t="s">
        <v>434</v>
      </c>
      <c r="H139" s="48"/>
      <c r="I139" s="27" t="s">
        <v>72</v>
      </c>
      <c r="J139" s="27" t="s">
        <v>7</v>
      </c>
    </row>
    <row r="140" spans="1:10" ht="32.4" x14ac:dyDescent="0.3">
      <c r="A140" s="2" t="s">
        <v>53</v>
      </c>
      <c r="B140" s="26" t="s">
        <v>431</v>
      </c>
      <c r="C140" s="26" t="s">
        <v>435</v>
      </c>
      <c r="D140" s="28" t="s">
        <v>56</v>
      </c>
      <c r="E140" s="28" t="s">
        <v>436</v>
      </c>
      <c r="F140" s="32">
        <v>65000</v>
      </c>
      <c r="G140" s="48" t="s">
        <v>437</v>
      </c>
      <c r="H140" s="48"/>
      <c r="I140" s="27" t="s">
        <v>315</v>
      </c>
      <c r="J140" s="27" t="s">
        <v>7</v>
      </c>
    </row>
    <row r="141" spans="1:10" x14ac:dyDescent="0.3">
      <c r="A141" s="2" t="s">
        <v>156</v>
      </c>
      <c r="B141" s="26" t="s">
        <v>431</v>
      </c>
      <c r="C141" s="26" t="s">
        <v>49</v>
      </c>
      <c r="D141" s="28" t="s">
        <v>7</v>
      </c>
      <c r="E141" s="28" t="s">
        <v>438</v>
      </c>
      <c r="F141" s="32">
        <v>45400</v>
      </c>
      <c r="G141" s="48" t="s">
        <v>439</v>
      </c>
      <c r="H141" s="48"/>
      <c r="I141" s="27" t="s">
        <v>440</v>
      </c>
      <c r="J141" s="27" t="s">
        <v>7</v>
      </c>
    </row>
    <row r="142" spans="1:10" ht="32.4" x14ac:dyDescent="0.3">
      <c r="A142" s="2" t="s">
        <v>53</v>
      </c>
      <c r="B142" s="26" t="s">
        <v>441</v>
      </c>
      <c r="C142" s="26" t="s">
        <v>442</v>
      </c>
      <c r="D142" s="28" t="s">
        <v>56</v>
      </c>
      <c r="E142" s="28" t="s">
        <v>443</v>
      </c>
      <c r="F142" s="32">
        <v>24500</v>
      </c>
      <c r="G142" s="48" t="s">
        <v>444</v>
      </c>
      <c r="H142" s="48"/>
      <c r="I142" s="27" t="s">
        <v>161</v>
      </c>
      <c r="J142" s="27" t="s">
        <v>7</v>
      </c>
    </row>
    <row r="143" spans="1:10" ht="32.4" x14ac:dyDescent="0.3">
      <c r="A143" s="2" t="s">
        <v>53</v>
      </c>
      <c r="B143" s="26" t="s">
        <v>441</v>
      </c>
      <c r="C143" s="26" t="s">
        <v>445</v>
      </c>
      <c r="D143" s="28" t="s">
        <v>95</v>
      </c>
      <c r="E143" s="28" t="s">
        <v>446</v>
      </c>
      <c r="F143" s="32">
        <v>45000</v>
      </c>
      <c r="G143" s="48" t="s">
        <v>447</v>
      </c>
      <c r="H143" s="48"/>
      <c r="I143" s="27" t="s">
        <v>377</v>
      </c>
      <c r="J143" s="27" t="s">
        <v>7</v>
      </c>
    </row>
    <row r="144" spans="1:10" x14ac:dyDescent="0.3">
      <c r="A144" s="2" t="s">
        <v>156</v>
      </c>
      <c r="B144" s="26" t="s">
        <v>441</v>
      </c>
      <c r="C144" s="26" t="s">
        <v>49</v>
      </c>
      <c r="D144" s="28" t="s">
        <v>7</v>
      </c>
      <c r="E144" s="28" t="s">
        <v>448</v>
      </c>
      <c r="F144" s="32">
        <v>1149095</v>
      </c>
      <c r="G144" s="48" t="s">
        <v>449</v>
      </c>
      <c r="H144" s="48"/>
      <c r="I144" s="27" t="s">
        <v>7</v>
      </c>
      <c r="J144" s="27" t="s">
        <v>7</v>
      </c>
    </row>
    <row r="145" spans="1:10" x14ac:dyDescent="0.3">
      <c r="A145" s="2" t="s">
        <v>156</v>
      </c>
      <c r="B145" s="26" t="s">
        <v>441</v>
      </c>
      <c r="C145" s="26" t="s">
        <v>49</v>
      </c>
      <c r="D145" s="28" t="s">
        <v>7</v>
      </c>
      <c r="E145" s="28" t="s">
        <v>448</v>
      </c>
      <c r="F145" s="32">
        <v>72000</v>
      </c>
      <c r="G145" s="48" t="s">
        <v>449</v>
      </c>
      <c r="H145" s="48"/>
      <c r="I145" s="27" t="s">
        <v>7</v>
      </c>
      <c r="J145" s="27" t="s">
        <v>7</v>
      </c>
    </row>
    <row r="146" spans="1:10" ht="32.4" x14ac:dyDescent="0.3">
      <c r="A146" s="2" t="s">
        <v>53</v>
      </c>
      <c r="B146" s="26" t="s">
        <v>450</v>
      </c>
      <c r="C146" s="26" t="s">
        <v>451</v>
      </c>
      <c r="D146" s="28" t="s">
        <v>95</v>
      </c>
      <c r="E146" s="28" t="s">
        <v>452</v>
      </c>
      <c r="F146" s="32">
        <v>158070</v>
      </c>
      <c r="G146" s="48" t="s">
        <v>453</v>
      </c>
      <c r="H146" s="48"/>
      <c r="I146" s="27" t="s">
        <v>126</v>
      </c>
      <c r="J146" s="27" t="s">
        <v>7</v>
      </c>
    </row>
    <row r="147" spans="1:10" ht="32.4" x14ac:dyDescent="0.3">
      <c r="A147" s="2" t="s">
        <v>156</v>
      </c>
      <c r="B147" s="26" t="s">
        <v>450</v>
      </c>
      <c r="C147" s="26" t="s">
        <v>158</v>
      </c>
      <c r="D147" s="28" t="s">
        <v>7</v>
      </c>
      <c r="E147" s="28" t="s">
        <v>454</v>
      </c>
      <c r="F147" s="32">
        <v>920000</v>
      </c>
      <c r="G147" s="48" t="s">
        <v>455</v>
      </c>
      <c r="H147" s="48"/>
      <c r="I147" s="27" t="s">
        <v>456</v>
      </c>
      <c r="J147" s="27" t="s">
        <v>7</v>
      </c>
    </row>
    <row r="148" spans="1:10" x14ac:dyDescent="0.3">
      <c r="A148" s="2" t="s">
        <v>156</v>
      </c>
      <c r="B148" s="26" t="s">
        <v>457</v>
      </c>
      <c r="C148" s="26" t="s">
        <v>158</v>
      </c>
      <c r="D148" s="28" t="s">
        <v>7</v>
      </c>
      <c r="E148" s="28" t="s">
        <v>458</v>
      </c>
      <c r="F148" s="32">
        <v>100000</v>
      </c>
      <c r="G148" s="48" t="s">
        <v>459</v>
      </c>
      <c r="H148" s="48"/>
      <c r="I148" s="27" t="s">
        <v>460</v>
      </c>
      <c r="J148" s="27" t="s">
        <v>7</v>
      </c>
    </row>
    <row r="149" spans="1:10" x14ac:dyDescent="0.3">
      <c r="A149" s="2" t="s">
        <v>156</v>
      </c>
      <c r="B149" s="26" t="s">
        <v>457</v>
      </c>
      <c r="C149" s="26" t="s">
        <v>158</v>
      </c>
      <c r="D149" s="28" t="s">
        <v>7</v>
      </c>
      <c r="E149" s="28" t="s">
        <v>461</v>
      </c>
      <c r="F149" s="32">
        <v>26280</v>
      </c>
      <c r="G149" s="48" t="s">
        <v>462</v>
      </c>
      <c r="H149" s="48"/>
      <c r="I149" s="27" t="s">
        <v>59</v>
      </c>
      <c r="J149" s="27" t="s">
        <v>7</v>
      </c>
    </row>
    <row r="150" spans="1:10" ht="32.4" x14ac:dyDescent="0.3">
      <c r="A150" s="2" t="s">
        <v>156</v>
      </c>
      <c r="B150" s="26" t="s">
        <v>457</v>
      </c>
      <c r="C150" s="26" t="s">
        <v>158</v>
      </c>
      <c r="D150" s="28" t="s">
        <v>7</v>
      </c>
      <c r="E150" s="28" t="s">
        <v>463</v>
      </c>
      <c r="F150" s="32">
        <v>25990</v>
      </c>
      <c r="G150" s="48" t="s">
        <v>464</v>
      </c>
      <c r="H150" s="48"/>
      <c r="I150" s="27" t="s">
        <v>465</v>
      </c>
      <c r="J150" s="27" t="s">
        <v>7</v>
      </c>
    </row>
    <row r="151" spans="1:10" ht="32.4" x14ac:dyDescent="0.3">
      <c r="A151" s="2" t="s">
        <v>156</v>
      </c>
      <c r="B151" s="26" t="s">
        <v>457</v>
      </c>
      <c r="C151" s="26" t="s">
        <v>158</v>
      </c>
      <c r="D151" s="28" t="s">
        <v>7</v>
      </c>
      <c r="E151" s="28" t="s">
        <v>466</v>
      </c>
      <c r="F151" s="32">
        <v>143000</v>
      </c>
      <c r="G151" s="48" t="s">
        <v>467</v>
      </c>
      <c r="H151" s="48"/>
      <c r="I151" s="27" t="s">
        <v>72</v>
      </c>
      <c r="J151" s="27" t="s">
        <v>7</v>
      </c>
    </row>
    <row r="152" spans="1:10" x14ac:dyDescent="0.3">
      <c r="A152" s="2" t="s">
        <v>156</v>
      </c>
      <c r="B152" s="26" t="s">
        <v>457</v>
      </c>
      <c r="C152" s="26" t="s">
        <v>158</v>
      </c>
      <c r="D152" s="28" t="s">
        <v>7</v>
      </c>
      <c r="E152" s="28" t="s">
        <v>468</v>
      </c>
      <c r="F152" s="32">
        <v>37953</v>
      </c>
      <c r="G152" s="48" t="s">
        <v>469</v>
      </c>
      <c r="H152" s="48"/>
      <c r="I152" s="27" t="s">
        <v>390</v>
      </c>
      <c r="J152" s="27" t="s">
        <v>7</v>
      </c>
    </row>
    <row r="153" spans="1:10" x14ac:dyDescent="0.3">
      <c r="A153" s="2" t="s">
        <v>156</v>
      </c>
      <c r="B153" s="26" t="s">
        <v>457</v>
      </c>
      <c r="C153" s="26" t="s">
        <v>158</v>
      </c>
      <c r="D153" s="28" t="s">
        <v>7</v>
      </c>
      <c r="E153" s="28" t="s">
        <v>470</v>
      </c>
      <c r="F153" s="32">
        <v>70000</v>
      </c>
      <c r="G153" s="48" t="s">
        <v>471</v>
      </c>
      <c r="H153" s="48"/>
      <c r="I153" s="27" t="s">
        <v>390</v>
      </c>
      <c r="J153" s="27" t="s">
        <v>7</v>
      </c>
    </row>
    <row r="154" spans="1:10" x14ac:dyDescent="0.3">
      <c r="A154" s="2" t="s">
        <v>156</v>
      </c>
      <c r="B154" s="26" t="s">
        <v>472</v>
      </c>
      <c r="C154" s="26" t="s">
        <v>158</v>
      </c>
      <c r="D154" s="28" t="s">
        <v>7</v>
      </c>
      <c r="E154" s="28" t="s">
        <v>473</v>
      </c>
      <c r="F154" s="32">
        <v>65000</v>
      </c>
      <c r="G154" s="48" t="s">
        <v>474</v>
      </c>
      <c r="H154" s="48"/>
      <c r="I154" s="27" t="s">
        <v>315</v>
      </c>
      <c r="J154" s="27" t="s">
        <v>7</v>
      </c>
    </row>
    <row r="155" spans="1:10" x14ac:dyDescent="0.3">
      <c r="A155" s="2" t="s">
        <v>156</v>
      </c>
      <c r="B155" s="26" t="s">
        <v>472</v>
      </c>
      <c r="C155" s="26" t="s">
        <v>158</v>
      </c>
      <c r="D155" s="28" t="s">
        <v>7</v>
      </c>
      <c r="E155" s="28" t="s">
        <v>475</v>
      </c>
      <c r="F155" s="32">
        <v>76141</v>
      </c>
      <c r="G155" s="48" t="s">
        <v>476</v>
      </c>
      <c r="H155" s="48"/>
      <c r="I155" s="27" t="s">
        <v>315</v>
      </c>
      <c r="J155" s="27" t="s">
        <v>7</v>
      </c>
    </row>
    <row r="156" spans="1:10" ht="32.4" x14ac:dyDescent="0.3">
      <c r="A156" s="2" t="s">
        <v>53</v>
      </c>
      <c r="B156" s="26" t="s">
        <v>477</v>
      </c>
      <c r="C156" s="26" t="s">
        <v>478</v>
      </c>
      <c r="D156" s="28" t="s">
        <v>56</v>
      </c>
      <c r="E156" s="28" t="s">
        <v>479</v>
      </c>
      <c r="F156" s="32">
        <v>143801</v>
      </c>
      <c r="G156" s="48" t="s">
        <v>480</v>
      </c>
      <c r="H156" s="48"/>
      <c r="I156" s="27" t="s">
        <v>175</v>
      </c>
      <c r="J156" s="27" t="s">
        <v>7</v>
      </c>
    </row>
    <row r="157" spans="1:10" ht="32.4" x14ac:dyDescent="0.3">
      <c r="A157" s="2" t="s">
        <v>53</v>
      </c>
      <c r="B157" s="26" t="s">
        <v>477</v>
      </c>
      <c r="C157" s="26" t="s">
        <v>481</v>
      </c>
      <c r="D157" s="28" t="s">
        <v>95</v>
      </c>
      <c r="E157" s="28" t="s">
        <v>482</v>
      </c>
      <c r="F157" s="32">
        <v>50300</v>
      </c>
      <c r="G157" s="48" t="s">
        <v>483</v>
      </c>
      <c r="H157" s="48"/>
      <c r="I157" s="27" t="s">
        <v>289</v>
      </c>
      <c r="J157" s="27" t="s">
        <v>7</v>
      </c>
    </row>
    <row r="158" spans="1:10" ht="32.4" x14ac:dyDescent="0.3">
      <c r="A158" s="2" t="s">
        <v>53</v>
      </c>
      <c r="B158" s="26" t="s">
        <v>477</v>
      </c>
      <c r="C158" s="26" t="s">
        <v>484</v>
      </c>
      <c r="D158" s="28" t="s">
        <v>95</v>
      </c>
      <c r="E158" s="28" t="s">
        <v>485</v>
      </c>
      <c r="F158" s="32">
        <v>131352</v>
      </c>
      <c r="G158" s="48" t="s">
        <v>486</v>
      </c>
      <c r="H158" s="48"/>
      <c r="I158" s="27" t="s">
        <v>114</v>
      </c>
      <c r="J158" s="27" t="s">
        <v>7</v>
      </c>
    </row>
    <row r="159" spans="1:10" ht="32.4" x14ac:dyDescent="0.3">
      <c r="A159" s="2" t="s">
        <v>53</v>
      </c>
      <c r="B159" s="26" t="s">
        <v>477</v>
      </c>
      <c r="C159" s="26" t="s">
        <v>487</v>
      </c>
      <c r="D159" s="28" t="s">
        <v>95</v>
      </c>
      <c r="E159" s="28" t="s">
        <v>488</v>
      </c>
      <c r="F159" s="32">
        <v>56000</v>
      </c>
      <c r="G159" s="48" t="s">
        <v>489</v>
      </c>
      <c r="H159" s="48"/>
      <c r="I159" s="27" t="s">
        <v>63</v>
      </c>
      <c r="J159" s="27" t="s">
        <v>7</v>
      </c>
    </row>
    <row r="160" spans="1:10" ht="32.4" x14ac:dyDescent="0.3">
      <c r="A160" s="2" t="s">
        <v>53</v>
      </c>
      <c r="B160" s="26" t="s">
        <v>477</v>
      </c>
      <c r="C160" s="26" t="s">
        <v>490</v>
      </c>
      <c r="D160" s="28" t="s">
        <v>95</v>
      </c>
      <c r="E160" s="28" t="s">
        <v>491</v>
      </c>
      <c r="F160" s="32">
        <v>73103</v>
      </c>
      <c r="G160" s="48" t="s">
        <v>492</v>
      </c>
      <c r="H160" s="48"/>
      <c r="I160" s="27" t="s">
        <v>465</v>
      </c>
      <c r="J160" s="27" t="s">
        <v>7</v>
      </c>
    </row>
    <row r="161" spans="1:10" ht="32.4" x14ac:dyDescent="0.3">
      <c r="A161" s="2" t="s">
        <v>53</v>
      </c>
      <c r="B161" s="26" t="s">
        <v>477</v>
      </c>
      <c r="C161" s="26" t="s">
        <v>493</v>
      </c>
      <c r="D161" s="28" t="s">
        <v>56</v>
      </c>
      <c r="E161" s="28" t="s">
        <v>494</v>
      </c>
      <c r="F161" s="32">
        <v>900834</v>
      </c>
      <c r="G161" s="48" t="s">
        <v>495</v>
      </c>
      <c r="H161" s="48"/>
      <c r="I161" s="27" t="s">
        <v>496</v>
      </c>
      <c r="J161" s="27" t="s">
        <v>7</v>
      </c>
    </row>
    <row r="162" spans="1:10" ht="32.4" x14ac:dyDescent="0.3">
      <c r="A162" s="2" t="s">
        <v>53</v>
      </c>
      <c r="B162" s="26" t="s">
        <v>477</v>
      </c>
      <c r="C162" s="26" t="s">
        <v>497</v>
      </c>
      <c r="D162" s="28" t="s">
        <v>56</v>
      </c>
      <c r="E162" s="28" t="s">
        <v>498</v>
      </c>
      <c r="F162" s="32">
        <v>11322</v>
      </c>
      <c r="G162" s="48" t="s">
        <v>499</v>
      </c>
      <c r="H162" s="48"/>
      <c r="I162" s="27" t="s">
        <v>126</v>
      </c>
      <c r="J162" s="27" t="s">
        <v>7</v>
      </c>
    </row>
    <row r="163" spans="1:10" x14ac:dyDescent="0.3">
      <c r="A163" s="2" t="s">
        <v>156</v>
      </c>
      <c r="B163" s="26" t="s">
        <v>477</v>
      </c>
      <c r="C163" s="26" t="s">
        <v>158</v>
      </c>
      <c r="D163" s="28" t="s">
        <v>7</v>
      </c>
      <c r="E163" s="28" t="s">
        <v>500</v>
      </c>
      <c r="F163" s="32">
        <v>148000</v>
      </c>
      <c r="G163" s="48" t="s">
        <v>501</v>
      </c>
      <c r="H163" s="48"/>
      <c r="I163" s="27" t="s">
        <v>502</v>
      </c>
      <c r="J163" s="27" t="s">
        <v>7</v>
      </c>
    </row>
    <row r="164" spans="1:10" ht="32.4" x14ac:dyDescent="0.3">
      <c r="A164" s="2" t="s">
        <v>156</v>
      </c>
      <c r="B164" s="26" t="s">
        <v>477</v>
      </c>
      <c r="C164" s="26" t="s">
        <v>158</v>
      </c>
      <c r="D164" s="28" t="s">
        <v>7</v>
      </c>
      <c r="E164" s="28" t="s">
        <v>503</v>
      </c>
      <c r="F164" s="32">
        <v>95300</v>
      </c>
      <c r="G164" s="48" t="s">
        <v>504</v>
      </c>
      <c r="H164" s="48"/>
      <c r="I164" s="27" t="s">
        <v>183</v>
      </c>
      <c r="J164" s="27" t="s">
        <v>7</v>
      </c>
    </row>
    <row r="165" spans="1:10" x14ac:dyDescent="0.3">
      <c r="A165" s="2" t="s">
        <v>156</v>
      </c>
      <c r="B165" s="26" t="s">
        <v>477</v>
      </c>
      <c r="C165" s="26" t="s">
        <v>158</v>
      </c>
      <c r="D165" s="28" t="s">
        <v>7</v>
      </c>
      <c r="E165" s="28" t="s">
        <v>505</v>
      </c>
      <c r="F165" s="32">
        <v>10500</v>
      </c>
      <c r="G165" s="48" t="s">
        <v>506</v>
      </c>
      <c r="H165" s="48"/>
      <c r="I165" s="27" t="s">
        <v>507</v>
      </c>
      <c r="J165" s="27" t="s">
        <v>7</v>
      </c>
    </row>
    <row r="166" spans="1:10" ht="32.4" x14ac:dyDescent="0.3">
      <c r="A166" s="2" t="s">
        <v>53</v>
      </c>
      <c r="B166" s="26" t="s">
        <v>508</v>
      </c>
      <c r="C166" s="26" t="s">
        <v>509</v>
      </c>
      <c r="D166" s="28" t="s">
        <v>56</v>
      </c>
      <c r="E166" s="28" t="s">
        <v>510</v>
      </c>
      <c r="F166" s="32">
        <v>100000</v>
      </c>
      <c r="G166" s="48" t="s">
        <v>511</v>
      </c>
      <c r="H166" s="48"/>
      <c r="I166" s="27" t="s">
        <v>161</v>
      </c>
      <c r="J166" s="27" t="s">
        <v>7</v>
      </c>
    </row>
    <row r="167" spans="1:10" ht="32.4" x14ac:dyDescent="0.3">
      <c r="A167" s="2" t="s">
        <v>53</v>
      </c>
      <c r="B167" s="26" t="s">
        <v>508</v>
      </c>
      <c r="C167" s="26" t="s">
        <v>512</v>
      </c>
      <c r="D167" s="28" t="s">
        <v>56</v>
      </c>
      <c r="E167" s="28" t="s">
        <v>513</v>
      </c>
      <c r="F167" s="32">
        <v>15750</v>
      </c>
      <c r="G167" s="48" t="s">
        <v>514</v>
      </c>
      <c r="H167" s="48"/>
      <c r="I167" s="27" t="s">
        <v>161</v>
      </c>
      <c r="J167" s="27" t="s">
        <v>7</v>
      </c>
    </row>
    <row r="168" spans="1:10" x14ac:dyDescent="0.3">
      <c r="A168" s="2" t="s">
        <v>22</v>
      </c>
      <c r="B168" s="26" t="s">
        <v>508</v>
      </c>
      <c r="C168" s="26" t="s">
        <v>158</v>
      </c>
      <c r="D168" s="28" t="s">
        <v>7</v>
      </c>
      <c r="E168" s="28" t="s">
        <v>515</v>
      </c>
      <c r="F168" s="32">
        <v>495000</v>
      </c>
      <c r="G168" s="48" t="s">
        <v>516</v>
      </c>
      <c r="H168" s="48"/>
      <c r="I168" s="27" t="s">
        <v>517</v>
      </c>
      <c r="J168" s="27" t="s">
        <v>7</v>
      </c>
    </row>
    <row r="169" spans="1:10" x14ac:dyDescent="0.3">
      <c r="A169" s="2" t="s">
        <v>156</v>
      </c>
      <c r="B169" s="26" t="s">
        <v>508</v>
      </c>
      <c r="C169" s="26" t="s">
        <v>49</v>
      </c>
      <c r="D169" s="28" t="s">
        <v>7</v>
      </c>
      <c r="E169" s="28" t="s">
        <v>518</v>
      </c>
      <c r="F169" s="32">
        <v>337620</v>
      </c>
      <c r="G169" s="48" t="s">
        <v>519</v>
      </c>
      <c r="H169" s="48"/>
      <c r="I169" s="27" t="s">
        <v>7</v>
      </c>
      <c r="J169" s="27" t="s">
        <v>7</v>
      </c>
    </row>
    <row r="170" spans="1:10" x14ac:dyDescent="0.3">
      <c r="A170" s="2" t="s">
        <v>156</v>
      </c>
      <c r="B170" s="26" t="s">
        <v>508</v>
      </c>
      <c r="C170" s="26" t="s">
        <v>158</v>
      </c>
      <c r="D170" s="28" t="s">
        <v>7</v>
      </c>
      <c r="E170" s="28" t="s">
        <v>520</v>
      </c>
      <c r="F170" s="32">
        <v>141750</v>
      </c>
      <c r="G170" s="48" t="s">
        <v>521</v>
      </c>
      <c r="H170" s="48"/>
      <c r="I170" s="27" t="s">
        <v>59</v>
      </c>
      <c r="J170" s="27" t="s">
        <v>7</v>
      </c>
    </row>
    <row r="171" spans="1:10" x14ac:dyDescent="0.3">
      <c r="A171" s="2" t="s">
        <v>156</v>
      </c>
      <c r="B171" s="26" t="s">
        <v>508</v>
      </c>
      <c r="C171" s="26" t="s">
        <v>158</v>
      </c>
      <c r="D171" s="28" t="s">
        <v>7</v>
      </c>
      <c r="E171" s="28" t="s">
        <v>522</v>
      </c>
      <c r="F171" s="32">
        <v>110000</v>
      </c>
      <c r="G171" s="48" t="s">
        <v>523</v>
      </c>
      <c r="H171" s="48"/>
      <c r="I171" s="27" t="s">
        <v>145</v>
      </c>
      <c r="J171" s="27" t="s">
        <v>7</v>
      </c>
    </row>
    <row r="172" spans="1:10" x14ac:dyDescent="0.3">
      <c r="A172" s="2" t="s">
        <v>156</v>
      </c>
      <c r="B172" s="26" t="s">
        <v>524</v>
      </c>
      <c r="C172" s="26" t="s">
        <v>158</v>
      </c>
      <c r="D172" s="28" t="s">
        <v>7</v>
      </c>
      <c r="E172" s="28" t="s">
        <v>525</v>
      </c>
      <c r="F172" s="32">
        <v>11600</v>
      </c>
      <c r="G172" s="48" t="s">
        <v>526</v>
      </c>
      <c r="H172" s="48"/>
      <c r="I172" s="27" t="s">
        <v>263</v>
      </c>
      <c r="J172" s="27" t="s">
        <v>7</v>
      </c>
    </row>
    <row r="173" spans="1:10" x14ac:dyDescent="0.3">
      <c r="A173" s="2" t="s">
        <v>156</v>
      </c>
      <c r="B173" s="26" t="s">
        <v>524</v>
      </c>
      <c r="C173" s="26" t="s">
        <v>158</v>
      </c>
      <c r="D173" s="28" t="s">
        <v>7</v>
      </c>
      <c r="E173" s="28" t="s">
        <v>527</v>
      </c>
      <c r="F173" s="32">
        <v>13235</v>
      </c>
      <c r="G173" s="48" t="s">
        <v>528</v>
      </c>
      <c r="H173" s="48"/>
      <c r="I173" s="27" t="s">
        <v>263</v>
      </c>
      <c r="J173" s="27" t="s">
        <v>7</v>
      </c>
    </row>
    <row r="174" spans="1:10" x14ac:dyDescent="0.3">
      <c r="A174" s="2" t="s">
        <v>156</v>
      </c>
      <c r="B174" s="26" t="s">
        <v>524</v>
      </c>
      <c r="C174" s="26" t="s">
        <v>158</v>
      </c>
      <c r="D174" s="28" t="s">
        <v>7</v>
      </c>
      <c r="E174" s="28" t="s">
        <v>529</v>
      </c>
      <c r="F174" s="32">
        <v>26600</v>
      </c>
      <c r="G174" s="48" t="s">
        <v>530</v>
      </c>
      <c r="H174" s="48"/>
      <c r="I174" s="27" t="s">
        <v>63</v>
      </c>
      <c r="J174" s="27" t="s">
        <v>7</v>
      </c>
    </row>
    <row r="175" spans="1:10" x14ac:dyDescent="0.3">
      <c r="A175" s="2" t="s">
        <v>156</v>
      </c>
      <c r="B175" s="26" t="s">
        <v>531</v>
      </c>
      <c r="C175" s="26" t="s">
        <v>158</v>
      </c>
      <c r="D175" s="28" t="s">
        <v>7</v>
      </c>
      <c r="E175" s="28" t="s">
        <v>532</v>
      </c>
      <c r="F175" s="32">
        <v>83500</v>
      </c>
      <c r="G175" s="48" t="s">
        <v>533</v>
      </c>
      <c r="H175" s="48"/>
      <c r="I175" s="27" t="s">
        <v>59</v>
      </c>
      <c r="J175" s="27" t="s">
        <v>7</v>
      </c>
    </row>
    <row r="176" spans="1:10" x14ac:dyDescent="0.3">
      <c r="B176" s="29" t="s">
        <v>44</v>
      </c>
      <c r="C176" s="48" t="s">
        <v>534</v>
      </c>
      <c r="D176" s="49"/>
      <c r="E176" s="50"/>
      <c r="F176" s="51"/>
      <c r="G176" s="48"/>
      <c r="H176" s="48"/>
      <c r="I176" s="48"/>
      <c r="J176" s="48"/>
    </row>
    <row r="177" spans="1:10" x14ac:dyDescent="0.3">
      <c r="A177" s="25" t="s">
        <v>26</v>
      </c>
      <c r="B177" s="22"/>
      <c r="C177" s="22"/>
      <c r="D177" s="30"/>
      <c r="E177" s="31"/>
      <c r="F177" s="24"/>
      <c r="G177" s="23"/>
      <c r="H177" s="23"/>
      <c r="I177" s="23"/>
      <c r="J177" s="23"/>
    </row>
    <row r="178" spans="1:10" ht="32.4" x14ac:dyDescent="0.3">
      <c r="A178" s="2" t="s">
        <v>53</v>
      </c>
      <c r="B178" s="26" t="s">
        <v>535</v>
      </c>
      <c r="C178" s="26" t="s">
        <v>536</v>
      </c>
      <c r="D178" s="28" t="s">
        <v>537</v>
      </c>
      <c r="E178" s="28" t="s">
        <v>538</v>
      </c>
      <c r="F178" s="32">
        <v>21962</v>
      </c>
      <c r="G178" s="48" t="s">
        <v>539</v>
      </c>
      <c r="H178" s="48"/>
      <c r="I178" s="27" t="s">
        <v>80</v>
      </c>
      <c r="J178" s="27" t="s">
        <v>7</v>
      </c>
    </row>
    <row r="179" spans="1:10" ht="32.4" x14ac:dyDescent="0.3">
      <c r="A179" s="2" t="s">
        <v>53</v>
      </c>
      <c r="B179" s="26" t="s">
        <v>535</v>
      </c>
      <c r="C179" s="26" t="s">
        <v>540</v>
      </c>
      <c r="D179" s="28" t="s">
        <v>541</v>
      </c>
      <c r="E179" s="28" t="s">
        <v>542</v>
      </c>
      <c r="F179" s="32">
        <v>1438</v>
      </c>
      <c r="G179" s="48" t="s">
        <v>543</v>
      </c>
      <c r="H179" s="48"/>
      <c r="I179" s="27" t="s">
        <v>456</v>
      </c>
      <c r="J179" s="27" t="s">
        <v>7</v>
      </c>
    </row>
    <row r="180" spans="1:10" x14ac:dyDescent="0.3">
      <c r="A180" s="2" t="s">
        <v>53</v>
      </c>
      <c r="B180" s="26" t="s">
        <v>68</v>
      </c>
      <c r="C180" s="26" t="s">
        <v>544</v>
      </c>
      <c r="D180" s="28" t="s">
        <v>545</v>
      </c>
      <c r="E180" s="28" t="s">
        <v>546</v>
      </c>
      <c r="F180" s="32">
        <v>50000</v>
      </c>
      <c r="G180" s="48" t="s">
        <v>547</v>
      </c>
      <c r="H180" s="48"/>
      <c r="I180" s="27" t="s">
        <v>359</v>
      </c>
      <c r="J180" s="27" t="s">
        <v>7</v>
      </c>
    </row>
    <row r="181" spans="1:10" ht="32.4" x14ac:dyDescent="0.3">
      <c r="A181" s="2" t="s">
        <v>53</v>
      </c>
      <c r="B181" s="26" t="s">
        <v>68</v>
      </c>
      <c r="C181" s="26" t="s">
        <v>548</v>
      </c>
      <c r="D181" s="28" t="s">
        <v>549</v>
      </c>
      <c r="E181" s="28" t="s">
        <v>550</v>
      </c>
      <c r="F181" s="32">
        <v>10500</v>
      </c>
      <c r="G181" s="48" t="s">
        <v>551</v>
      </c>
      <c r="H181" s="48"/>
      <c r="I181" s="27" t="s">
        <v>126</v>
      </c>
      <c r="J181" s="27" t="s">
        <v>7</v>
      </c>
    </row>
    <row r="182" spans="1:10" x14ac:dyDescent="0.3">
      <c r="A182" s="2" t="s">
        <v>53</v>
      </c>
      <c r="B182" s="26" t="s">
        <v>73</v>
      </c>
      <c r="C182" s="26" t="s">
        <v>552</v>
      </c>
      <c r="D182" s="28" t="s">
        <v>545</v>
      </c>
      <c r="E182" s="28" t="s">
        <v>553</v>
      </c>
      <c r="F182" s="32">
        <v>2000</v>
      </c>
      <c r="G182" s="48" t="s">
        <v>554</v>
      </c>
      <c r="H182" s="48"/>
      <c r="I182" s="27" t="s">
        <v>359</v>
      </c>
      <c r="J182" s="27" t="s">
        <v>7</v>
      </c>
    </row>
    <row r="183" spans="1:10" ht="32.4" x14ac:dyDescent="0.3">
      <c r="A183" s="2" t="s">
        <v>53</v>
      </c>
      <c r="B183" s="26" t="s">
        <v>73</v>
      </c>
      <c r="C183" s="26" t="s">
        <v>555</v>
      </c>
      <c r="D183" s="28" t="s">
        <v>556</v>
      </c>
      <c r="E183" s="28" t="s">
        <v>557</v>
      </c>
      <c r="F183" s="32">
        <v>8905</v>
      </c>
      <c r="G183" s="48" t="s">
        <v>558</v>
      </c>
      <c r="H183" s="48"/>
      <c r="I183" s="27" t="s">
        <v>359</v>
      </c>
      <c r="J183" s="27" t="s">
        <v>7</v>
      </c>
    </row>
    <row r="184" spans="1:10" x14ac:dyDescent="0.3">
      <c r="A184" s="2" t="s">
        <v>53</v>
      </c>
      <c r="B184" s="26" t="s">
        <v>559</v>
      </c>
      <c r="C184" s="26" t="s">
        <v>560</v>
      </c>
      <c r="D184" s="28" t="s">
        <v>545</v>
      </c>
      <c r="E184" s="28" t="s">
        <v>561</v>
      </c>
      <c r="F184" s="32">
        <v>53000</v>
      </c>
      <c r="G184" s="48" t="s">
        <v>562</v>
      </c>
      <c r="H184" s="48"/>
      <c r="I184" s="27" t="s">
        <v>359</v>
      </c>
      <c r="J184" s="27" t="s">
        <v>7</v>
      </c>
    </row>
    <row r="185" spans="1:10" ht="32.4" x14ac:dyDescent="0.3">
      <c r="A185" s="2" t="s">
        <v>53</v>
      </c>
      <c r="B185" s="26" t="s">
        <v>559</v>
      </c>
      <c r="C185" s="26" t="s">
        <v>563</v>
      </c>
      <c r="D185" s="28" t="s">
        <v>564</v>
      </c>
      <c r="E185" s="28" t="s">
        <v>565</v>
      </c>
      <c r="F185" s="32">
        <v>8235</v>
      </c>
      <c r="G185" s="48" t="s">
        <v>566</v>
      </c>
      <c r="H185" s="48"/>
      <c r="I185" s="27" t="s">
        <v>359</v>
      </c>
      <c r="J185" s="27" t="s">
        <v>7</v>
      </c>
    </row>
    <row r="186" spans="1:10" ht="32.4" x14ac:dyDescent="0.3">
      <c r="A186" s="2" t="s">
        <v>53</v>
      </c>
      <c r="B186" s="26" t="s">
        <v>559</v>
      </c>
      <c r="C186" s="26" t="s">
        <v>563</v>
      </c>
      <c r="D186" s="28" t="s">
        <v>564</v>
      </c>
      <c r="E186" s="28" t="s">
        <v>567</v>
      </c>
      <c r="F186" s="32">
        <v>6880</v>
      </c>
      <c r="G186" s="48" t="s">
        <v>568</v>
      </c>
      <c r="H186" s="48"/>
      <c r="I186" s="27" t="s">
        <v>359</v>
      </c>
      <c r="J186" s="27" t="s">
        <v>7</v>
      </c>
    </row>
    <row r="187" spans="1:10" ht="32.4" x14ac:dyDescent="0.3">
      <c r="A187" s="2" t="s">
        <v>53</v>
      </c>
      <c r="B187" s="26" t="s">
        <v>569</v>
      </c>
      <c r="C187" s="26" t="s">
        <v>570</v>
      </c>
      <c r="D187" s="28" t="s">
        <v>571</v>
      </c>
      <c r="E187" s="28" t="s">
        <v>572</v>
      </c>
      <c r="F187" s="32">
        <v>4138</v>
      </c>
      <c r="G187" s="48" t="s">
        <v>573</v>
      </c>
      <c r="H187" s="48"/>
      <c r="I187" s="27" t="s">
        <v>574</v>
      </c>
      <c r="J187" s="27" t="s">
        <v>7</v>
      </c>
    </row>
    <row r="188" spans="1:10" ht="32.4" x14ac:dyDescent="0.3">
      <c r="A188" s="2" t="s">
        <v>53</v>
      </c>
      <c r="B188" s="26" t="s">
        <v>575</v>
      </c>
      <c r="C188" s="26" t="s">
        <v>576</v>
      </c>
      <c r="D188" s="28" t="s">
        <v>537</v>
      </c>
      <c r="E188" s="28" t="s">
        <v>577</v>
      </c>
      <c r="F188" s="32">
        <v>3652</v>
      </c>
      <c r="G188" s="48" t="s">
        <v>578</v>
      </c>
      <c r="H188" s="48"/>
      <c r="I188" s="27" t="s">
        <v>359</v>
      </c>
      <c r="J188" s="27" t="s">
        <v>7</v>
      </c>
    </row>
    <row r="189" spans="1:10" ht="32.4" x14ac:dyDescent="0.3">
      <c r="A189" s="2" t="s">
        <v>53</v>
      </c>
      <c r="B189" s="26" t="s">
        <v>575</v>
      </c>
      <c r="C189" s="26" t="s">
        <v>576</v>
      </c>
      <c r="D189" s="28" t="s">
        <v>556</v>
      </c>
      <c r="E189" s="28" t="s">
        <v>579</v>
      </c>
      <c r="F189" s="32">
        <v>8544</v>
      </c>
      <c r="G189" s="48" t="s">
        <v>580</v>
      </c>
      <c r="H189" s="48"/>
      <c r="I189" s="27" t="s">
        <v>359</v>
      </c>
      <c r="J189" s="27" t="s">
        <v>7</v>
      </c>
    </row>
    <row r="190" spans="1:10" x14ac:dyDescent="0.3">
      <c r="A190" s="2" t="s">
        <v>53</v>
      </c>
      <c r="B190" s="26" t="s">
        <v>575</v>
      </c>
      <c r="C190" s="26" t="s">
        <v>576</v>
      </c>
      <c r="D190" s="28" t="s">
        <v>541</v>
      </c>
      <c r="E190" s="28" t="s">
        <v>581</v>
      </c>
      <c r="F190" s="32">
        <v>8400</v>
      </c>
      <c r="G190" s="48" t="s">
        <v>582</v>
      </c>
      <c r="H190" s="48"/>
      <c r="I190" s="27" t="s">
        <v>359</v>
      </c>
      <c r="J190" s="27" t="s">
        <v>7</v>
      </c>
    </row>
    <row r="191" spans="1:10" ht="32.4" x14ac:dyDescent="0.3">
      <c r="A191" s="2" t="s">
        <v>53</v>
      </c>
      <c r="B191" s="26" t="s">
        <v>575</v>
      </c>
      <c r="C191" s="26" t="s">
        <v>583</v>
      </c>
      <c r="D191" s="28" t="s">
        <v>584</v>
      </c>
      <c r="E191" s="28" t="s">
        <v>585</v>
      </c>
      <c r="F191" s="32">
        <v>16518</v>
      </c>
      <c r="G191" s="48" t="s">
        <v>586</v>
      </c>
      <c r="H191" s="48"/>
      <c r="I191" s="27" t="s">
        <v>212</v>
      </c>
      <c r="J191" s="27" t="s">
        <v>7</v>
      </c>
    </row>
    <row r="192" spans="1:10" ht="32.4" x14ac:dyDescent="0.3">
      <c r="A192" s="2" t="s">
        <v>53</v>
      </c>
      <c r="B192" s="26" t="s">
        <v>587</v>
      </c>
      <c r="C192" s="26" t="s">
        <v>588</v>
      </c>
      <c r="D192" s="28" t="s">
        <v>571</v>
      </c>
      <c r="E192" s="28" t="s">
        <v>589</v>
      </c>
      <c r="F192" s="32">
        <v>3598</v>
      </c>
      <c r="G192" s="48" t="s">
        <v>590</v>
      </c>
      <c r="H192" s="48"/>
      <c r="I192" s="27" t="s">
        <v>574</v>
      </c>
      <c r="J192" s="27" t="s">
        <v>7</v>
      </c>
    </row>
    <row r="193" spans="1:10" ht="32.4" x14ac:dyDescent="0.3">
      <c r="A193" s="2" t="s">
        <v>53</v>
      </c>
      <c r="B193" s="26" t="s">
        <v>587</v>
      </c>
      <c r="C193" s="26" t="s">
        <v>588</v>
      </c>
      <c r="D193" s="28" t="s">
        <v>537</v>
      </c>
      <c r="E193" s="28" t="s">
        <v>591</v>
      </c>
      <c r="F193" s="32">
        <v>4240</v>
      </c>
      <c r="G193" s="48" t="s">
        <v>592</v>
      </c>
      <c r="H193" s="48"/>
      <c r="I193" s="27" t="s">
        <v>593</v>
      </c>
      <c r="J193" s="27" t="s">
        <v>7</v>
      </c>
    </row>
    <row r="194" spans="1:10" ht="32.4" x14ac:dyDescent="0.3">
      <c r="A194" s="2" t="s">
        <v>53</v>
      </c>
      <c r="B194" s="26" t="s">
        <v>594</v>
      </c>
      <c r="C194" s="26" t="s">
        <v>595</v>
      </c>
      <c r="D194" s="28" t="s">
        <v>537</v>
      </c>
      <c r="E194" s="28" t="s">
        <v>596</v>
      </c>
      <c r="F194" s="32">
        <v>3942</v>
      </c>
      <c r="G194" s="48" t="s">
        <v>597</v>
      </c>
      <c r="H194" s="48"/>
      <c r="I194" s="27" t="s">
        <v>354</v>
      </c>
      <c r="J194" s="27" t="s">
        <v>7</v>
      </c>
    </row>
    <row r="195" spans="1:10" ht="32.4" x14ac:dyDescent="0.3">
      <c r="A195" s="2" t="s">
        <v>53</v>
      </c>
      <c r="B195" s="26" t="s">
        <v>85</v>
      </c>
      <c r="C195" s="26" t="s">
        <v>598</v>
      </c>
      <c r="D195" s="28" t="s">
        <v>599</v>
      </c>
      <c r="E195" s="28" t="s">
        <v>600</v>
      </c>
      <c r="F195" s="32">
        <v>98931</v>
      </c>
      <c r="G195" s="48" t="s">
        <v>601</v>
      </c>
      <c r="H195" s="48"/>
      <c r="I195" s="27" t="s">
        <v>456</v>
      </c>
      <c r="J195" s="27" t="s">
        <v>7</v>
      </c>
    </row>
    <row r="196" spans="1:10" ht="32.4" x14ac:dyDescent="0.3">
      <c r="A196" s="2" t="s">
        <v>53</v>
      </c>
      <c r="B196" s="26" t="s">
        <v>602</v>
      </c>
      <c r="C196" s="26" t="s">
        <v>603</v>
      </c>
      <c r="D196" s="28" t="s">
        <v>537</v>
      </c>
      <c r="E196" s="28" t="s">
        <v>604</v>
      </c>
      <c r="F196" s="32">
        <v>2270</v>
      </c>
      <c r="G196" s="48" t="s">
        <v>605</v>
      </c>
      <c r="H196" s="48"/>
      <c r="I196" s="27" t="s">
        <v>606</v>
      </c>
      <c r="J196" s="27" t="s">
        <v>7</v>
      </c>
    </row>
    <row r="197" spans="1:10" ht="32.4" x14ac:dyDescent="0.3">
      <c r="A197" s="2" t="s">
        <v>53</v>
      </c>
      <c r="B197" s="26" t="s">
        <v>602</v>
      </c>
      <c r="C197" s="26" t="s">
        <v>603</v>
      </c>
      <c r="D197" s="28" t="s">
        <v>537</v>
      </c>
      <c r="E197" s="28" t="s">
        <v>607</v>
      </c>
      <c r="F197" s="32">
        <v>4750</v>
      </c>
      <c r="G197" s="48" t="s">
        <v>608</v>
      </c>
      <c r="H197" s="48"/>
      <c r="I197" s="27" t="s">
        <v>84</v>
      </c>
      <c r="J197" s="27" t="s">
        <v>7</v>
      </c>
    </row>
    <row r="198" spans="1:10" ht="32.4" x14ac:dyDescent="0.3">
      <c r="A198" s="2" t="s">
        <v>53</v>
      </c>
      <c r="B198" s="26" t="s">
        <v>98</v>
      </c>
      <c r="C198" s="26" t="s">
        <v>609</v>
      </c>
      <c r="D198" s="28" t="s">
        <v>584</v>
      </c>
      <c r="E198" s="28" t="s">
        <v>610</v>
      </c>
      <c r="F198" s="32">
        <v>30140</v>
      </c>
      <c r="G198" s="48" t="s">
        <v>611</v>
      </c>
      <c r="H198" s="48"/>
      <c r="I198" s="27" t="s">
        <v>212</v>
      </c>
      <c r="J198" s="27" t="s">
        <v>7</v>
      </c>
    </row>
    <row r="199" spans="1:10" ht="32.4" x14ac:dyDescent="0.3">
      <c r="A199" s="2" t="s">
        <v>53</v>
      </c>
      <c r="B199" s="26" t="s">
        <v>110</v>
      </c>
      <c r="C199" s="26" t="s">
        <v>612</v>
      </c>
      <c r="D199" s="28" t="s">
        <v>537</v>
      </c>
      <c r="E199" s="28" t="s">
        <v>613</v>
      </c>
      <c r="F199" s="32">
        <v>15000</v>
      </c>
      <c r="G199" s="48" t="s">
        <v>614</v>
      </c>
      <c r="H199" s="48"/>
      <c r="I199" s="27" t="s">
        <v>359</v>
      </c>
      <c r="J199" s="27" t="s">
        <v>7</v>
      </c>
    </row>
    <row r="200" spans="1:10" ht="32.4" x14ac:dyDescent="0.3">
      <c r="A200" s="2" t="s">
        <v>53</v>
      </c>
      <c r="B200" s="26" t="s">
        <v>615</v>
      </c>
      <c r="C200" s="26" t="s">
        <v>616</v>
      </c>
      <c r="D200" s="28" t="s">
        <v>571</v>
      </c>
      <c r="E200" s="28" t="s">
        <v>617</v>
      </c>
      <c r="F200" s="32">
        <v>322</v>
      </c>
      <c r="G200" s="48" t="s">
        <v>618</v>
      </c>
      <c r="H200" s="48"/>
      <c r="I200" s="27" t="s">
        <v>574</v>
      </c>
      <c r="J200" s="27" t="s">
        <v>7</v>
      </c>
    </row>
    <row r="201" spans="1:10" ht="32.4" x14ac:dyDescent="0.3">
      <c r="A201" s="2" t="s">
        <v>53</v>
      </c>
      <c r="B201" s="26" t="s">
        <v>615</v>
      </c>
      <c r="C201" s="26" t="s">
        <v>616</v>
      </c>
      <c r="D201" s="28" t="s">
        <v>556</v>
      </c>
      <c r="E201" s="28" t="s">
        <v>619</v>
      </c>
      <c r="F201" s="32">
        <v>8800</v>
      </c>
      <c r="G201" s="48" t="s">
        <v>620</v>
      </c>
      <c r="H201" s="48"/>
      <c r="I201" s="27" t="s">
        <v>359</v>
      </c>
      <c r="J201" s="27" t="s">
        <v>7</v>
      </c>
    </row>
    <row r="202" spans="1:10" x14ac:dyDescent="0.3">
      <c r="A202" s="2" t="s">
        <v>53</v>
      </c>
      <c r="B202" s="26" t="s">
        <v>621</v>
      </c>
      <c r="C202" s="26" t="s">
        <v>622</v>
      </c>
      <c r="D202" s="28" t="s">
        <v>623</v>
      </c>
      <c r="E202" s="28" t="s">
        <v>624</v>
      </c>
      <c r="F202" s="32">
        <v>4038</v>
      </c>
      <c r="G202" s="48" t="s">
        <v>625</v>
      </c>
      <c r="H202" s="48"/>
      <c r="I202" s="27" t="s">
        <v>80</v>
      </c>
      <c r="J202" s="27" t="s">
        <v>7</v>
      </c>
    </row>
    <row r="203" spans="1:10" ht="32.4" x14ac:dyDescent="0.3">
      <c r="A203" s="2" t="s">
        <v>53</v>
      </c>
      <c r="B203" s="26" t="s">
        <v>115</v>
      </c>
      <c r="C203" s="26" t="s">
        <v>626</v>
      </c>
      <c r="D203" s="28" t="s">
        <v>537</v>
      </c>
      <c r="E203" s="28" t="s">
        <v>627</v>
      </c>
      <c r="F203" s="32">
        <v>2284</v>
      </c>
      <c r="G203" s="48" t="s">
        <v>597</v>
      </c>
      <c r="H203" s="48"/>
      <c r="I203" s="27" t="s">
        <v>354</v>
      </c>
      <c r="J203" s="27" t="s">
        <v>7</v>
      </c>
    </row>
    <row r="204" spans="1:10" x14ac:dyDescent="0.3">
      <c r="A204" s="2" t="s">
        <v>53</v>
      </c>
      <c r="B204" s="26" t="s">
        <v>628</v>
      </c>
      <c r="C204" s="26" t="s">
        <v>629</v>
      </c>
      <c r="D204" s="28" t="s">
        <v>630</v>
      </c>
      <c r="E204" s="28" t="s">
        <v>631</v>
      </c>
      <c r="F204" s="32">
        <v>14400</v>
      </c>
      <c r="G204" s="48" t="s">
        <v>632</v>
      </c>
      <c r="H204" s="48"/>
      <c r="I204" s="27" t="s">
        <v>359</v>
      </c>
      <c r="J204" s="27" t="s">
        <v>7</v>
      </c>
    </row>
    <row r="205" spans="1:10" x14ac:dyDescent="0.3">
      <c r="A205" s="2" t="s">
        <v>53</v>
      </c>
      <c r="B205" s="26" t="s">
        <v>628</v>
      </c>
      <c r="C205" s="26" t="s">
        <v>633</v>
      </c>
      <c r="D205" s="28" t="s">
        <v>623</v>
      </c>
      <c r="E205" s="28" t="s">
        <v>634</v>
      </c>
      <c r="F205" s="32">
        <v>61530</v>
      </c>
      <c r="G205" s="48" t="s">
        <v>635</v>
      </c>
      <c r="H205" s="48"/>
      <c r="I205" s="27" t="s">
        <v>359</v>
      </c>
      <c r="J205" s="27" t="s">
        <v>7</v>
      </c>
    </row>
    <row r="206" spans="1:10" ht="32.4" x14ac:dyDescent="0.3">
      <c r="A206" s="2" t="s">
        <v>53</v>
      </c>
      <c r="B206" s="26" t="s">
        <v>628</v>
      </c>
      <c r="C206" s="26" t="s">
        <v>636</v>
      </c>
      <c r="D206" s="28" t="s">
        <v>637</v>
      </c>
      <c r="E206" s="28" t="s">
        <v>638</v>
      </c>
      <c r="F206" s="32">
        <v>35400</v>
      </c>
      <c r="G206" s="48" t="s">
        <v>639</v>
      </c>
      <c r="H206" s="48"/>
      <c r="I206" s="27" t="s">
        <v>640</v>
      </c>
      <c r="J206" s="27" t="s">
        <v>7</v>
      </c>
    </row>
    <row r="207" spans="1:10" ht="32.4" x14ac:dyDescent="0.3">
      <c r="A207" s="2" t="s">
        <v>53</v>
      </c>
      <c r="B207" s="26" t="s">
        <v>127</v>
      </c>
      <c r="C207" s="26" t="s">
        <v>641</v>
      </c>
      <c r="D207" s="28" t="s">
        <v>571</v>
      </c>
      <c r="E207" s="28" t="s">
        <v>642</v>
      </c>
      <c r="F207" s="32">
        <v>698</v>
      </c>
      <c r="G207" s="48" t="s">
        <v>590</v>
      </c>
      <c r="H207" s="48"/>
      <c r="I207" s="27" t="s">
        <v>574</v>
      </c>
      <c r="J207" s="27" t="s">
        <v>7</v>
      </c>
    </row>
    <row r="208" spans="1:10" ht="32.4" x14ac:dyDescent="0.3">
      <c r="A208" s="2" t="s">
        <v>53</v>
      </c>
      <c r="B208" s="26" t="s">
        <v>127</v>
      </c>
      <c r="C208" s="26" t="s">
        <v>641</v>
      </c>
      <c r="D208" s="28" t="s">
        <v>643</v>
      </c>
      <c r="E208" s="28" t="s">
        <v>644</v>
      </c>
      <c r="F208" s="32">
        <v>8000</v>
      </c>
      <c r="G208" s="48" t="s">
        <v>645</v>
      </c>
      <c r="H208" s="48"/>
      <c r="I208" s="27" t="s">
        <v>456</v>
      </c>
      <c r="J208" s="27" t="s">
        <v>7</v>
      </c>
    </row>
    <row r="209" spans="1:10" x14ac:dyDescent="0.3">
      <c r="A209" s="2" t="s">
        <v>53</v>
      </c>
      <c r="B209" s="26" t="s">
        <v>127</v>
      </c>
      <c r="C209" s="26" t="s">
        <v>646</v>
      </c>
      <c r="D209" s="28" t="s">
        <v>647</v>
      </c>
      <c r="E209" s="28" t="s">
        <v>648</v>
      </c>
      <c r="F209" s="32">
        <v>124</v>
      </c>
      <c r="G209" s="48" t="s">
        <v>649</v>
      </c>
      <c r="H209" s="48"/>
      <c r="I209" s="27" t="s">
        <v>359</v>
      </c>
      <c r="J209" s="27" t="s">
        <v>7</v>
      </c>
    </row>
    <row r="210" spans="1:10" ht="32.4" x14ac:dyDescent="0.3">
      <c r="A210" s="2" t="s">
        <v>53</v>
      </c>
      <c r="B210" s="26" t="s">
        <v>127</v>
      </c>
      <c r="C210" s="26" t="s">
        <v>646</v>
      </c>
      <c r="D210" s="28" t="s">
        <v>537</v>
      </c>
      <c r="E210" s="28" t="s">
        <v>648</v>
      </c>
      <c r="F210" s="32">
        <v>7401</v>
      </c>
      <c r="G210" s="48" t="s">
        <v>649</v>
      </c>
      <c r="H210" s="48"/>
      <c r="I210" s="27" t="s">
        <v>359</v>
      </c>
      <c r="J210" s="27" t="s">
        <v>7</v>
      </c>
    </row>
    <row r="211" spans="1:10" ht="32.4" x14ac:dyDescent="0.3">
      <c r="A211" s="2" t="s">
        <v>53</v>
      </c>
      <c r="B211" s="26" t="s">
        <v>127</v>
      </c>
      <c r="C211" s="26" t="s">
        <v>650</v>
      </c>
      <c r="D211" s="28" t="s">
        <v>637</v>
      </c>
      <c r="E211" s="28" t="s">
        <v>651</v>
      </c>
      <c r="F211" s="32">
        <v>3600</v>
      </c>
      <c r="G211" s="48" t="s">
        <v>652</v>
      </c>
      <c r="H211" s="48"/>
      <c r="I211" s="27" t="s">
        <v>347</v>
      </c>
      <c r="J211" s="27" t="s">
        <v>7</v>
      </c>
    </row>
    <row r="212" spans="1:10" ht="48.6" x14ac:dyDescent="0.3">
      <c r="A212" s="2" t="s">
        <v>53</v>
      </c>
      <c r="B212" s="26" t="s">
        <v>653</v>
      </c>
      <c r="C212" s="26" t="s">
        <v>654</v>
      </c>
      <c r="D212" s="28" t="s">
        <v>655</v>
      </c>
      <c r="E212" s="28" t="s">
        <v>656</v>
      </c>
      <c r="F212" s="32">
        <v>13500</v>
      </c>
      <c r="G212" s="48" t="s">
        <v>657</v>
      </c>
      <c r="H212" s="48"/>
      <c r="I212" s="27" t="s">
        <v>658</v>
      </c>
      <c r="J212" s="27" t="s">
        <v>7</v>
      </c>
    </row>
    <row r="213" spans="1:10" ht="32.4" x14ac:dyDescent="0.3">
      <c r="A213" s="2" t="s">
        <v>53</v>
      </c>
      <c r="B213" s="26" t="s">
        <v>653</v>
      </c>
      <c r="C213" s="26" t="s">
        <v>659</v>
      </c>
      <c r="D213" s="28" t="s">
        <v>571</v>
      </c>
      <c r="E213" s="28" t="s">
        <v>660</v>
      </c>
      <c r="F213" s="32">
        <v>637</v>
      </c>
      <c r="G213" s="48" t="s">
        <v>661</v>
      </c>
      <c r="H213" s="48"/>
      <c r="I213" s="27" t="s">
        <v>354</v>
      </c>
      <c r="J213" s="27" t="s">
        <v>7</v>
      </c>
    </row>
    <row r="214" spans="1:10" ht="32.4" x14ac:dyDescent="0.3">
      <c r="A214" s="2" t="s">
        <v>53</v>
      </c>
      <c r="B214" s="26" t="s">
        <v>653</v>
      </c>
      <c r="C214" s="26" t="s">
        <v>659</v>
      </c>
      <c r="D214" s="28" t="s">
        <v>571</v>
      </c>
      <c r="E214" s="28" t="s">
        <v>662</v>
      </c>
      <c r="F214" s="32">
        <v>640</v>
      </c>
      <c r="G214" s="48" t="s">
        <v>663</v>
      </c>
      <c r="H214" s="48"/>
      <c r="I214" s="27" t="s">
        <v>354</v>
      </c>
      <c r="J214" s="27" t="s">
        <v>7</v>
      </c>
    </row>
    <row r="215" spans="1:10" x14ac:dyDescent="0.3">
      <c r="A215" s="2" t="s">
        <v>53</v>
      </c>
      <c r="B215" s="26" t="s">
        <v>653</v>
      </c>
      <c r="C215" s="26" t="s">
        <v>664</v>
      </c>
      <c r="D215" s="28" t="s">
        <v>541</v>
      </c>
      <c r="E215" s="28" t="s">
        <v>665</v>
      </c>
      <c r="F215" s="32">
        <v>3690</v>
      </c>
      <c r="G215" s="48" t="s">
        <v>666</v>
      </c>
      <c r="H215" s="48"/>
      <c r="I215" s="27" t="s">
        <v>90</v>
      </c>
      <c r="J215" s="27" t="s">
        <v>7</v>
      </c>
    </row>
    <row r="216" spans="1:10" x14ac:dyDescent="0.3">
      <c r="A216" s="2" t="s">
        <v>53</v>
      </c>
      <c r="B216" s="26" t="s">
        <v>653</v>
      </c>
      <c r="C216" s="26" t="s">
        <v>667</v>
      </c>
      <c r="D216" s="28" t="s">
        <v>668</v>
      </c>
      <c r="E216" s="28" t="s">
        <v>669</v>
      </c>
      <c r="F216" s="32">
        <v>700</v>
      </c>
      <c r="G216" s="48" t="s">
        <v>670</v>
      </c>
      <c r="H216" s="48"/>
      <c r="I216" s="27" t="s">
        <v>90</v>
      </c>
      <c r="J216" s="27" t="s">
        <v>7</v>
      </c>
    </row>
    <row r="217" spans="1:10" ht="32.4" x14ac:dyDescent="0.3">
      <c r="A217" s="2" t="s">
        <v>53</v>
      </c>
      <c r="B217" s="26" t="s">
        <v>653</v>
      </c>
      <c r="C217" s="26" t="s">
        <v>667</v>
      </c>
      <c r="D217" s="28" t="s">
        <v>671</v>
      </c>
      <c r="E217" s="28" t="s">
        <v>669</v>
      </c>
      <c r="F217" s="32">
        <v>455</v>
      </c>
      <c r="G217" s="48" t="s">
        <v>670</v>
      </c>
      <c r="H217" s="48"/>
      <c r="I217" s="27" t="s">
        <v>90</v>
      </c>
      <c r="J217" s="27" t="s">
        <v>7</v>
      </c>
    </row>
    <row r="218" spans="1:10" ht="32.4" x14ac:dyDescent="0.3">
      <c r="A218" s="2" t="s">
        <v>53</v>
      </c>
      <c r="B218" s="26" t="s">
        <v>653</v>
      </c>
      <c r="C218" s="26" t="s">
        <v>667</v>
      </c>
      <c r="D218" s="28" t="s">
        <v>537</v>
      </c>
      <c r="E218" s="28" t="s">
        <v>672</v>
      </c>
      <c r="F218" s="32">
        <v>350</v>
      </c>
      <c r="G218" s="48" t="s">
        <v>673</v>
      </c>
      <c r="H218" s="48"/>
      <c r="I218" s="27" t="s">
        <v>674</v>
      </c>
      <c r="J218" s="27" t="s">
        <v>7</v>
      </c>
    </row>
    <row r="219" spans="1:10" x14ac:dyDescent="0.3">
      <c r="A219" s="2" t="s">
        <v>53</v>
      </c>
      <c r="B219" s="26" t="s">
        <v>653</v>
      </c>
      <c r="C219" s="26" t="s">
        <v>667</v>
      </c>
      <c r="D219" s="28" t="s">
        <v>675</v>
      </c>
      <c r="E219" s="28" t="s">
        <v>676</v>
      </c>
      <c r="F219" s="32">
        <v>3150</v>
      </c>
      <c r="G219" s="48" t="s">
        <v>677</v>
      </c>
      <c r="H219" s="48"/>
      <c r="I219" s="27" t="s">
        <v>90</v>
      </c>
      <c r="J219" s="27" t="s">
        <v>7</v>
      </c>
    </row>
    <row r="220" spans="1:10" ht="32.4" x14ac:dyDescent="0.3">
      <c r="A220" s="2" t="s">
        <v>53</v>
      </c>
      <c r="B220" s="26" t="s">
        <v>137</v>
      </c>
      <c r="C220" s="26" t="s">
        <v>678</v>
      </c>
      <c r="D220" s="28" t="s">
        <v>599</v>
      </c>
      <c r="E220" s="28" t="s">
        <v>679</v>
      </c>
      <c r="F220" s="32">
        <v>26000</v>
      </c>
      <c r="G220" s="48" t="s">
        <v>680</v>
      </c>
      <c r="H220" s="48"/>
      <c r="I220" s="27" t="s">
        <v>84</v>
      </c>
      <c r="J220" s="27" t="s">
        <v>7</v>
      </c>
    </row>
    <row r="221" spans="1:10" ht="32.4" x14ac:dyDescent="0.3">
      <c r="A221" s="2" t="s">
        <v>53</v>
      </c>
      <c r="B221" s="26" t="s">
        <v>137</v>
      </c>
      <c r="C221" s="26" t="s">
        <v>681</v>
      </c>
      <c r="D221" s="28" t="s">
        <v>537</v>
      </c>
      <c r="E221" s="28" t="s">
        <v>682</v>
      </c>
      <c r="F221" s="32">
        <v>102446</v>
      </c>
      <c r="G221" s="48" t="s">
        <v>683</v>
      </c>
      <c r="H221" s="48"/>
      <c r="I221" s="27" t="s">
        <v>7</v>
      </c>
      <c r="J221" s="27" t="s">
        <v>7</v>
      </c>
    </row>
    <row r="222" spans="1:10" ht="32.4" x14ac:dyDescent="0.3">
      <c r="A222" s="2" t="s">
        <v>53</v>
      </c>
      <c r="B222" s="26" t="s">
        <v>137</v>
      </c>
      <c r="C222" s="26" t="s">
        <v>684</v>
      </c>
      <c r="D222" s="28" t="s">
        <v>671</v>
      </c>
      <c r="E222" s="28" t="s">
        <v>685</v>
      </c>
      <c r="F222" s="32">
        <v>12730</v>
      </c>
      <c r="G222" s="48" t="s">
        <v>686</v>
      </c>
      <c r="H222" s="48"/>
      <c r="I222" s="27" t="s">
        <v>687</v>
      </c>
      <c r="J222" s="27" t="s">
        <v>7</v>
      </c>
    </row>
    <row r="223" spans="1:10" ht="32.4" x14ac:dyDescent="0.3">
      <c r="A223" s="2" t="s">
        <v>53</v>
      </c>
      <c r="B223" s="26" t="s">
        <v>137</v>
      </c>
      <c r="C223" s="26" t="s">
        <v>688</v>
      </c>
      <c r="D223" s="28" t="s">
        <v>556</v>
      </c>
      <c r="E223" s="28" t="s">
        <v>689</v>
      </c>
      <c r="F223" s="32">
        <v>15000</v>
      </c>
      <c r="G223" s="48" t="s">
        <v>690</v>
      </c>
      <c r="H223" s="48"/>
      <c r="I223" s="27" t="s">
        <v>359</v>
      </c>
      <c r="J223" s="27" t="s">
        <v>7</v>
      </c>
    </row>
    <row r="224" spans="1:10" ht="32.4" x14ac:dyDescent="0.3">
      <c r="A224" s="2" t="s">
        <v>53</v>
      </c>
      <c r="B224" s="26" t="s">
        <v>137</v>
      </c>
      <c r="C224" s="26" t="s">
        <v>691</v>
      </c>
      <c r="D224" s="28" t="s">
        <v>584</v>
      </c>
      <c r="E224" s="28" t="s">
        <v>692</v>
      </c>
      <c r="F224" s="32">
        <v>8259</v>
      </c>
      <c r="G224" s="48" t="s">
        <v>693</v>
      </c>
      <c r="H224" s="48"/>
      <c r="I224" s="27" t="s">
        <v>212</v>
      </c>
      <c r="J224" s="27" t="s">
        <v>7</v>
      </c>
    </row>
    <row r="225" spans="1:10" ht="48.6" x14ac:dyDescent="0.3">
      <c r="A225" s="2" t="s">
        <v>53</v>
      </c>
      <c r="B225" s="26" t="s">
        <v>137</v>
      </c>
      <c r="C225" s="26" t="s">
        <v>694</v>
      </c>
      <c r="D225" s="28" t="s">
        <v>655</v>
      </c>
      <c r="E225" s="28" t="s">
        <v>695</v>
      </c>
      <c r="F225" s="32">
        <v>4084</v>
      </c>
      <c r="G225" s="48" t="s">
        <v>696</v>
      </c>
      <c r="H225" s="48"/>
      <c r="I225" s="27" t="s">
        <v>90</v>
      </c>
      <c r="J225" s="27" t="s">
        <v>7</v>
      </c>
    </row>
    <row r="226" spans="1:10" ht="32.4" x14ac:dyDescent="0.3">
      <c r="A226" s="2" t="s">
        <v>53</v>
      </c>
      <c r="B226" s="26" t="s">
        <v>165</v>
      </c>
      <c r="C226" s="26" t="s">
        <v>697</v>
      </c>
      <c r="D226" s="28" t="s">
        <v>671</v>
      </c>
      <c r="E226" s="28" t="s">
        <v>698</v>
      </c>
      <c r="F226" s="32">
        <v>360</v>
      </c>
      <c r="G226" s="48" t="s">
        <v>699</v>
      </c>
      <c r="H226" s="48"/>
      <c r="I226" s="27" t="s">
        <v>359</v>
      </c>
      <c r="J226" s="27" t="s">
        <v>7</v>
      </c>
    </row>
    <row r="227" spans="1:10" ht="32.4" x14ac:dyDescent="0.3">
      <c r="A227" s="2" t="s">
        <v>53</v>
      </c>
      <c r="B227" s="26" t="s">
        <v>165</v>
      </c>
      <c r="C227" s="26" t="s">
        <v>697</v>
      </c>
      <c r="D227" s="28" t="s">
        <v>537</v>
      </c>
      <c r="E227" s="28" t="s">
        <v>698</v>
      </c>
      <c r="F227" s="32">
        <v>3057</v>
      </c>
      <c r="G227" s="48" t="s">
        <v>699</v>
      </c>
      <c r="H227" s="48"/>
      <c r="I227" s="27" t="s">
        <v>359</v>
      </c>
      <c r="J227" s="27" t="s">
        <v>7</v>
      </c>
    </row>
    <row r="228" spans="1:10" ht="32.4" x14ac:dyDescent="0.3">
      <c r="A228" s="2" t="s">
        <v>53</v>
      </c>
      <c r="B228" s="26" t="s">
        <v>165</v>
      </c>
      <c r="C228" s="26" t="s">
        <v>697</v>
      </c>
      <c r="D228" s="28" t="s">
        <v>700</v>
      </c>
      <c r="E228" s="28" t="s">
        <v>701</v>
      </c>
      <c r="F228" s="32">
        <v>6000</v>
      </c>
      <c r="G228" s="48" t="s">
        <v>702</v>
      </c>
      <c r="H228" s="48"/>
      <c r="I228" s="27" t="s">
        <v>359</v>
      </c>
      <c r="J228" s="27" t="s">
        <v>7</v>
      </c>
    </row>
    <row r="229" spans="1:10" ht="32.4" x14ac:dyDescent="0.3">
      <c r="A229" s="2" t="s">
        <v>53</v>
      </c>
      <c r="B229" s="26" t="s">
        <v>165</v>
      </c>
      <c r="C229" s="26" t="s">
        <v>697</v>
      </c>
      <c r="D229" s="28" t="s">
        <v>541</v>
      </c>
      <c r="E229" s="28" t="s">
        <v>703</v>
      </c>
      <c r="F229" s="32">
        <v>720</v>
      </c>
      <c r="G229" s="48" t="s">
        <v>704</v>
      </c>
      <c r="H229" s="48"/>
      <c r="I229" s="27" t="s">
        <v>84</v>
      </c>
      <c r="J229" s="27" t="s">
        <v>7</v>
      </c>
    </row>
    <row r="230" spans="1:10" ht="32.4" x14ac:dyDescent="0.3">
      <c r="A230" s="2" t="s">
        <v>53</v>
      </c>
      <c r="B230" s="26" t="s">
        <v>165</v>
      </c>
      <c r="C230" s="26" t="s">
        <v>705</v>
      </c>
      <c r="D230" s="28" t="s">
        <v>706</v>
      </c>
      <c r="E230" s="28" t="s">
        <v>707</v>
      </c>
      <c r="F230" s="32">
        <v>2920</v>
      </c>
      <c r="G230" s="48" t="s">
        <v>708</v>
      </c>
      <c r="H230" s="48"/>
      <c r="I230" s="27" t="s">
        <v>84</v>
      </c>
      <c r="J230" s="27" t="s">
        <v>7</v>
      </c>
    </row>
    <row r="231" spans="1:10" x14ac:dyDescent="0.3">
      <c r="A231" s="2" t="s">
        <v>53</v>
      </c>
      <c r="B231" s="26" t="s">
        <v>176</v>
      </c>
      <c r="C231" s="26" t="s">
        <v>709</v>
      </c>
      <c r="D231" s="28" t="s">
        <v>630</v>
      </c>
      <c r="E231" s="28" t="s">
        <v>710</v>
      </c>
      <c r="F231" s="32">
        <v>31500</v>
      </c>
      <c r="G231" s="48" t="s">
        <v>711</v>
      </c>
      <c r="H231" s="48"/>
      <c r="I231" s="27" t="s">
        <v>359</v>
      </c>
      <c r="J231" s="27" t="s">
        <v>7</v>
      </c>
    </row>
    <row r="232" spans="1:10" ht="32.4" x14ac:dyDescent="0.3">
      <c r="A232" s="2" t="s">
        <v>53</v>
      </c>
      <c r="B232" s="26" t="s">
        <v>176</v>
      </c>
      <c r="C232" s="26" t="s">
        <v>712</v>
      </c>
      <c r="D232" s="28" t="s">
        <v>537</v>
      </c>
      <c r="E232" s="28" t="s">
        <v>713</v>
      </c>
      <c r="F232" s="32">
        <v>15900</v>
      </c>
      <c r="G232" s="48" t="s">
        <v>714</v>
      </c>
      <c r="H232" s="48"/>
      <c r="I232" s="27" t="s">
        <v>359</v>
      </c>
      <c r="J232" s="27" t="s">
        <v>7</v>
      </c>
    </row>
    <row r="233" spans="1:10" ht="32.4" x14ac:dyDescent="0.3">
      <c r="A233" s="2" t="s">
        <v>53</v>
      </c>
      <c r="B233" s="26" t="s">
        <v>176</v>
      </c>
      <c r="C233" s="26" t="s">
        <v>715</v>
      </c>
      <c r="D233" s="28" t="s">
        <v>537</v>
      </c>
      <c r="E233" s="28" t="s">
        <v>716</v>
      </c>
      <c r="F233" s="32">
        <v>16760</v>
      </c>
      <c r="G233" s="48" t="s">
        <v>717</v>
      </c>
      <c r="H233" s="48"/>
      <c r="I233" s="27" t="s">
        <v>359</v>
      </c>
      <c r="J233" s="27" t="s">
        <v>7</v>
      </c>
    </row>
    <row r="234" spans="1:10" x14ac:dyDescent="0.3">
      <c r="A234" s="2" t="s">
        <v>53</v>
      </c>
      <c r="B234" s="26" t="s">
        <v>176</v>
      </c>
      <c r="C234" s="26" t="s">
        <v>718</v>
      </c>
      <c r="D234" s="28" t="s">
        <v>541</v>
      </c>
      <c r="E234" s="28" t="s">
        <v>719</v>
      </c>
      <c r="F234" s="32">
        <v>3150</v>
      </c>
      <c r="G234" s="48" t="s">
        <v>720</v>
      </c>
      <c r="H234" s="48"/>
      <c r="I234" s="27" t="s">
        <v>90</v>
      </c>
      <c r="J234" s="27" t="s">
        <v>7</v>
      </c>
    </row>
    <row r="235" spans="1:10" ht="32.4" x14ac:dyDescent="0.3">
      <c r="A235" s="2" t="s">
        <v>53</v>
      </c>
      <c r="B235" s="26" t="s">
        <v>176</v>
      </c>
      <c r="C235" s="26" t="s">
        <v>721</v>
      </c>
      <c r="D235" s="28" t="s">
        <v>722</v>
      </c>
      <c r="E235" s="28" t="s">
        <v>723</v>
      </c>
      <c r="F235" s="32">
        <v>3990</v>
      </c>
      <c r="G235" s="48" t="s">
        <v>724</v>
      </c>
      <c r="H235" s="48"/>
      <c r="I235" s="27" t="s">
        <v>725</v>
      </c>
      <c r="J235" s="27" t="s">
        <v>7</v>
      </c>
    </row>
    <row r="236" spans="1:10" ht="48.6" x14ac:dyDescent="0.3">
      <c r="A236" s="2" t="s">
        <v>53</v>
      </c>
      <c r="B236" s="26" t="s">
        <v>176</v>
      </c>
      <c r="C236" s="26" t="s">
        <v>726</v>
      </c>
      <c r="D236" s="28" t="s">
        <v>655</v>
      </c>
      <c r="E236" s="28" t="s">
        <v>727</v>
      </c>
      <c r="F236" s="32">
        <v>2042</v>
      </c>
      <c r="G236" s="48" t="s">
        <v>728</v>
      </c>
      <c r="H236" s="48"/>
      <c r="I236" s="27" t="s">
        <v>84</v>
      </c>
      <c r="J236" s="27" t="s">
        <v>7</v>
      </c>
    </row>
    <row r="237" spans="1:10" ht="32.4" x14ac:dyDescent="0.3">
      <c r="A237" s="2" t="s">
        <v>53</v>
      </c>
      <c r="B237" s="26" t="s">
        <v>184</v>
      </c>
      <c r="C237" s="26" t="s">
        <v>729</v>
      </c>
      <c r="D237" s="28" t="s">
        <v>671</v>
      </c>
      <c r="E237" s="28" t="s">
        <v>730</v>
      </c>
      <c r="F237" s="32">
        <v>80</v>
      </c>
      <c r="G237" s="48" t="s">
        <v>731</v>
      </c>
      <c r="H237" s="48"/>
      <c r="I237" s="27" t="s">
        <v>354</v>
      </c>
      <c r="J237" s="27" t="s">
        <v>7</v>
      </c>
    </row>
    <row r="238" spans="1:10" ht="32.4" x14ac:dyDescent="0.3">
      <c r="A238" s="2" t="s">
        <v>53</v>
      </c>
      <c r="B238" s="26" t="s">
        <v>204</v>
      </c>
      <c r="C238" s="26" t="s">
        <v>732</v>
      </c>
      <c r="D238" s="28" t="s">
        <v>706</v>
      </c>
      <c r="E238" s="28" t="s">
        <v>733</v>
      </c>
      <c r="F238" s="32">
        <v>2980</v>
      </c>
      <c r="G238" s="48" t="s">
        <v>734</v>
      </c>
      <c r="H238" s="48"/>
      <c r="I238" s="27" t="s">
        <v>289</v>
      </c>
      <c r="J238" s="27" t="s">
        <v>7</v>
      </c>
    </row>
    <row r="239" spans="1:10" x14ac:dyDescent="0.3">
      <c r="A239" s="2" t="s">
        <v>53</v>
      </c>
      <c r="B239" s="26" t="s">
        <v>204</v>
      </c>
      <c r="C239" s="26" t="s">
        <v>735</v>
      </c>
      <c r="D239" s="28" t="s">
        <v>623</v>
      </c>
      <c r="E239" s="28" t="s">
        <v>736</v>
      </c>
      <c r="F239" s="32">
        <v>18415</v>
      </c>
      <c r="G239" s="48" t="s">
        <v>737</v>
      </c>
      <c r="H239" s="48"/>
      <c r="I239" s="27" t="s">
        <v>496</v>
      </c>
      <c r="J239" s="27" t="s">
        <v>7</v>
      </c>
    </row>
    <row r="240" spans="1:10" ht="48.6" x14ac:dyDescent="0.3">
      <c r="A240" s="2" t="s">
        <v>53</v>
      </c>
      <c r="B240" s="26" t="s">
        <v>208</v>
      </c>
      <c r="C240" s="26" t="s">
        <v>738</v>
      </c>
      <c r="D240" s="28" t="s">
        <v>655</v>
      </c>
      <c r="E240" s="28" t="s">
        <v>739</v>
      </c>
      <c r="F240" s="32">
        <v>6127</v>
      </c>
      <c r="G240" s="48" t="s">
        <v>740</v>
      </c>
      <c r="H240" s="48"/>
      <c r="I240" s="27" t="s">
        <v>289</v>
      </c>
      <c r="J240" s="27" t="s">
        <v>7</v>
      </c>
    </row>
    <row r="241" spans="1:10" x14ac:dyDescent="0.3">
      <c r="A241" s="2" t="s">
        <v>53</v>
      </c>
      <c r="B241" s="26" t="s">
        <v>213</v>
      </c>
      <c r="C241" s="26" t="s">
        <v>741</v>
      </c>
      <c r="D241" s="28" t="s">
        <v>630</v>
      </c>
      <c r="E241" s="28" t="s">
        <v>742</v>
      </c>
      <c r="F241" s="32">
        <v>71454</v>
      </c>
      <c r="G241" s="48" t="s">
        <v>743</v>
      </c>
      <c r="H241" s="48"/>
      <c r="I241" s="27" t="s">
        <v>315</v>
      </c>
      <c r="J241" s="27" t="s">
        <v>7</v>
      </c>
    </row>
    <row r="242" spans="1:10" ht="32.4" x14ac:dyDescent="0.3">
      <c r="A242" s="2" t="s">
        <v>53</v>
      </c>
      <c r="B242" s="26" t="s">
        <v>217</v>
      </c>
      <c r="C242" s="26" t="s">
        <v>744</v>
      </c>
      <c r="D242" s="28" t="s">
        <v>584</v>
      </c>
      <c r="E242" s="28" t="s">
        <v>745</v>
      </c>
      <c r="F242" s="32">
        <v>37366</v>
      </c>
      <c r="G242" s="48" t="s">
        <v>746</v>
      </c>
      <c r="H242" s="48"/>
      <c r="I242" s="27" t="s">
        <v>123</v>
      </c>
      <c r="J242" s="27" t="s">
        <v>7</v>
      </c>
    </row>
    <row r="243" spans="1:10" x14ac:dyDescent="0.3">
      <c r="A243" s="2" t="s">
        <v>156</v>
      </c>
      <c r="B243" s="26" t="s">
        <v>226</v>
      </c>
      <c r="C243" s="26" t="s">
        <v>49</v>
      </c>
      <c r="D243" s="28" t="s">
        <v>7</v>
      </c>
      <c r="E243" s="28" t="s">
        <v>747</v>
      </c>
      <c r="F243" s="32">
        <v>5948</v>
      </c>
      <c r="G243" s="48" t="s">
        <v>748</v>
      </c>
      <c r="H243" s="48"/>
      <c r="I243" s="27" t="s">
        <v>233</v>
      </c>
      <c r="J243" s="27" t="s">
        <v>7</v>
      </c>
    </row>
    <row r="244" spans="1:10" x14ac:dyDescent="0.3">
      <c r="A244" s="2" t="s">
        <v>156</v>
      </c>
      <c r="B244" s="26" t="s">
        <v>226</v>
      </c>
      <c r="C244" s="26" t="s">
        <v>49</v>
      </c>
      <c r="D244" s="28" t="s">
        <v>7</v>
      </c>
      <c r="E244" s="28" t="s">
        <v>749</v>
      </c>
      <c r="F244" s="32">
        <v>1149</v>
      </c>
      <c r="G244" s="48" t="s">
        <v>750</v>
      </c>
      <c r="H244" s="48"/>
      <c r="I244" s="27" t="s">
        <v>233</v>
      </c>
      <c r="J244" s="27" t="s">
        <v>7</v>
      </c>
    </row>
    <row r="245" spans="1:10" x14ac:dyDescent="0.3">
      <c r="A245" s="2" t="s">
        <v>156</v>
      </c>
      <c r="B245" s="26" t="s">
        <v>226</v>
      </c>
      <c r="C245" s="26" t="s">
        <v>49</v>
      </c>
      <c r="D245" s="28" t="s">
        <v>7</v>
      </c>
      <c r="E245" s="28" t="s">
        <v>751</v>
      </c>
      <c r="F245" s="32">
        <v>1353</v>
      </c>
      <c r="G245" s="48" t="s">
        <v>752</v>
      </c>
      <c r="H245" s="48"/>
      <c r="I245" s="27" t="s">
        <v>233</v>
      </c>
      <c r="J245" s="27" t="s">
        <v>7</v>
      </c>
    </row>
    <row r="246" spans="1:10" x14ac:dyDescent="0.3">
      <c r="A246" s="2" t="s">
        <v>156</v>
      </c>
      <c r="B246" s="26" t="s">
        <v>226</v>
      </c>
      <c r="C246" s="26" t="s">
        <v>49</v>
      </c>
      <c r="D246" s="28" t="s">
        <v>7</v>
      </c>
      <c r="E246" s="28" t="s">
        <v>753</v>
      </c>
      <c r="F246" s="32">
        <v>2684</v>
      </c>
      <c r="G246" s="48" t="s">
        <v>754</v>
      </c>
      <c r="H246" s="48"/>
      <c r="I246" s="27" t="s">
        <v>233</v>
      </c>
      <c r="J246" s="27" t="s">
        <v>7</v>
      </c>
    </row>
    <row r="247" spans="1:10" ht="32.4" x14ac:dyDescent="0.3">
      <c r="A247" s="2" t="s">
        <v>53</v>
      </c>
      <c r="B247" s="26" t="s">
        <v>236</v>
      </c>
      <c r="C247" s="26" t="s">
        <v>755</v>
      </c>
      <c r="D247" s="28" t="s">
        <v>556</v>
      </c>
      <c r="E247" s="28" t="s">
        <v>756</v>
      </c>
      <c r="F247" s="32">
        <v>22050</v>
      </c>
      <c r="G247" s="48" t="s">
        <v>757</v>
      </c>
      <c r="H247" s="48"/>
      <c r="I247" s="27" t="s">
        <v>725</v>
      </c>
      <c r="J247" s="27" t="s">
        <v>7</v>
      </c>
    </row>
    <row r="248" spans="1:10" ht="32.4" x14ac:dyDescent="0.3">
      <c r="A248" s="2" t="s">
        <v>53</v>
      </c>
      <c r="B248" s="26" t="s">
        <v>247</v>
      </c>
      <c r="C248" s="26" t="s">
        <v>758</v>
      </c>
      <c r="D248" s="28" t="s">
        <v>671</v>
      </c>
      <c r="E248" s="28" t="s">
        <v>759</v>
      </c>
      <c r="F248" s="32">
        <v>50</v>
      </c>
      <c r="G248" s="48" t="s">
        <v>760</v>
      </c>
      <c r="H248" s="48"/>
      <c r="I248" s="27" t="s">
        <v>674</v>
      </c>
      <c r="J248" s="27" t="s">
        <v>7</v>
      </c>
    </row>
    <row r="249" spans="1:10" ht="32.4" x14ac:dyDescent="0.3">
      <c r="A249" s="2" t="s">
        <v>53</v>
      </c>
      <c r="B249" s="26" t="s">
        <v>247</v>
      </c>
      <c r="C249" s="26" t="s">
        <v>758</v>
      </c>
      <c r="D249" s="28" t="s">
        <v>537</v>
      </c>
      <c r="E249" s="28" t="s">
        <v>761</v>
      </c>
      <c r="F249" s="32">
        <v>1004</v>
      </c>
      <c r="G249" s="48" t="s">
        <v>762</v>
      </c>
      <c r="H249" s="48"/>
      <c r="I249" s="27" t="s">
        <v>763</v>
      </c>
      <c r="J249" s="27" t="s">
        <v>7</v>
      </c>
    </row>
    <row r="250" spans="1:10" ht="32.4" x14ac:dyDescent="0.3">
      <c r="A250" s="2" t="s">
        <v>53</v>
      </c>
      <c r="B250" s="26" t="s">
        <v>247</v>
      </c>
      <c r="C250" s="26" t="s">
        <v>764</v>
      </c>
      <c r="D250" s="28" t="s">
        <v>671</v>
      </c>
      <c r="E250" s="28" t="s">
        <v>765</v>
      </c>
      <c r="F250" s="32">
        <v>4500</v>
      </c>
      <c r="G250" s="48" t="s">
        <v>766</v>
      </c>
      <c r="H250" s="48"/>
      <c r="I250" s="27" t="s">
        <v>155</v>
      </c>
      <c r="J250" s="27" t="s">
        <v>7</v>
      </c>
    </row>
    <row r="251" spans="1:10" ht="32.4" x14ac:dyDescent="0.3">
      <c r="A251" s="2" t="s">
        <v>53</v>
      </c>
      <c r="B251" s="26" t="s">
        <v>247</v>
      </c>
      <c r="C251" s="26" t="s">
        <v>764</v>
      </c>
      <c r="D251" s="28" t="s">
        <v>541</v>
      </c>
      <c r="E251" s="28" t="s">
        <v>767</v>
      </c>
      <c r="F251" s="32">
        <v>1400</v>
      </c>
      <c r="G251" s="48" t="s">
        <v>768</v>
      </c>
      <c r="H251" s="48"/>
      <c r="I251" s="27" t="s">
        <v>456</v>
      </c>
      <c r="J251" s="27" t="s">
        <v>7</v>
      </c>
    </row>
    <row r="252" spans="1:10" ht="48.6" x14ac:dyDescent="0.3">
      <c r="A252" s="2" t="s">
        <v>53</v>
      </c>
      <c r="B252" s="26" t="s">
        <v>247</v>
      </c>
      <c r="C252" s="26" t="s">
        <v>769</v>
      </c>
      <c r="D252" s="28" t="s">
        <v>655</v>
      </c>
      <c r="E252" s="28" t="s">
        <v>770</v>
      </c>
      <c r="F252" s="32">
        <v>4084</v>
      </c>
      <c r="G252" s="48" t="s">
        <v>771</v>
      </c>
      <c r="H252" s="48"/>
      <c r="I252" s="27" t="s">
        <v>155</v>
      </c>
      <c r="J252" s="27" t="s">
        <v>7</v>
      </c>
    </row>
    <row r="253" spans="1:10" ht="48.6" x14ac:dyDescent="0.3">
      <c r="A253" s="2" t="s">
        <v>53</v>
      </c>
      <c r="B253" s="26" t="s">
        <v>247</v>
      </c>
      <c r="C253" s="26" t="s">
        <v>769</v>
      </c>
      <c r="D253" s="28" t="s">
        <v>655</v>
      </c>
      <c r="E253" s="28" t="s">
        <v>772</v>
      </c>
      <c r="F253" s="32">
        <v>2000</v>
      </c>
      <c r="G253" s="48" t="s">
        <v>773</v>
      </c>
      <c r="H253" s="48"/>
      <c r="I253" s="27" t="s">
        <v>126</v>
      </c>
      <c r="J253" s="27" t="s">
        <v>7</v>
      </c>
    </row>
    <row r="254" spans="1:10" x14ac:dyDescent="0.3">
      <c r="A254" s="2" t="s">
        <v>22</v>
      </c>
      <c r="B254" s="26" t="s">
        <v>257</v>
      </c>
      <c r="C254" s="26" t="s">
        <v>49</v>
      </c>
      <c r="D254" s="28" t="s">
        <v>7</v>
      </c>
      <c r="E254" s="28" t="s">
        <v>258</v>
      </c>
      <c r="F254" s="32">
        <v>44500</v>
      </c>
      <c r="G254" s="48" t="s">
        <v>259</v>
      </c>
      <c r="H254" s="48"/>
      <c r="I254" s="27" t="s">
        <v>260</v>
      </c>
      <c r="J254" s="27" t="s">
        <v>7</v>
      </c>
    </row>
    <row r="255" spans="1:10" x14ac:dyDescent="0.3">
      <c r="A255" s="2" t="s">
        <v>156</v>
      </c>
      <c r="B255" s="26" t="s">
        <v>257</v>
      </c>
      <c r="C255" s="26" t="s">
        <v>158</v>
      </c>
      <c r="D255" s="28" t="s">
        <v>7</v>
      </c>
      <c r="E255" s="28" t="s">
        <v>774</v>
      </c>
      <c r="F255" s="32">
        <v>5250</v>
      </c>
      <c r="G255" s="48" t="s">
        <v>775</v>
      </c>
      <c r="H255" s="48"/>
      <c r="I255" s="27" t="s">
        <v>354</v>
      </c>
      <c r="J255" s="27" t="s">
        <v>7</v>
      </c>
    </row>
    <row r="256" spans="1:10" ht="32.4" x14ac:dyDescent="0.3">
      <c r="A256" s="2" t="s">
        <v>156</v>
      </c>
      <c r="B256" s="26" t="s">
        <v>269</v>
      </c>
      <c r="C256" s="26" t="s">
        <v>158</v>
      </c>
      <c r="D256" s="28" t="s">
        <v>7</v>
      </c>
      <c r="E256" s="28" t="s">
        <v>776</v>
      </c>
      <c r="F256" s="32">
        <v>4084</v>
      </c>
      <c r="G256" s="48" t="s">
        <v>777</v>
      </c>
      <c r="H256" s="48"/>
      <c r="I256" s="27" t="s">
        <v>687</v>
      </c>
      <c r="J256" s="27" t="s">
        <v>7</v>
      </c>
    </row>
    <row r="257" spans="1:10" ht="32.4" x14ac:dyDescent="0.3">
      <c r="A257" s="2" t="s">
        <v>156</v>
      </c>
      <c r="B257" s="26" t="s">
        <v>269</v>
      </c>
      <c r="C257" s="26" t="s">
        <v>158</v>
      </c>
      <c r="D257" s="28" t="s">
        <v>7</v>
      </c>
      <c r="E257" s="28" t="s">
        <v>778</v>
      </c>
      <c r="F257" s="32">
        <v>2920</v>
      </c>
      <c r="G257" s="48" t="s">
        <v>779</v>
      </c>
      <c r="H257" s="48"/>
      <c r="I257" s="27" t="s">
        <v>687</v>
      </c>
      <c r="J257" s="27" t="s">
        <v>7</v>
      </c>
    </row>
    <row r="258" spans="1:10" ht="32.4" x14ac:dyDescent="0.3">
      <c r="A258" s="2" t="s">
        <v>53</v>
      </c>
      <c r="B258" s="26" t="s">
        <v>285</v>
      </c>
      <c r="C258" s="26" t="s">
        <v>780</v>
      </c>
      <c r="D258" s="28" t="s">
        <v>537</v>
      </c>
      <c r="E258" s="28" t="s">
        <v>781</v>
      </c>
      <c r="F258" s="32">
        <v>6870</v>
      </c>
      <c r="G258" s="48" t="s">
        <v>782</v>
      </c>
      <c r="H258" s="48"/>
      <c r="I258" s="27" t="s">
        <v>606</v>
      </c>
      <c r="J258" s="27" t="s">
        <v>7</v>
      </c>
    </row>
    <row r="259" spans="1:10" ht="32.4" x14ac:dyDescent="0.3">
      <c r="A259" s="2" t="s">
        <v>53</v>
      </c>
      <c r="B259" s="26" t="s">
        <v>300</v>
      </c>
      <c r="C259" s="26" t="s">
        <v>783</v>
      </c>
      <c r="D259" s="28" t="s">
        <v>537</v>
      </c>
      <c r="E259" s="28" t="s">
        <v>784</v>
      </c>
      <c r="F259" s="32">
        <v>3722</v>
      </c>
      <c r="G259" s="48" t="s">
        <v>785</v>
      </c>
      <c r="H259" s="48"/>
      <c r="I259" s="27" t="s">
        <v>359</v>
      </c>
      <c r="J259" s="27" t="s">
        <v>7</v>
      </c>
    </row>
    <row r="260" spans="1:10" ht="32.4" x14ac:dyDescent="0.3">
      <c r="A260" s="2" t="s">
        <v>53</v>
      </c>
      <c r="B260" s="26" t="s">
        <v>300</v>
      </c>
      <c r="C260" s="26" t="s">
        <v>783</v>
      </c>
      <c r="D260" s="28" t="s">
        <v>556</v>
      </c>
      <c r="E260" s="28" t="s">
        <v>786</v>
      </c>
      <c r="F260" s="32">
        <v>6260</v>
      </c>
      <c r="G260" s="48" t="s">
        <v>787</v>
      </c>
      <c r="H260" s="48"/>
      <c r="I260" s="27" t="s">
        <v>359</v>
      </c>
      <c r="J260" s="27" t="s">
        <v>7</v>
      </c>
    </row>
    <row r="261" spans="1:10" ht="32.4" x14ac:dyDescent="0.3">
      <c r="A261" s="2" t="s">
        <v>53</v>
      </c>
      <c r="B261" s="26" t="s">
        <v>300</v>
      </c>
      <c r="C261" s="26" t="s">
        <v>788</v>
      </c>
      <c r="D261" s="28" t="s">
        <v>537</v>
      </c>
      <c r="E261" s="28" t="s">
        <v>789</v>
      </c>
      <c r="F261" s="32">
        <v>495</v>
      </c>
      <c r="G261" s="48" t="s">
        <v>790</v>
      </c>
      <c r="H261" s="48"/>
      <c r="I261" s="27" t="s">
        <v>725</v>
      </c>
      <c r="J261" s="27" t="s">
        <v>7</v>
      </c>
    </row>
    <row r="262" spans="1:10" ht="32.4" x14ac:dyDescent="0.3">
      <c r="A262" s="2" t="s">
        <v>53</v>
      </c>
      <c r="B262" s="26" t="s">
        <v>300</v>
      </c>
      <c r="C262" s="26" t="s">
        <v>791</v>
      </c>
      <c r="D262" s="28" t="s">
        <v>571</v>
      </c>
      <c r="E262" s="28" t="s">
        <v>792</v>
      </c>
      <c r="F262" s="32">
        <v>636</v>
      </c>
      <c r="G262" s="48" t="s">
        <v>793</v>
      </c>
      <c r="H262" s="48"/>
      <c r="I262" s="27" t="s">
        <v>354</v>
      </c>
      <c r="J262" s="27" t="s">
        <v>7</v>
      </c>
    </row>
    <row r="263" spans="1:10" ht="32.4" x14ac:dyDescent="0.3">
      <c r="A263" s="2" t="s">
        <v>53</v>
      </c>
      <c r="B263" s="26" t="s">
        <v>300</v>
      </c>
      <c r="C263" s="26" t="s">
        <v>791</v>
      </c>
      <c r="D263" s="28" t="s">
        <v>571</v>
      </c>
      <c r="E263" s="28" t="s">
        <v>794</v>
      </c>
      <c r="F263" s="32">
        <v>700</v>
      </c>
      <c r="G263" s="48" t="s">
        <v>795</v>
      </c>
      <c r="H263" s="48"/>
      <c r="I263" s="27" t="s">
        <v>354</v>
      </c>
      <c r="J263" s="27" t="s">
        <v>7</v>
      </c>
    </row>
    <row r="264" spans="1:10" ht="32.4" x14ac:dyDescent="0.3">
      <c r="A264" s="2" t="s">
        <v>53</v>
      </c>
      <c r="B264" s="26" t="s">
        <v>300</v>
      </c>
      <c r="C264" s="26" t="s">
        <v>791</v>
      </c>
      <c r="D264" s="28" t="s">
        <v>537</v>
      </c>
      <c r="E264" s="28" t="s">
        <v>796</v>
      </c>
      <c r="F264" s="32">
        <v>1400</v>
      </c>
      <c r="G264" s="48" t="s">
        <v>597</v>
      </c>
      <c r="H264" s="48"/>
      <c r="I264" s="27" t="s">
        <v>354</v>
      </c>
      <c r="J264" s="27" t="s">
        <v>7</v>
      </c>
    </row>
    <row r="265" spans="1:10" ht="32.4" x14ac:dyDescent="0.3">
      <c r="A265" s="2" t="s">
        <v>53</v>
      </c>
      <c r="B265" s="26" t="s">
        <v>307</v>
      </c>
      <c r="C265" s="26" t="s">
        <v>797</v>
      </c>
      <c r="D265" s="28" t="s">
        <v>700</v>
      </c>
      <c r="E265" s="28" t="s">
        <v>798</v>
      </c>
      <c r="F265" s="32">
        <v>3000</v>
      </c>
      <c r="G265" s="48" t="s">
        <v>799</v>
      </c>
      <c r="H265" s="48"/>
      <c r="I265" s="27" t="s">
        <v>800</v>
      </c>
      <c r="J265" s="27" t="s">
        <v>7</v>
      </c>
    </row>
    <row r="266" spans="1:10" ht="32.4" x14ac:dyDescent="0.3">
      <c r="A266" s="2" t="s">
        <v>53</v>
      </c>
      <c r="B266" s="26" t="s">
        <v>307</v>
      </c>
      <c r="C266" s="26" t="s">
        <v>797</v>
      </c>
      <c r="D266" s="28" t="s">
        <v>537</v>
      </c>
      <c r="E266" s="28" t="s">
        <v>801</v>
      </c>
      <c r="F266" s="32">
        <v>2337</v>
      </c>
      <c r="G266" s="48" t="s">
        <v>802</v>
      </c>
      <c r="H266" s="48"/>
      <c r="I266" s="27" t="s">
        <v>359</v>
      </c>
      <c r="J266" s="27" t="s">
        <v>7</v>
      </c>
    </row>
    <row r="267" spans="1:10" ht="32.4" x14ac:dyDescent="0.3">
      <c r="A267" s="2" t="s">
        <v>53</v>
      </c>
      <c r="B267" s="26" t="s">
        <v>307</v>
      </c>
      <c r="C267" s="26" t="s">
        <v>803</v>
      </c>
      <c r="D267" s="28" t="s">
        <v>556</v>
      </c>
      <c r="E267" s="28" t="s">
        <v>804</v>
      </c>
      <c r="F267" s="32">
        <v>54800</v>
      </c>
      <c r="G267" s="48" t="s">
        <v>805</v>
      </c>
      <c r="H267" s="48"/>
      <c r="I267" s="27" t="s">
        <v>806</v>
      </c>
      <c r="J267" s="27" t="s">
        <v>7</v>
      </c>
    </row>
    <row r="268" spans="1:10" ht="32.4" x14ac:dyDescent="0.3">
      <c r="A268" s="2" t="s">
        <v>53</v>
      </c>
      <c r="B268" s="26" t="s">
        <v>307</v>
      </c>
      <c r="C268" s="26" t="s">
        <v>807</v>
      </c>
      <c r="D268" s="28" t="s">
        <v>571</v>
      </c>
      <c r="E268" s="28" t="s">
        <v>808</v>
      </c>
      <c r="F268" s="32">
        <v>148800</v>
      </c>
      <c r="G268" s="48" t="s">
        <v>809</v>
      </c>
      <c r="H268" s="48"/>
      <c r="I268" s="27" t="s">
        <v>640</v>
      </c>
      <c r="J268" s="27" t="s">
        <v>7</v>
      </c>
    </row>
    <row r="269" spans="1:10" ht="32.4" x14ac:dyDescent="0.3">
      <c r="A269" s="2" t="s">
        <v>53</v>
      </c>
      <c r="B269" s="26" t="s">
        <v>307</v>
      </c>
      <c r="C269" s="26" t="s">
        <v>810</v>
      </c>
      <c r="D269" s="28" t="s">
        <v>811</v>
      </c>
      <c r="E269" s="28" t="s">
        <v>812</v>
      </c>
      <c r="F269" s="32">
        <v>1312</v>
      </c>
      <c r="G269" s="48" t="s">
        <v>813</v>
      </c>
      <c r="H269" s="48"/>
      <c r="I269" s="27" t="s">
        <v>67</v>
      </c>
      <c r="J269" s="27" t="s">
        <v>7</v>
      </c>
    </row>
    <row r="270" spans="1:10" ht="32.4" x14ac:dyDescent="0.3">
      <c r="A270" s="2" t="s">
        <v>53</v>
      </c>
      <c r="B270" s="26" t="s">
        <v>307</v>
      </c>
      <c r="C270" s="26" t="s">
        <v>810</v>
      </c>
      <c r="D270" s="28" t="s">
        <v>571</v>
      </c>
      <c r="E270" s="28" t="s">
        <v>814</v>
      </c>
      <c r="F270" s="32">
        <v>638</v>
      </c>
      <c r="G270" s="48" t="s">
        <v>815</v>
      </c>
      <c r="H270" s="48"/>
      <c r="I270" s="27" t="s">
        <v>354</v>
      </c>
      <c r="J270" s="27" t="s">
        <v>7</v>
      </c>
    </row>
    <row r="271" spans="1:10" ht="32.4" x14ac:dyDescent="0.3">
      <c r="A271" s="2" t="s">
        <v>53</v>
      </c>
      <c r="B271" s="26" t="s">
        <v>307</v>
      </c>
      <c r="C271" s="26" t="s">
        <v>810</v>
      </c>
      <c r="D271" s="28" t="s">
        <v>571</v>
      </c>
      <c r="E271" s="28" t="s">
        <v>816</v>
      </c>
      <c r="F271" s="32">
        <v>659</v>
      </c>
      <c r="G271" s="48" t="s">
        <v>817</v>
      </c>
      <c r="H271" s="48"/>
      <c r="I271" s="27" t="s">
        <v>354</v>
      </c>
      <c r="J271" s="27" t="s">
        <v>7</v>
      </c>
    </row>
    <row r="272" spans="1:10" ht="32.4" x14ac:dyDescent="0.3">
      <c r="A272" s="2" t="s">
        <v>53</v>
      </c>
      <c r="B272" s="26" t="s">
        <v>307</v>
      </c>
      <c r="C272" s="26" t="s">
        <v>810</v>
      </c>
      <c r="D272" s="28" t="s">
        <v>571</v>
      </c>
      <c r="E272" s="28" t="s">
        <v>818</v>
      </c>
      <c r="F272" s="32">
        <v>637</v>
      </c>
      <c r="G272" s="48" t="s">
        <v>819</v>
      </c>
      <c r="H272" s="48"/>
      <c r="I272" s="27" t="s">
        <v>354</v>
      </c>
      <c r="J272" s="27" t="s">
        <v>7</v>
      </c>
    </row>
    <row r="273" spans="1:10" ht="32.4" x14ac:dyDescent="0.3">
      <c r="A273" s="2" t="s">
        <v>53</v>
      </c>
      <c r="B273" s="26" t="s">
        <v>307</v>
      </c>
      <c r="C273" s="26" t="s">
        <v>810</v>
      </c>
      <c r="D273" s="28" t="s">
        <v>537</v>
      </c>
      <c r="E273" s="28" t="s">
        <v>820</v>
      </c>
      <c r="F273" s="32">
        <v>2985</v>
      </c>
      <c r="G273" s="48" t="s">
        <v>821</v>
      </c>
      <c r="H273" s="48"/>
      <c r="I273" s="27" t="s">
        <v>822</v>
      </c>
      <c r="J273" s="27" t="s">
        <v>7</v>
      </c>
    </row>
    <row r="274" spans="1:10" ht="32.4" x14ac:dyDescent="0.3">
      <c r="A274" s="2" t="s">
        <v>53</v>
      </c>
      <c r="B274" s="26" t="s">
        <v>307</v>
      </c>
      <c r="C274" s="26" t="s">
        <v>810</v>
      </c>
      <c r="D274" s="28" t="s">
        <v>556</v>
      </c>
      <c r="E274" s="28" t="s">
        <v>823</v>
      </c>
      <c r="F274" s="32">
        <v>2205</v>
      </c>
      <c r="G274" s="48" t="s">
        <v>824</v>
      </c>
      <c r="H274" s="48"/>
      <c r="I274" s="27" t="s">
        <v>725</v>
      </c>
      <c r="J274" s="27" t="s">
        <v>7</v>
      </c>
    </row>
    <row r="275" spans="1:10" x14ac:dyDescent="0.3">
      <c r="A275" s="2" t="s">
        <v>53</v>
      </c>
      <c r="B275" s="26" t="s">
        <v>307</v>
      </c>
      <c r="C275" s="26" t="s">
        <v>810</v>
      </c>
      <c r="D275" s="28" t="s">
        <v>541</v>
      </c>
      <c r="E275" s="28" t="s">
        <v>825</v>
      </c>
      <c r="F275" s="32">
        <v>801</v>
      </c>
      <c r="G275" s="48" t="s">
        <v>826</v>
      </c>
      <c r="H275" s="48"/>
      <c r="I275" s="27" t="s">
        <v>90</v>
      </c>
      <c r="J275" s="27" t="s">
        <v>7</v>
      </c>
    </row>
    <row r="276" spans="1:10" ht="48.6" x14ac:dyDescent="0.3">
      <c r="A276" s="2" t="s">
        <v>53</v>
      </c>
      <c r="B276" s="26" t="s">
        <v>307</v>
      </c>
      <c r="C276" s="26" t="s">
        <v>827</v>
      </c>
      <c r="D276" s="28" t="s">
        <v>655</v>
      </c>
      <c r="E276" s="28" t="s">
        <v>828</v>
      </c>
      <c r="F276" s="32">
        <v>42374</v>
      </c>
      <c r="G276" s="48" t="s">
        <v>829</v>
      </c>
      <c r="H276" s="48"/>
      <c r="I276" s="27" t="s">
        <v>123</v>
      </c>
      <c r="J276" s="27" t="s">
        <v>7</v>
      </c>
    </row>
    <row r="277" spans="1:10" x14ac:dyDescent="0.3">
      <c r="A277" s="2" t="s">
        <v>156</v>
      </c>
      <c r="B277" s="26" t="s">
        <v>307</v>
      </c>
      <c r="C277" s="26" t="s">
        <v>158</v>
      </c>
      <c r="D277" s="28" t="s">
        <v>7</v>
      </c>
      <c r="E277" s="28" t="s">
        <v>830</v>
      </c>
      <c r="F277" s="32">
        <v>7200</v>
      </c>
      <c r="G277" s="48" t="s">
        <v>831</v>
      </c>
      <c r="H277" s="48"/>
      <c r="I277" s="27" t="s">
        <v>832</v>
      </c>
      <c r="J277" s="27" t="s">
        <v>7</v>
      </c>
    </row>
    <row r="278" spans="1:10" ht="48.6" x14ac:dyDescent="0.3">
      <c r="A278" s="2" t="s">
        <v>53</v>
      </c>
      <c r="B278" s="26" t="s">
        <v>322</v>
      </c>
      <c r="C278" s="26" t="s">
        <v>833</v>
      </c>
      <c r="D278" s="28" t="s">
        <v>655</v>
      </c>
      <c r="E278" s="28" t="s">
        <v>834</v>
      </c>
      <c r="F278" s="32">
        <v>12000</v>
      </c>
      <c r="G278" s="48" t="s">
        <v>835</v>
      </c>
      <c r="H278" s="48"/>
      <c r="I278" s="27" t="s">
        <v>640</v>
      </c>
      <c r="J278" s="27" t="s">
        <v>7</v>
      </c>
    </row>
    <row r="279" spans="1:10" ht="32.4" x14ac:dyDescent="0.3">
      <c r="A279" s="2" t="s">
        <v>53</v>
      </c>
      <c r="B279" s="26" t="s">
        <v>322</v>
      </c>
      <c r="C279" s="26" t="s">
        <v>338</v>
      </c>
      <c r="D279" s="28" t="s">
        <v>537</v>
      </c>
      <c r="E279" s="28" t="s">
        <v>339</v>
      </c>
      <c r="F279" s="32">
        <v>2699</v>
      </c>
      <c r="G279" s="48" t="s">
        <v>340</v>
      </c>
      <c r="H279" s="48"/>
      <c r="I279" s="27" t="s">
        <v>200</v>
      </c>
      <c r="J279" s="27" t="s">
        <v>7</v>
      </c>
    </row>
    <row r="280" spans="1:10" ht="32.4" x14ac:dyDescent="0.3">
      <c r="A280" s="2" t="s">
        <v>53</v>
      </c>
      <c r="B280" s="26" t="s">
        <v>322</v>
      </c>
      <c r="C280" s="26" t="s">
        <v>836</v>
      </c>
      <c r="D280" s="28" t="s">
        <v>675</v>
      </c>
      <c r="E280" s="28" t="s">
        <v>837</v>
      </c>
      <c r="F280" s="32">
        <v>11550</v>
      </c>
      <c r="G280" s="48" t="s">
        <v>838</v>
      </c>
      <c r="H280" s="48"/>
      <c r="I280" s="27" t="s">
        <v>67</v>
      </c>
      <c r="J280" s="27" t="s">
        <v>7</v>
      </c>
    </row>
    <row r="281" spans="1:10" ht="32.4" x14ac:dyDescent="0.3">
      <c r="A281" s="2" t="s">
        <v>53</v>
      </c>
      <c r="B281" s="26" t="s">
        <v>322</v>
      </c>
      <c r="C281" s="26" t="s">
        <v>839</v>
      </c>
      <c r="D281" s="28" t="s">
        <v>599</v>
      </c>
      <c r="E281" s="28" t="s">
        <v>840</v>
      </c>
      <c r="F281" s="32">
        <v>70560</v>
      </c>
      <c r="G281" s="48" t="s">
        <v>841</v>
      </c>
      <c r="H281" s="48"/>
      <c r="I281" s="27" t="s">
        <v>456</v>
      </c>
      <c r="J281" s="27" t="s">
        <v>7</v>
      </c>
    </row>
    <row r="282" spans="1:10" x14ac:dyDescent="0.3">
      <c r="A282" s="2" t="s">
        <v>156</v>
      </c>
      <c r="B282" s="26" t="s">
        <v>322</v>
      </c>
      <c r="C282" s="26" t="s">
        <v>158</v>
      </c>
      <c r="D282" s="28" t="s">
        <v>7</v>
      </c>
      <c r="E282" s="28" t="s">
        <v>842</v>
      </c>
      <c r="F282" s="32">
        <v>1980</v>
      </c>
      <c r="G282" s="48" t="s">
        <v>843</v>
      </c>
      <c r="H282" s="48"/>
      <c r="I282" s="27" t="s">
        <v>844</v>
      </c>
      <c r="J282" s="27" t="s">
        <v>7</v>
      </c>
    </row>
    <row r="283" spans="1:10" ht="32.4" x14ac:dyDescent="0.3">
      <c r="A283" s="2" t="s">
        <v>53</v>
      </c>
      <c r="B283" s="26" t="s">
        <v>350</v>
      </c>
      <c r="C283" s="26" t="s">
        <v>845</v>
      </c>
      <c r="D283" s="28" t="s">
        <v>671</v>
      </c>
      <c r="E283" s="28" t="s">
        <v>846</v>
      </c>
      <c r="F283" s="32">
        <v>90</v>
      </c>
      <c r="G283" s="48" t="s">
        <v>847</v>
      </c>
      <c r="H283" s="48"/>
      <c r="I283" s="27" t="s">
        <v>155</v>
      </c>
      <c r="J283" s="27" t="s">
        <v>7</v>
      </c>
    </row>
    <row r="284" spans="1:10" ht="32.4" x14ac:dyDescent="0.3">
      <c r="A284" s="2" t="s">
        <v>53</v>
      </c>
      <c r="B284" s="26" t="s">
        <v>350</v>
      </c>
      <c r="C284" s="26" t="s">
        <v>848</v>
      </c>
      <c r="D284" s="28" t="s">
        <v>706</v>
      </c>
      <c r="E284" s="28" t="s">
        <v>849</v>
      </c>
      <c r="F284" s="32">
        <v>2780</v>
      </c>
      <c r="G284" s="48" t="s">
        <v>850</v>
      </c>
      <c r="H284" s="48"/>
      <c r="I284" s="27" t="s">
        <v>155</v>
      </c>
      <c r="J284" s="27" t="s">
        <v>7</v>
      </c>
    </row>
    <row r="285" spans="1:10" ht="32.4" x14ac:dyDescent="0.3">
      <c r="A285" s="2" t="s">
        <v>53</v>
      </c>
      <c r="B285" s="26" t="s">
        <v>350</v>
      </c>
      <c r="C285" s="26" t="s">
        <v>848</v>
      </c>
      <c r="D285" s="28" t="s">
        <v>706</v>
      </c>
      <c r="E285" s="28" t="s">
        <v>851</v>
      </c>
      <c r="F285" s="32">
        <v>2920</v>
      </c>
      <c r="G285" s="48" t="s">
        <v>852</v>
      </c>
      <c r="H285" s="48"/>
      <c r="I285" s="27" t="s">
        <v>155</v>
      </c>
      <c r="J285" s="27" t="s">
        <v>7</v>
      </c>
    </row>
    <row r="286" spans="1:10" ht="48.6" x14ac:dyDescent="0.3">
      <c r="A286" s="2" t="s">
        <v>53</v>
      </c>
      <c r="B286" s="26" t="s">
        <v>350</v>
      </c>
      <c r="C286" s="26" t="s">
        <v>853</v>
      </c>
      <c r="D286" s="28" t="s">
        <v>655</v>
      </c>
      <c r="E286" s="28" t="s">
        <v>854</v>
      </c>
      <c r="F286" s="32">
        <v>4084</v>
      </c>
      <c r="G286" s="48" t="s">
        <v>855</v>
      </c>
      <c r="H286" s="48"/>
      <c r="I286" s="27" t="s">
        <v>155</v>
      </c>
      <c r="J286" s="27" t="s">
        <v>7</v>
      </c>
    </row>
    <row r="287" spans="1:10" ht="48.6" x14ac:dyDescent="0.3">
      <c r="A287" s="2" t="s">
        <v>53</v>
      </c>
      <c r="B287" s="26" t="s">
        <v>350</v>
      </c>
      <c r="C287" s="26" t="s">
        <v>853</v>
      </c>
      <c r="D287" s="28" t="s">
        <v>655</v>
      </c>
      <c r="E287" s="28" t="s">
        <v>856</v>
      </c>
      <c r="F287" s="32">
        <v>4084</v>
      </c>
      <c r="G287" s="48" t="s">
        <v>857</v>
      </c>
      <c r="H287" s="48"/>
      <c r="I287" s="27" t="s">
        <v>155</v>
      </c>
      <c r="J287" s="27" t="s">
        <v>7</v>
      </c>
    </row>
    <row r="288" spans="1:10" ht="48.6" x14ac:dyDescent="0.3">
      <c r="A288" s="2" t="s">
        <v>53</v>
      </c>
      <c r="B288" s="26" t="s">
        <v>350</v>
      </c>
      <c r="C288" s="26" t="s">
        <v>853</v>
      </c>
      <c r="D288" s="28" t="s">
        <v>655</v>
      </c>
      <c r="E288" s="28" t="s">
        <v>858</v>
      </c>
      <c r="F288" s="32">
        <v>1000</v>
      </c>
      <c r="G288" s="48" t="s">
        <v>859</v>
      </c>
      <c r="H288" s="48"/>
      <c r="I288" s="27" t="s">
        <v>640</v>
      </c>
      <c r="J288" s="27" t="s">
        <v>7</v>
      </c>
    </row>
    <row r="289" spans="1:10" ht="48.6" x14ac:dyDescent="0.3">
      <c r="A289" s="2" t="s">
        <v>53</v>
      </c>
      <c r="B289" s="26" t="s">
        <v>350</v>
      </c>
      <c r="C289" s="26" t="s">
        <v>853</v>
      </c>
      <c r="D289" s="28" t="s">
        <v>655</v>
      </c>
      <c r="E289" s="28" t="s">
        <v>860</v>
      </c>
      <c r="F289" s="32">
        <v>2000</v>
      </c>
      <c r="G289" s="48" t="s">
        <v>861</v>
      </c>
      <c r="H289" s="48"/>
      <c r="I289" s="27" t="s">
        <v>126</v>
      </c>
      <c r="J289" s="27" t="s">
        <v>7</v>
      </c>
    </row>
    <row r="290" spans="1:10" ht="48.6" x14ac:dyDescent="0.3">
      <c r="A290" s="2" t="s">
        <v>53</v>
      </c>
      <c r="B290" s="26" t="s">
        <v>350</v>
      </c>
      <c r="C290" s="26" t="s">
        <v>853</v>
      </c>
      <c r="D290" s="28" t="s">
        <v>655</v>
      </c>
      <c r="E290" s="28" t="s">
        <v>862</v>
      </c>
      <c r="F290" s="32">
        <v>2000</v>
      </c>
      <c r="G290" s="48" t="s">
        <v>863</v>
      </c>
      <c r="H290" s="48"/>
      <c r="I290" s="27" t="s">
        <v>126</v>
      </c>
      <c r="J290" s="27" t="s">
        <v>7</v>
      </c>
    </row>
    <row r="291" spans="1:10" ht="32.4" x14ac:dyDescent="0.3">
      <c r="A291" s="2" t="s">
        <v>53</v>
      </c>
      <c r="B291" s="26" t="s">
        <v>355</v>
      </c>
      <c r="C291" s="26" t="s">
        <v>864</v>
      </c>
      <c r="D291" s="28" t="s">
        <v>671</v>
      </c>
      <c r="E291" s="28" t="s">
        <v>865</v>
      </c>
      <c r="F291" s="32">
        <v>646</v>
      </c>
      <c r="G291" s="48" t="s">
        <v>866</v>
      </c>
      <c r="H291" s="48"/>
      <c r="I291" s="27" t="s">
        <v>867</v>
      </c>
      <c r="J291" s="27" t="s">
        <v>7</v>
      </c>
    </row>
    <row r="292" spans="1:10" ht="32.4" x14ac:dyDescent="0.3">
      <c r="A292" s="2" t="s">
        <v>53</v>
      </c>
      <c r="B292" s="26" t="s">
        <v>355</v>
      </c>
      <c r="C292" s="26" t="s">
        <v>864</v>
      </c>
      <c r="D292" s="28" t="s">
        <v>537</v>
      </c>
      <c r="E292" s="28" t="s">
        <v>868</v>
      </c>
      <c r="F292" s="32">
        <v>1374</v>
      </c>
      <c r="G292" s="48" t="s">
        <v>869</v>
      </c>
      <c r="H292" s="48"/>
      <c r="I292" s="27" t="s">
        <v>359</v>
      </c>
      <c r="J292" s="27" t="s">
        <v>7</v>
      </c>
    </row>
    <row r="293" spans="1:10" ht="32.4" x14ac:dyDescent="0.3">
      <c r="A293" s="2" t="s">
        <v>53</v>
      </c>
      <c r="B293" s="26" t="s">
        <v>355</v>
      </c>
      <c r="C293" s="26" t="s">
        <v>864</v>
      </c>
      <c r="D293" s="28" t="s">
        <v>541</v>
      </c>
      <c r="E293" s="28" t="s">
        <v>870</v>
      </c>
      <c r="F293" s="32">
        <v>4200</v>
      </c>
      <c r="G293" s="48" t="s">
        <v>871</v>
      </c>
      <c r="H293" s="48"/>
      <c r="I293" s="27" t="s">
        <v>67</v>
      </c>
      <c r="J293" s="27" t="s">
        <v>7</v>
      </c>
    </row>
    <row r="294" spans="1:10" ht="32.4" x14ac:dyDescent="0.3">
      <c r="A294" s="2" t="s">
        <v>53</v>
      </c>
      <c r="B294" s="26" t="s">
        <v>355</v>
      </c>
      <c r="C294" s="26" t="s">
        <v>864</v>
      </c>
      <c r="D294" s="28" t="s">
        <v>643</v>
      </c>
      <c r="E294" s="28" t="s">
        <v>872</v>
      </c>
      <c r="F294" s="32">
        <v>1850</v>
      </c>
      <c r="G294" s="48" t="s">
        <v>873</v>
      </c>
      <c r="H294" s="48"/>
      <c r="I294" s="27" t="s">
        <v>456</v>
      </c>
      <c r="J294" s="27" t="s">
        <v>7</v>
      </c>
    </row>
    <row r="295" spans="1:10" ht="32.4" x14ac:dyDescent="0.3">
      <c r="A295" s="2" t="s">
        <v>53</v>
      </c>
      <c r="B295" s="26" t="s">
        <v>355</v>
      </c>
      <c r="C295" s="26" t="s">
        <v>874</v>
      </c>
      <c r="D295" s="28" t="s">
        <v>541</v>
      </c>
      <c r="E295" s="28" t="s">
        <v>875</v>
      </c>
      <c r="F295" s="32">
        <v>4200</v>
      </c>
      <c r="G295" s="48" t="s">
        <v>876</v>
      </c>
      <c r="H295" s="48"/>
      <c r="I295" s="27" t="s">
        <v>67</v>
      </c>
      <c r="J295" s="27" t="s">
        <v>7</v>
      </c>
    </row>
    <row r="296" spans="1:10" x14ac:dyDescent="0.3">
      <c r="A296" s="2" t="s">
        <v>53</v>
      </c>
      <c r="B296" s="26" t="s">
        <v>355</v>
      </c>
      <c r="C296" s="26" t="s">
        <v>874</v>
      </c>
      <c r="D296" s="28" t="s">
        <v>675</v>
      </c>
      <c r="E296" s="28" t="s">
        <v>877</v>
      </c>
      <c r="F296" s="32">
        <v>9500</v>
      </c>
      <c r="G296" s="48" t="s">
        <v>878</v>
      </c>
      <c r="H296" s="48"/>
      <c r="I296" s="27" t="s">
        <v>674</v>
      </c>
      <c r="J296" s="27" t="s">
        <v>7</v>
      </c>
    </row>
    <row r="297" spans="1:10" ht="32.4" x14ac:dyDescent="0.3">
      <c r="A297" s="2" t="s">
        <v>156</v>
      </c>
      <c r="B297" s="26" t="s">
        <v>355</v>
      </c>
      <c r="C297" s="26" t="s">
        <v>49</v>
      </c>
      <c r="D297" s="28" t="s">
        <v>7</v>
      </c>
      <c r="E297" s="28" t="s">
        <v>879</v>
      </c>
      <c r="F297" s="32">
        <v>8361</v>
      </c>
      <c r="G297" s="48" t="s">
        <v>880</v>
      </c>
      <c r="H297" s="48"/>
      <c r="I297" s="27" t="s">
        <v>881</v>
      </c>
      <c r="J297" s="27" t="s">
        <v>7</v>
      </c>
    </row>
    <row r="298" spans="1:10" ht="32.4" x14ac:dyDescent="0.3">
      <c r="A298" s="2" t="s">
        <v>53</v>
      </c>
      <c r="B298" s="26" t="s">
        <v>367</v>
      </c>
      <c r="C298" s="26" t="s">
        <v>882</v>
      </c>
      <c r="D298" s="28" t="s">
        <v>537</v>
      </c>
      <c r="E298" s="28" t="s">
        <v>883</v>
      </c>
      <c r="F298" s="32">
        <v>20287</v>
      </c>
      <c r="G298" s="48" t="s">
        <v>597</v>
      </c>
      <c r="H298" s="48"/>
      <c r="I298" s="27" t="s">
        <v>354</v>
      </c>
      <c r="J298" s="27" t="s">
        <v>7</v>
      </c>
    </row>
    <row r="299" spans="1:10" ht="32.4" x14ac:dyDescent="0.3">
      <c r="A299" s="2" t="s">
        <v>53</v>
      </c>
      <c r="B299" s="26" t="s">
        <v>367</v>
      </c>
      <c r="C299" s="26" t="s">
        <v>884</v>
      </c>
      <c r="D299" s="28" t="s">
        <v>571</v>
      </c>
      <c r="E299" s="28" t="s">
        <v>885</v>
      </c>
      <c r="F299" s="32">
        <v>659</v>
      </c>
      <c r="G299" s="48" t="s">
        <v>886</v>
      </c>
      <c r="H299" s="48"/>
      <c r="I299" s="27" t="s">
        <v>354</v>
      </c>
      <c r="J299" s="27" t="s">
        <v>7</v>
      </c>
    </row>
    <row r="300" spans="1:10" ht="32.4" x14ac:dyDescent="0.3">
      <c r="A300" s="2" t="s">
        <v>53</v>
      </c>
      <c r="B300" s="26" t="s">
        <v>367</v>
      </c>
      <c r="C300" s="26" t="s">
        <v>884</v>
      </c>
      <c r="D300" s="28" t="s">
        <v>537</v>
      </c>
      <c r="E300" s="28" t="s">
        <v>887</v>
      </c>
      <c r="F300" s="32">
        <v>198</v>
      </c>
      <c r="G300" s="48" t="s">
        <v>597</v>
      </c>
      <c r="H300" s="48"/>
      <c r="I300" s="27" t="s">
        <v>354</v>
      </c>
      <c r="J300" s="27" t="s">
        <v>7</v>
      </c>
    </row>
    <row r="301" spans="1:10" ht="32.4" x14ac:dyDescent="0.3">
      <c r="A301" s="2" t="s">
        <v>53</v>
      </c>
      <c r="B301" s="26" t="s">
        <v>367</v>
      </c>
      <c r="C301" s="26" t="s">
        <v>888</v>
      </c>
      <c r="D301" s="28" t="s">
        <v>537</v>
      </c>
      <c r="E301" s="28" t="s">
        <v>889</v>
      </c>
      <c r="F301" s="32">
        <v>18908</v>
      </c>
      <c r="G301" s="48" t="s">
        <v>890</v>
      </c>
      <c r="H301" s="48"/>
      <c r="I301" s="27" t="s">
        <v>359</v>
      </c>
      <c r="J301" s="27" t="s">
        <v>7</v>
      </c>
    </row>
    <row r="302" spans="1:10" x14ac:dyDescent="0.3">
      <c r="A302" s="2" t="s">
        <v>53</v>
      </c>
      <c r="B302" s="26" t="s">
        <v>367</v>
      </c>
      <c r="C302" s="26" t="s">
        <v>891</v>
      </c>
      <c r="D302" s="28" t="s">
        <v>675</v>
      </c>
      <c r="E302" s="28" t="s">
        <v>892</v>
      </c>
      <c r="F302" s="32">
        <v>13000</v>
      </c>
      <c r="G302" s="48" t="s">
        <v>893</v>
      </c>
      <c r="H302" s="48"/>
      <c r="I302" s="27" t="s">
        <v>63</v>
      </c>
      <c r="J302" s="27" t="s">
        <v>7</v>
      </c>
    </row>
    <row r="303" spans="1:10" ht="32.4" x14ac:dyDescent="0.3">
      <c r="A303" s="2" t="s">
        <v>53</v>
      </c>
      <c r="B303" s="26" t="s">
        <v>367</v>
      </c>
      <c r="C303" s="26" t="s">
        <v>894</v>
      </c>
      <c r="D303" s="28" t="s">
        <v>537</v>
      </c>
      <c r="E303" s="28" t="s">
        <v>895</v>
      </c>
      <c r="F303" s="32">
        <v>14781</v>
      </c>
      <c r="G303" s="48" t="s">
        <v>896</v>
      </c>
      <c r="H303" s="48"/>
      <c r="I303" s="27" t="s">
        <v>359</v>
      </c>
      <c r="J303" s="27" t="s">
        <v>7</v>
      </c>
    </row>
    <row r="304" spans="1:10" ht="32.4" x14ac:dyDescent="0.3">
      <c r="A304" s="2" t="s">
        <v>156</v>
      </c>
      <c r="B304" s="26" t="s">
        <v>367</v>
      </c>
      <c r="C304" s="26" t="s">
        <v>49</v>
      </c>
      <c r="D304" s="28" t="s">
        <v>7</v>
      </c>
      <c r="E304" s="28" t="s">
        <v>897</v>
      </c>
      <c r="F304" s="32">
        <v>4126</v>
      </c>
      <c r="G304" s="48" t="s">
        <v>898</v>
      </c>
      <c r="H304" s="48"/>
      <c r="I304" s="27" t="s">
        <v>212</v>
      </c>
      <c r="J304" s="27" t="s">
        <v>7</v>
      </c>
    </row>
    <row r="305" spans="1:10" ht="32.4" x14ac:dyDescent="0.3">
      <c r="A305" s="2" t="s">
        <v>156</v>
      </c>
      <c r="B305" s="26" t="s">
        <v>367</v>
      </c>
      <c r="C305" s="26" t="s">
        <v>158</v>
      </c>
      <c r="D305" s="28" t="s">
        <v>7</v>
      </c>
      <c r="E305" s="28" t="s">
        <v>899</v>
      </c>
      <c r="F305" s="32">
        <v>4084</v>
      </c>
      <c r="G305" s="48" t="s">
        <v>900</v>
      </c>
      <c r="H305" s="48"/>
      <c r="I305" s="27" t="s">
        <v>687</v>
      </c>
      <c r="J305" s="27" t="s">
        <v>7</v>
      </c>
    </row>
    <row r="306" spans="1:10" ht="32.4" x14ac:dyDescent="0.3">
      <c r="A306" s="2" t="s">
        <v>156</v>
      </c>
      <c r="B306" s="26" t="s">
        <v>367</v>
      </c>
      <c r="C306" s="26" t="s">
        <v>158</v>
      </c>
      <c r="D306" s="28" t="s">
        <v>7</v>
      </c>
      <c r="E306" s="28" t="s">
        <v>901</v>
      </c>
      <c r="F306" s="32">
        <v>180</v>
      </c>
      <c r="G306" s="48" t="s">
        <v>902</v>
      </c>
      <c r="H306" s="48"/>
      <c r="I306" s="27" t="s">
        <v>687</v>
      </c>
      <c r="J306" s="27" t="s">
        <v>7</v>
      </c>
    </row>
    <row r="307" spans="1:10" x14ac:dyDescent="0.3">
      <c r="A307" s="2" t="s">
        <v>156</v>
      </c>
      <c r="B307" s="26" t="s">
        <v>367</v>
      </c>
      <c r="C307" s="26" t="s">
        <v>158</v>
      </c>
      <c r="D307" s="28" t="s">
        <v>7</v>
      </c>
      <c r="E307" s="28" t="s">
        <v>903</v>
      </c>
      <c r="F307" s="32">
        <v>651</v>
      </c>
      <c r="G307" s="48" t="s">
        <v>904</v>
      </c>
      <c r="H307" s="48"/>
      <c r="I307" s="27" t="s">
        <v>354</v>
      </c>
      <c r="J307" s="27" t="s">
        <v>7</v>
      </c>
    </row>
    <row r="308" spans="1:10" ht="48.6" x14ac:dyDescent="0.3">
      <c r="A308" s="2" t="s">
        <v>53</v>
      </c>
      <c r="B308" s="26" t="s">
        <v>386</v>
      </c>
      <c r="C308" s="26" t="s">
        <v>905</v>
      </c>
      <c r="D308" s="28" t="s">
        <v>655</v>
      </c>
      <c r="E308" s="28" t="s">
        <v>906</v>
      </c>
      <c r="F308" s="32">
        <v>2000</v>
      </c>
      <c r="G308" s="48" t="s">
        <v>907</v>
      </c>
      <c r="H308" s="48"/>
      <c r="I308" s="27" t="s">
        <v>126</v>
      </c>
      <c r="J308" s="27" t="s">
        <v>7</v>
      </c>
    </row>
    <row r="309" spans="1:10" ht="32.4" x14ac:dyDescent="0.3">
      <c r="A309" s="2" t="s">
        <v>53</v>
      </c>
      <c r="B309" s="26" t="s">
        <v>386</v>
      </c>
      <c r="C309" s="26" t="s">
        <v>908</v>
      </c>
      <c r="D309" s="28" t="s">
        <v>584</v>
      </c>
      <c r="E309" s="28" t="s">
        <v>909</v>
      </c>
      <c r="F309" s="32">
        <v>23616</v>
      </c>
      <c r="G309" s="48" t="s">
        <v>910</v>
      </c>
      <c r="H309" s="48"/>
      <c r="I309" s="27" t="s">
        <v>212</v>
      </c>
      <c r="J309" s="27" t="s">
        <v>7</v>
      </c>
    </row>
    <row r="310" spans="1:10" ht="32.4" x14ac:dyDescent="0.3">
      <c r="A310" s="2" t="s">
        <v>156</v>
      </c>
      <c r="B310" s="26" t="s">
        <v>386</v>
      </c>
      <c r="C310" s="26" t="s">
        <v>49</v>
      </c>
      <c r="D310" s="28" t="s">
        <v>7</v>
      </c>
      <c r="E310" s="28" t="s">
        <v>911</v>
      </c>
      <c r="F310" s="32">
        <v>4084</v>
      </c>
      <c r="G310" s="48" t="s">
        <v>912</v>
      </c>
      <c r="H310" s="48"/>
      <c r="I310" s="27" t="s">
        <v>84</v>
      </c>
      <c r="J310" s="27" t="s">
        <v>7</v>
      </c>
    </row>
    <row r="311" spans="1:10" x14ac:dyDescent="0.3">
      <c r="A311" s="2" t="s">
        <v>156</v>
      </c>
      <c r="B311" s="26" t="s">
        <v>386</v>
      </c>
      <c r="C311" s="26" t="s">
        <v>158</v>
      </c>
      <c r="D311" s="28" t="s">
        <v>7</v>
      </c>
      <c r="E311" s="28" t="s">
        <v>913</v>
      </c>
      <c r="F311" s="32">
        <v>1</v>
      </c>
      <c r="G311" s="48" t="s">
        <v>914</v>
      </c>
      <c r="H311" s="48"/>
      <c r="I311" s="27" t="s">
        <v>233</v>
      </c>
      <c r="J311" s="27" t="s">
        <v>7</v>
      </c>
    </row>
    <row r="312" spans="1:10" ht="32.4" x14ac:dyDescent="0.3">
      <c r="A312" s="2" t="s">
        <v>53</v>
      </c>
      <c r="B312" s="26" t="s">
        <v>406</v>
      </c>
      <c r="C312" s="26" t="s">
        <v>915</v>
      </c>
      <c r="D312" s="28" t="s">
        <v>571</v>
      </c>
      <c r="E312" s="28" t="s">
        <v>916</v>
      </c>
      <c r="F312" s="32">
        <v>9630</v>
      </c>
      <c r="G312" s="48" t="s">
        <v>917</v>
      </c>
      <c r="H312" s="48"/>
      <c r="I312" s="27" t="s">
        <v>674</v>
      </c>
      <c r="J312" s="27" t="s">
        <v>7</v>
      </c>
    </row>
    <row r="313" spans="1:10" ht="32.4" x14ac:dyDescent="0.3">
      <c r="A313" s="2" t="s">
        <v>156</v>
      </c>
      <c r="B313" s="26" t="s">
        <v>406</v>
      </c>
      <c r="C313" s="26" t="s">
        <v>49</v>
      </c>
      <c r="D313" s="28" t="s">
        <v>7</v>
      </c>
      <c r="E313" s="28" t="s">
        <v>918</v>
      </c>
      <c r="F313" s="32">
        <v>391</v>
      </c>
      <c r="G313" s="48" t="s">
        <v>919</v>
      </c>
      <c r="H313" s="48"/>
      <c r="I313" s="27" t="s">
        <v>687</v>
      </c>
      <c r="J313" s="27" t="s">
        <v>7</v>
      </c>
    </row>
    <row r="314" spans="1:10" x14ac:dyDescent="0.3">
      <c r="A314" s="2" t="s">
        <v>156</v>
      </c>
      <c r="B314" s="26" t="s">
        <v>406</v>
      </c>
      <c r="C314" s="26" t="s">
        <v>158</v>
      </c>
      <c r="D314" s="28" t="s">
        <v>7</v>
      </c>
      <c r="E314" s="28" t="s">
        <v>920</v>
      </c>
      <c r="F314" s="32">
        <v>2610</v>
      </c>
      <c r="G314" s="48" t="s">
        <v>921</v>
      </c>
      <c r="H314" s="48"/>
      <c r="I314" s="27" t="s">
        <v>347</v>
      </c>
      <c r="J314" s="27" t="s">
        <v>7</v>
      </c>
    </row>
    <row r="315" spans="1:10" ht="32.4" x14ac:dyDescent="0.3">
      <c r="A315" s="2" t="s">
        <v>156</v>
      </c>
      <c r="B315" s="26" t="s">
        <v>406</v>
      </c>
      <c r="C315" s="26" t="s">
        <v>158</v>
      </c>
      <c r="D315" s="28" t="s">
        <v>7</v>
      </c>
      <c r="E315" s="28" t="s">
        <v>922</v>
      </c>
      <c r="F315" s="32">
        <v>2400</v>
      </c>
      <c r="G315" s="48" t="s">
        <v>923</v>
      </c>
      <c r="H315" s="48"/>
      <c r="I315" s="27" t="s">
        <v>84</v>
      </c>
      <c r="J315" s="27" t="s">
        <v>7</v>
      </c>
    </row>
    <row r="316" spans="1:10" ht="32.4" x14ac:dyDescent="0.3">
      <c r="A316" s="2" t="s">
        <v>53</v>
      </c>
      <c r="B316" s="26" t="s">
        <v>420</v>
      </c>
      <c r="C316" s="26" t="s">
        <v>924</v>
      </c>
      <c r="D316" s="28" t="s">
        <v>541</v>
      </c>
      <c r="E316" s="28" t="s">
        <v>925</v>
      </c>
      <c r="F316" s="32">
        <v>500</v>
      </c>
      <c r="G316" s="48" t="s">
        <v>926</v>
      </c>
      <c r="H316" s="48"/>
      <c r="I316" s="27" t="s">
        <v>606</v>
      </c>
      <c r="J316" s="27" t="s">
        <v>7</v>
      </c>
    </row>
    <row r="317" spans="1:10" x14ac:dyDescent="0.3">
      <c r="A317" s="2" t="s">
        <v>156</v>
      </c>
      <c r="B317" s="26" t="s">
        <v>420</v>
      </c>
      <c r="C317" s="26" t="s">
        <v>158</v>
      </c>
      <c r="D317" s="28" t="s">
        <v>7</v>
      </c>
      <c r="E317" s="28" t="s">
        <v>927</v>
      </c>
      <c r="F317" s="32">
        <v>98600</v>
      </c>
      <c r="G317" s="48" t="s">
        <v>928</v>
      </c>
      <c r="H317" s="48"/>
      <c r="I317" s="27" t="s">
        <v>929</v>
      </c>
      <c r="J317" s="27" t="s">
        <v>7</v>
      </c>
    </row>
    <row r="318" spans="1:10" ht="32.4" x14ac:dyDescent="0.3">
      <c r="A318" s="2" t="s">
        <v>156</v>
      </c>
      <c r="B318" s="26" t="s">
        <v>420</v>
      </c>
      <c r="C318" s="26" t="s">
        <v>158</v>
      </c>
      <c r="D318" s="28" t="s">
        <v>7</v>
      </c>
      <c r="E318" s="28" t="s">
        <v>930</v>
      </c>
      <c r="F318" s="32">
        <v>4084</v>
      </c>
      <c r="G318" s="48" t="s">
        <v>931</v>
      </c>
      <c r="H318" s="48"/>
      <c r="I318" s="27" t="s">
        <v>687</v>
      </c>
      <c r="J318" s="27" t="s">
        <v>7</v>
      </c>
    </row>
    <row r="319" spans="1:10" ht="32.4" x14ac:dyDescent="0.3">
      <c r="A319" s="2" t="s">
        <v>156</v>
      </c>
      <c r="B319" s="26" t="s">
        <v>420</v>
      </c>
      <c r="C319" s="26" t="s">
        <v>158</v>
      </c>
      <c r="D319" s="28" t="s">
        <v>7</v>
      </c>
      <c r="E319" s="28" t="s">
        <v>932</v>
      </c>
      <c r="F319" s="32">
        <v>42</v>
      </c>
      <c r="G319" s="48" t="s">
        <v>933</v>
      </c>
      <c r="H319" s="48"/>
      <c r="I319" s="27" t="s">
        <v>687</v>
      </c>
      <c r="J319" s="27" t="s">
        <v>7</v>
      </c>
    </row>
    <row r="320" spans="1:10" ht="32.4" x14ac:dyDescent="0.3">
      <c r="A320" s="2" t="s">
        <v>156</v>
      </c>
      <c r="B320" s="26" t="s">
        <v>420</v>
      </c>
      <c r="C320" s="26" t="s">
        <v>158</v>
      </c>
      <c r="D320" s="28" t="s">
        <v>7</v>
      </c>
      <c r="E320" s="28" t="s">
        <v>934</v>
      </c>
      <c r="F320" s="32">
        <v>3267</v>
      </c>
      <c r="G320" s="48" t="s">
        <v>935</v>
      </c>
      <c r="H320" s="48"/>
      <c r="I320" s="27" t="s">
        <v>84</v>
      </c>
      <c r="J320" s="27" t="s">
        <v>7</v>
      </c>
    </row>
    <row r="321" spans="1:10" ht="32.4" x14ac:dyDescent="0.3">
      <c r="A321" s="2" t="s">
        <v>53</v>
      </c>
      <c r="B321" s="26" t="s">
        <v>424</v>
      </c>
      <c r="C321" s="26" t="s">
        <v>936</v>
      </c>
      <c r="D321" s="28" t="s">
        <v>537</v>
      </c>
      <c r="E321" s="28" t="s">
        <v>937</v>
      </c>
      <c r="F321" s="32">
        <v>7302</v>
      </c>
      <c r="G321" s="48" t="s">
        <v>938</v>
      </c>
      <c r="H321" s="48"/>
      <c r="I321" s="27" t="s">
        <v>593</v>
      </c>
      <c r="J321" s="27" t="s">
        <v>7</v>
      </c>
    </row>
    <row r="322" spans="1:10" x14ac:dyDescent="0.3">
      <c r="A322" s="2" t="s">
        <v>156</v>
      </c>
      <c r="B322" s="26" t="s">
        <v>424</v>
      </c>
      <c r="C322" s="26" t="s">
        <v>49</v>
      </c>
      <c r="D322" s="28" t="s">
        <v>7</v>
      </c>
      <c r="E322" s="28" t="s">
        <v>939</v>
      </c>
      <c r="F322" s="32">
        <v>744</v>
      </c>
      <c r="G322" s="48" t="s">
        <v>940</v>
      </c>
      <c r="H322" s="48"/>
      <c r="I322" s="27" t="s">
        <v>90</v>
      </c>
      <c r="J322" s="27" t="s">
        <v>7</v>
      </c>
    </row>
    <row r="323" spans="1:10" x14ac:dyDescent="0.3">
      <c r="A323" s="2" t="s">
        <v>156</v>
      </c>
      <c r="B323" s="26" t="s">
        <v>424</v>
      </c>
      <c r="C323" s="26" t="s">
        <v>49</v>
      </c>
      <c r="D323" s="28" t="s">
        <v>7</v>
      </c>
      <c r="E323" s="28" t="s">
        <v>939</v>
      </c>
      <c r="F323" s="32">
        <v>3772</v>
      </c>
      <c r="G323" s="48" t="s">
        <v>940</v>
      </c>
      <c r="H323" s="48"/>
      <c r="I323" s="27" t="s">
        <v>90</v>
      </c>
      <c r="J323" s="27" t="s">
        <v>7</v>
      </c>
    </row>
    <row r="324" spans="1:10" ht="32.4" x14ac:dyDescent="0.3">
      <c r="A324" s="2" t="s">
        <v>53</v>
      </c>
      <c r="B324" s="26" t="s">
        <v>431</v>
      </c>
      <c r="C324" s="26" t="s">
        <v>941</v>
      </c>
      <c r="D324" s="28" t="s">
        <v>537</v>
      </c>
      <c r="E324" s="28" t="s">
        <v>942</v>
      </c>
      <c r="F324" s="32">
        <v>11</v>
      </c>
      <c r="G324" s="48" t="s">
        <v>943</v>
      </c>
      <c r="H324" s="48"/>
      <c r="I324" s="27" t="s">
        <v>822</v>
      </c>
      <c r="J324" s="27" t="s">
        <v>7</v>
      </c>
    </row>
    <row r="325" spans="1:10" ht="32.4" x14ac:dyDescent="0.3">
      <c r="A325" s="2" t="s">
        <v>53</v>
      </c>
      <c r="B325" s="26" t="s">
        <v>431</v>
      </c>
      <c r="C325" s="26" t="s">
        <v>944</v>
      </c>
      <c r="D325" s="28" t="s">
        <v>599</v>
      </c>
      <c r="E325" s="28" t="s">
        <v>945</v>
      </c>
      <c r="F325" s="32">
        <v>148000</v>
      </c>
      <c r="G325" s="48" t="s">
        <v>946</v>
      </c>
      <c r="H325" s="48"/>
      <c r="I325" s="27" t="s">
        <v>200</v>
      </c>
      <c r="J325" s="27" t="s">
        <v>7</v>
      </c>
    </row>
    <row r="326" spans="1:10" x14ac:dyDescent="0.3">
      <c r="A326" s="2" t="s">
        <v>156</v>
      </c>
      <c r="B326" s="26" t="s">
        <v>431</v>
      </c>
      <c r="C326" s="26" t="s">
        <v>158</v>
      </c>
      <c r="D326" s="28" t="s">
        <v>7</v>
      </c>
      <c r="E326" s="28" t="s">
        <v>947</v>
      </c>
      <c r="F326" s="32">
        <v>5000</v>
      </c>
      <c r="G326" s="48" t="s">
        <v>948</v>
      </c>
      <c r="H326" s="48"/>
      <c r="I326" s="27" t="s">
        <v>161</v>
      </c>
      <c r="J326" s="27" t="s">
        <v>7</v>
      </c>
    </row>
    <row r="327" spans="1:10" x14ac:dyDescent="0.3">
      <c r="A327" s="2" t="s">
        <v>53</v>
      </c>
      <c r="B327" s="26" t="s">
        <v>441</v>
      </c>
      <c r="C327" s="26" t="s">
        <v>949</v>
      </c>
      <c r="D327" s="28" t="s">
        <v>623</v>
      </c>
      <c r="E327" s="28" t="s">
        <v>950</v>
      </c>
      <c r="F327" s="32">
        <v>23100</v>
      </c>
      <c r="G327" s="48" t="s">
        <v>951</v>
      </c>
      <c r="H327" s="48"/>
      <c r="I327" s="27" t="s">
        <v>725</v>
      </c>
      <c r="J327" s="27" t="s">
        <v>7</v>
      </c>
    </row>
    <row r="328" spans="1:10" x14ac:dyDescent="0.3">
      <c r="A328" s="2" t="s">
        <v>156</v>
      </c>
      <c r="B328" s="26" t="s">
        <v>441</v>
      </c>
      <c r="C328" s="26" t="s">
        <v>158</v>
      </c>
      <c r="D328" s="28" t="s">
        <v>7</v>
      </c>
      <c r="E328" s="28" t="s">
        <v>952</v>
      </c>
      <c r="F328" s="32">
        <v>571</v>
      </c>
      <c r="G328" s="48" t="s">
        <v>953</v>
      </c>
      <c r="H328" s="48"/>
      <c r="I328" s="27" t="s">
        <v>200</v>
      </c>
      <c r="J328" s="27" t="s">
        <v>7</v>
      </c>
    </row>
    <row r="329" spans="1:10" x14ac:dyDescent="0.3">
      <c r="A329" s="2" t="s">
        <v>156</v>
      </c>
      <c r="B329" s="26" t="s">
        <v>441</v>
      </c>
      <c r="C329" s="26" t="s">
        <v>158</v>
      </c>
      <c r="D329" s="28" t="s">
        <v>7</v>
      </c>
      <c r="E329" s="28" t="s">
        <v>954</v>
      </c>
      <c r="F329" s="32">
        <v>6015</v>
      </c>
      <c r="G329" s="48" t="s">
        <v>955</v>
      </c>
      <c r="H329" s="48"/>
      <c r="I329" s="27" t="s">
        <v>200</v>
      </c>
      <c r="J329" s="27" t="s">
        <v>7</v>
      </c>
    </row>
    <row r="330" spans="1:10" x14ac:dyDescent="0.3">
      <c r="A330" s="2" t="s">
        <v>156</v>
      </c>
      <c r="B330" s="26" t="s">
        <v>441</v>
      </c>
      <c r="C330" s="26" t="s">
        <v>158</v>
      </c>
      <c r="D330" s="28" t="s">
        <v>7</v>
      </c>
      <c r="E330" s="28" t="s">
        <v>956</v>
      </c>
      <c r="F330" s="32">
        <v>9120</v>
      </c>
      <c r="G330" s="48" t="s">
        <v>957</v>
      </c>
      <c r="H330" s="48"/>
      <c r="I330" s="27" t="s">
        <v>958</v>
      </c>
      <c r="J330" s="27" t="s">
        <v>7</v>
      </c>
    </row>
    <row r="331" spans="1:10" x14ac:dyDescent="0.3">
      <c r="A331" s="2" t="s">
        <v>156</v>
      </c>
      <c r="B331" s="26" t="s">
        <v>450</v>
      </c>
      <c r="C331" s="26" t="s">
        <v>49</v>
      </c>
      <c r="D331" s="28" t="s">
        <v>7</v>
      </c>
      <c r="E331" s="28" t="s">
        <v>959</v>
      </c>
      <c r="F331" s="32">
        <v>2160</v>
      </c>
      <c r="G331" s="48" t="s">
        <v>960</v>
      </c>
      <c r="H331" s="48"/>
      <c r="I331" s="27" t="s">
        <v>90</v>
      </c>
      <c r="J331" s="27" t="s">
        <v>7</v>
      </c>
    </row>
    <row r="332" spans="1:10" ht="32.4" x14ac:dyDescent="0.3">
      <c r="A332" s="2" t="s">
        <v>156</v>
      </c>
      <c r="B332" s="26" t="s">
        <v>450</v>
      </c>
      <c r="C332" s="26" t="s">
        <v>158</v>
      </c>
      <c r="D332" s="28" t="s">
        <v>7</v>
      </c>
      <c r="E332" s="28" t="s">
        <v>961</v>
      </c>
      <c r="F332" s="32">
        <v>5960</v>
      </c>
      <c r="G332" s="48" t="s">
        <v>962</v>
      </c>
      <c r="H332" s="48"/>
      <c r="I332" s="27" t="s">
        <v>881</v>
      </c>
      <c r="J332" s="27" t="s">
        <v>7</v>
      </c>
    </row>
    <row r="333" spans="1:10" ht="32.4" x14ac:dyDescent="0.3">
      <c r="A333" s="2" t="s">
        <v>53</v>
      </c>
      <c r="B333" s="26" t="s">
        <v>457</v>
      </c>
      <c r="C333" s="26" t="s">
        <v>963</v>
      </c>
      <c r="D333" s="28" t="s">
        <v>537</v>
      </c>
      <c r="E333" s="28" t="s">
        <v>964</v>
      </c>
      <c r="F333" s="32">
        <v>6216</v>
      </c>
      <c r="G333" s="48" t="s">
        <v>597</v>
      </c>
      <c r="H333" s="48"/>
      <c r="I333" s="27" t="s">
        <v>354</v>
      </c>
      <c r="J333" s="27" t="s">
        <v>7</v>
      </c>
    </row>
    <row r="334" spans="1:10" ht="32.4" x14ac:dyDescent="0.3">
      <c r="A334" s="2" t="s">
        <v>53</v>
      </c>
      <c r="B334" s="26" t="s">
        <v>457</v>
      </c>
      <c r="C334" s="26" t="s">
        <v>965</v>
      </c>
      <c r="D334" s="28" t="s">
        <v>671</v>
      </c>
      <c r="E334" s="28" t="s">
        <v>966</v>
      </c>
      <c r="F334" s="32">
        <v>4500</v>
      </c>
      <c r="G334" s="48" t="s">
        <v>967</v>
      </c>
      <c r="H334" s="48"/>
      <c r="I334" s="27" t="s">
        <v>155</v>
      </c>
      <c r="J334" s="27" t="s">
        <v>7</v>
      </c>
    </row>
    <row r="335" spans="1:10" x14ac:dyDescent="0.3">
      <c r="A335" s="2" t="s">
        <v>53</v>
      </c>
      <c r="B335" s="26" t="s">
        <v>457</v>
      </c>
      <c r="C335" s="26" t="s">
        <v>968</v>
      </c>
      <c r="D335" s="28" t="s">
        <v>623</v>
      </c>
      <c r="E335" s="28" t="s">
        <v>969</v>
      </c>
      <c r="F335" s="32">
        <v>571</v>
      </c>
      <c r="G335" s="48" t="s">
        <v>970</v>
      </c>
      <c r="H335" s="48"/>
      <c r="I335" s="27" t="s">
        <v>725</v>
      </c>
      <c r="J335" s="27" t="s">
        <v>7</v>
      </c>
    </row>
    <row r="336" spans="1:10" x14ac:dyDescent="0.3">
      <c r="A336" s="2" t="s">
        <v>156</v>
      </c>
      <c r="B336" s="26" t="s">
        <v>457</v>
      </c>
      <c r="C336" s="26" t="s">
        <v>158</v>
      </c>
      <c r="D336" s="28" t="s">
        <v>7</v>
      </c>
      <c r="E336" s="28" t="s">
        <v>971</v>
      </c>
      <c r="F336" s="32">
        <v>3433</v>
      </c>
      <c r="G336" s="48" t="s">
        <v>972</v>
      </c>
      <c r="H336" s="48"/>
      <c r="I336" s="27" t="s">
        <v>207</v>
      </c>
      <c r="J336" s="27" t="s">
        <v>7</v>
      </c>
    </row>
    <row r="337" spans="1:10" x14ac:dyDescent="0.3">
      <c r="A337" s="2" t="s">
        <v>156</v>
      </c>
      <c r="B337" s="26" t="s">
        <v>457</v>
      </c>
      <c r="C337" s="26" t="s">
        <v>158</v>
      </c>
      <c r="D337" s="28" t="s">
        <v>7</v>
      </c>
      <c r="E337" s="28" t="s">
        <v>973</v>
      </c>
      <c r="F337" s="32">
        <v>5300</v>
      </c>
      <c r="G337" s="48" t="s">
        <v>974</v>
      </c>
      <c r="H337" s="48"/>
      <c r="I337" s="27" t="s">
        <v>763</v>
      </c>
      <c r="J337" s="27" t="s">
        <v>7</v>
      </c>
    </row>
    <row r="338" spans="1:10" ht="32.4" x14ac:dyDescent="0.3">
      <c r="A338" s="2" t="s">
        <v>156</v>
      </c>
      <c r="B338" s="26" t="s">
        <v>457</v>
      </c>
      <c r="C338" s="26" t="s">
        <v>158</v>
      </c>
      <c r="D338" s="28" t="s">
        <v>7</v>
      </c>
      <c r="E338" s="28" t="s">
        <v>975</v>
      </c>
      <c r="F338" s="32">
        <v>2980</v>
      </c>
      <c r="G338" s="48" t="s">
        <v>7</v>
      </c>
      <c r="H338" s="48"/>
      <c r="I338" s="27" t="s">
        <v>976</v>
      </c>
      <c r="J338" s="27" t="s">
        <v>7</v>
      </c>
    </row>
    <row r="339" spans="1:10" ht="32.4" x14ac:dyDescent="0.3">
      <c r="A339" s="2" t="s">
        <v>156</v>
      </c>
      <c r="B339" s="26" t="s">
        <v>457</v>
      </c>
      <c r="C339" s="26" t="s">
        <v>158</v>
      </c>
      <c r="D339" s="28" t="s">
        <v>7</v>
      </c>
      <c r="E339" s="28" t="s">
        <v>977</v>
      </c>
      <c r="F339" s="32">
        <v>4084</v>
      </c>
      <c r="G339" s="48" t="s">
        <v>978</v>
      </c>
      <c r="H339" s="48"/>
      <c r="I339" s="27" t="s">
        <v>687</v>
      </c>
      <c r="J339" s="27" t="s">
        <v>7</v>
      </c>
    </row>
    <row r="340" spans="1:10" ht="32.4" x14ac:dyDescent="0.3">
      <c r="A340" s="2" t="s">
        <v>156</v>
      </c>
      <c r="B340" s="26" t="s">
        <v>457</v>
      </c>
      <c r="C340" s="26" t="s">
        <v>158</v>
      </c>
      <c r="D340" s="28" t="s">
        <v>7</v>
      </c>
      <c r="E340" s="28" t="s">
        <v>979</v>
      </c>
      <c r="F340" s="32">
        <v>3020</v>
      </c>
      <c r="G340" s="48" t="s">
        <v>980</v>
      </c>
      <c r="H340" s="48"/>
      <c r="I340" s="27" t="s">
        <v>687</v>
      </c>
      <c r="J340" s="27" t="s">
        <v>7</v>
      </c>
    </row>
    <row r="341" spans="1:10" x14ac:dyDescent="0.3">
      <c r="A341" s="2" t="s">
        <v>156</v>
      </c>
      <c r="B341" s="26" t="s">
        <v>457</v>
      </c>
      <c r="C341" s="26" t="s">
        <v>158</v>
      </c>
      <c r="D341" s="28" t="s">
        <v>7</v>
      </c>
      <c r="E341" s="28" t="s">
        <v>981</v>
      </c>
      <c r="F341" s="32">
        <v>2101</v>
      </c>
      <c r="G341" s="48" t="s">
        <v>982</v>
      </c>
      <c r="H341" s="48"/>
      <c r="I341" s="27" t="s">
        <v>725</v>
      </c>
      <c r="J341" s="27" t="s">
        <v>7</v>
      </c>
    </row>
    <row r="342" spans="1:10" ht="32.4" x14ac:dyDescent="0.3">
      <c r="A342" s="2" t="s">
        <v>156</v>
      </c>
      <c r="B342" s="26" t="s">
        <v>457</v>
      </c>
      <c r="C342" s="26" t="s">
        <v>158</v>
      </c>
      <c r="D342" s="28" t="s">
        <v>7</v>
      </c>
      <c r="E342" s="28" t="s">
        <v>983</v>
      </c>
      <c r="F342" s="32">
        <v>16520</v>
      </c>
      <c r="G342" s="48" t="s">
        <v>984</v>
      </c>
      <c r="H342" s="48"/>
      <c r="I342" s="27" t="s">
        <v>212</v>
      </c>
      <c r="J342" s="27" t="s">
        <v>7</v>
      </c>
    </row>
    <row r="343" spans="1:10" ht="32.4" x14ac:dyDescent="0.3">
      <c r="A343" s="2" t="s">
        <v>53</v>
      </c>
      <c r="B343" s="26" t="s">
        <v>472</v>
      </c>
      <c r="C343" s="26" t="s">
        <v>985</v>
      </c>
      <c r="D343" s="28" t="s">
        <v>671</v>
      </c>
      <c r="E343" s="28" t="s">
        <v>986</v>
      </c>
      <c r="F343" s="32">
        <v>134</v>
      </c>
      <c r="G343" s="48" t="s">
        <v>987</v>
      </c>
      <c r="H343" s="48"/>
      <c r="I343" s="27" t="s">
        <v>763</v>
      </c>
      <c r="J343" s="27" t="s">
        <v>7</v>
      </c>
    </row>
    <row r="344" spans="1:10" ht="32.4" x14ac:dyDescent="0.3">
      <c r="A344" s="2" t="s">
        <v>53</v>
      </c>
      <c r="B344" s="26" t="s">
        <v>472</v>
      </c>
      <c r="C344" s="26" t="s">
        <v>985</v>
      </c>
      <c r="D344" s="28" t="s">
        <v>537</v>
      </c>
      <c r="E344" s="28" t="s">
        <v>986</v>
      </c>
      <c r="F344" s="32">
        <v>1079</v>
      </c>
      <c r="G344" s="48" t="s">
        <v>987</v>
      </c>
      <c r="H344" s="48"/>
      <c r="I344" s="27" t="s">
        <v>763</v>
      </c>
      <c r="J344" s="27" t="s">
        <v>7</v>
      </c>
    </row>
    <row r="345" spans="1:10" ht="32.4" x14ac:dyDescent="0.3">
      <c r="A345" s="2" t="s">
        <v>53</v>
      </c>
      <c r="B345" s="26" t="s">
        <v>472</v>
      </c>
      <c r="C345" s="26" t="s">
        <v>985</v>
      </c>
      <c r="D345" s="28" t="s">
        <v>571</v>
      </c>
      <c r="E345" s="28" t="s">
        <v>986</v>
      </c>
      <c r="F345" s="32">
        <v>7328</v>
      </c>
      <c r="G345" s="48" t="s">
        <v>987</v>
      </c>
      <c r="H345" s="48"/>
      <c r="I345" s="27" t="s">
        <v>763</v>
      </c>
      <c r="J345" s="27" t="s">
        <v>7</v>
      </c>
    </row>
    <row r="346" spans="1:10" ht="48.6" x14ac:dyDescent="0.3">
      <c r="A346" s="2" t="s">
        <v>53</v>
      </c>
      <c r="B346" s="26" t="s">
        <v>472</v>
      </c>
      <c r="C346" s="26" t="s">
        <v>985</v>
      </c>
      <c r="D346" s="28" t="s">
        <v>988</v>
      </c>
      <c r="E346" s="28" t="s">
        <v>986</v>
      </c>
      <c r="F346" s="32">
        <v>104</v>
      </c>
      <c r="G346" s="48" t="s">
        <v>987</v>
      </c>
      <c r="H346" s="48"/>
      <c r="I346" s="27" t="s">
        <v>763</v>
      </c>
      <c r="J346" s="27" t="s">
        <v>7</v>
      </c>
    </row>
    <row r="347" spans="1:10" ht="32.4" x14ac:dyDescent="0.3">
      <c r="A347" s="2" t="s">
        <v>53</v>
      </c>
      <c r="B347" s="26" t="s">
        <v>472</v>
      </c>
      <c r="C347" s="26" t="s">
        <v>985</v>
      </c>
      <c r="D347" s="28" t="s">
        <v>537</v>
      </c>
      <c r="E347" s="28" t="s">
        <v>989</v>
      </c>
      <c r="F347" s="32">
        <v>2800</v>
      </c>
      <c r="G347" s="48" t="s">
        <v>990</v>
      </c>
      <c r="H347" s="48"/>
      <c r="I347" s="27" t="s">
        <v>640</v>
      </c>
      <c r="J347" s="27" t="s">
        <v>7</v>
      </c>
    </row>
    <row r="348" spans="1:10" ht="32.4" x14ac:dyDescent="0.3">
      <c r="A348" s="2" t="s">
        <v>53</v>
      </c>
      <c r="B348" s="26" t="s">
        <v>472</v>
      </c>
      <c r="C348" s="26" t="s">
        <v>985</v>
      </c>
      <c r="D348" s="28" t="s">
        <v>537</v>
      </c>
      <c r="E348" s="28" t="s">
        <v>991</v>
      </c>
      <c r="F348" s="32">
        <v>330</v>
      </c>
      <c r="G348" s="48" t="s">
        <v>992</v>
      </c>
      <c r="H348" s="48"/>
      <c r="I348" s="27" t="s">
        <v>359</v>
      </c>
      <c r="J348" s="27" t="s">
        <v>7</v>
      </c>
    </row>
    <row r="349" spans="1:10" ht="32.4" x14ac:dyDescent="0.3">
      <c r="A349" s="2" t="s">
        <v>53</v>
      </c>
      <c r="B349" s="26" t="s">
        <v>472</v>
      </c>
      <c r="C349" s="26" t="s">
        <v>985</v>
      </c>
      <c r="D349" s="28" t="s">
        <v>541</v>
      </c>
      <c r="E349" s="28" t="s">
        <v>993</v>
      </c>
      <c r="F349" s="32">
        <v>7320</v>
      </c>
      <c r="G349" s="48" t="s">
        <v>994</v>
      </c>
      <c r="H349" s="48"/>
      <c r="I349" s="27" t="s">
        <v>84</v>
      </c>
      <c r="J349" s="27" t="s">
        <v>7</v>
      </c>
    </row>
    <row r="350" spans="1:10" x14ac:dyDescent="0.3">
      <c r="A350" s="2" t="s">
        <v>156</v>
      </c>
      <c r="B350" s="26" t="s">
        <v>472</v>
      </c>
      <c r="C350" s="26" t="s">
        <v>49</v>
      </c>
      <c r="D350" s="28" t="s">
        <v>7</v>
      </c>
      <c r="E350" s="28" t="s">
        <v>995</v>
      </c>
      <c r="F350" s="32">
        <v>2145</v>
      </c>
      <c r="G350" s="48" t="s">
        <v>996</v>
      </c>
      <c r="H350" s="48"/>
      <c r="I350" s="27" t="s">
        <v>90</v>
      </c>
      <c r="J350" s="27" t="s">
        <v>7</v>
      </c>
    </row>
    <row r="351" spans="1:10" x14ac:dyDescent="0.3">
      <c r="A351" s="2" t="s">
        <v>156</v>
      </c>
      <c r="B351" s="26" t="s">
        <v>472</v>
      </c>
      <c r="C351" s="26" t="s">
        <v>49</v>
      </c>
      <c r="D351" s="28" t="s">
        <v>7</v>
      </c>
      <c r="E351" s="28" t="s">
        <v>997</v>
      </c>
      <c r="F351" s="32">
        <v>1150</v>
      </c>
      <c r="G351" s="48" t="s">
        <v>998</v>
      </c>
      <c r="H351" s="48"/>
      <c r="I351" s="27" t="s">
        <v>114</v>
      </c>
      <c r="J351" s="27" t="s">
        <v>7</v>
      </c>
    </row>
    <row r="352" spans="1:10" ht="32.4" x14ac:dyDescent="0.3">
      <c r="A352" s="2" t="s">
        <v>156</v>
      </c>
      <c r="B352" s="26" t="s">
        <v>472</v>
      </c>
      <c r="C352" s="26" t="s">
        <v>158</v>
      </c>
      <c r="D352" s="28" t="s">
        <v>7</v>
      </c>
      <c r="E352" s="28" t="s">
        <v>999</v>
      </c>
      <c r="F352" s="32">
        <v>2850</v>
      </c>
      <c r="G352" s="48" t="s">
        <v>1000</v>
      </c>
      <c r="H352" s="48"/>
      <c r="I352" s="27" t="s">
        <v>456</v>
      </c>
      <c r="J352" s="27" t="s">
        <v>7</v>
      </c>
    </row>
    <row r="353" spans="1:10" ht="32.4" x14ac:dyDescent="0.3">
      <c r="A353" s="2" t="s">
        <v>53</v>
      </c>
      <c r="B353" s="26" t="s">
        <v>477</v>
      </c>
      <c r="C353" s="26" t="s">
        <v>1001</v>
      </c>
      <c r="D353" s="28" t="s">
        <v>537</v>
      </c>
      <c r="E353" s="28" t="s">
        <v>1002</v>
      </c>
      <c r="F353" s="32">
        <v>12567</v>
      </c>
      <c r="G353" s="48" t="s">
        <v>1003</v>
      </c>
      <c r="H353" s="48"/>
      <c r="I353" s="27" t="s">
        <v>377</v>
      </c>
      <c r="J353" s="27" t="s">
        <v>7</v>
      </c>
    </row>
    <row r="354" spans="1:10" ht="32.4" x14ac:dyDescent="0.3">
      <c r="A354" s="2" t="s">
        <v>53</v>
      </c>
      <c r="B354" s="26" t="s">
        <v>477</v>
      </c>
      <c r="C354" s="26" t="s">
        <v>1004</v>
      </c>
      <c r="D354" s="28" t="s">
        <v>537</v>
      </c>
      <c r="E354" s="28" t="s">
        <v>1005</v>
      </c>
      <c r="F354" s="32">
        <v>3940</v>
      </c>
      <c r="G354" s="48" t="s">
        <v>1006</v>
      </c>
      <c r="H354" s="48"/>
      <c r="I354" s="27" t="s">
        <v>377</v>
      </c>
      <c r="J354" s="27" t="s">
        <v>7</v>
      </c>
    </row>
    <row r="355" spans="1:10" ht="48.6" x14ac:dyDescent="0.3">
      <c r="A355" s="2" t="s">
        <v>53</v>
      </c>
      <c r="B355" s="26" t="s">
        <v>477</v>
      </c>
      <c r="C355" s="26" t="s">
        <v>1007</v>
      </c>
      <c r="D355" s="28" t="s">
        <v>655</v>
      </c>
      <c r="E355" s="28" t="s">
        <v>1008</v>
      </c>
      <c r="F355" s="32">
        <v>4084</v>
      </c>
      <c r="G355" s="48" t="s">
        <v>1009</v>
      </c>
      <c r="H355" s="48"/>
      <c r="I355" s="27" t="s">
        <v>763</v>
      </c>
      <c r="J355" s="27" t="s">
        <v>7</v>
      </c>
    </row>
    <row r="356" spans="1:10" ht="48.6" x14ac:dyDescent="0.3">
      <c r="A356" s="2" t="s">
        <v>53</v>
      </c>
      <c r="B356" s="26" t="s">
        <v>477</v>
      </c>
      <c r="C356" s="26" t="s">
        <v>1007</v>
      </c>
      <c r="D356" s="28" t="s">
        <v>655</v>
      </c>
      <c r="E356" s="28" t="s">
        <v>1010</v>
      </c>
      <c r="F356" s="32">
        <v>4084</v>
      </c>
      <c r="G356" s="48" t="s">
        <v>1011</v>
      </c>
      <c r="H356" s="48"/>
      <c r="I356" s="27" t="s">
        <v>832</v>
      </c>
      <c r="J356" s="27" t="s">
        <v>7</v>
      </c>
    </row>
    <row r="357" spans="1:10" x14ac:dyDescent="0.3">
      <c r="A357" s="2" t="s">
        <v>156</v>
      </c>
      <c r="B357" s="26" t="s">
        <v>477</v>
      </c>
      <c r="C357" s="26" t="s">
        <v>158</v>
      </c>
      <c r="D357" s="28" t="s">
        <v>7</v>
      </c>
      <c r="E357" s="28" t="s">
        <v>1012</v>
      </c>
      <c r="F357" s="32">
        <v>1061</v>
      </c>
      <c r="G357" s="48" t="s">
        <v>1013</v>
      </c>
      <c r="H357" s="48"/>
      <c r="I357" s="27" t="s">
        <v>109</v>
      </c>
      <c r="J357" s="27" t="s">
        <v>7</v>
      </c>
    </row>
    <row r="358" spans="1:10" x14ac:dyDescent="0.3">
      <c r="A358" s="2" t="s">
        <v>156</v>
      </c>
      <c r="B358" s="26" t="s">
        <v>477</v>
      </c>
      <c r="C358" s="26" t="s">
        <v>158</v>
      </c>
      <c r="D358" s="28" t="s">
        <v>7</v>
      </c>
      <c r="E358" s="28" t="s">
        <v>1014</v>
      </c>
      <c r="F358" s="32">
        <v>4320</v>
      </c>
      <c r="G358" s="48" t="s">
        <v>1015</v>
      </c>
      <c r="H358" s="48"/>
      <c r="I358" s="27" t="s">
        <v>126</v>
      </c>
      <c r="J358" s="27" t="s">
        <v>7</v>
      </c>
    </row>
    <row r="359" spans="1:10" x14ac:dyDescent="0.3">
      <c r="A359" s="2" t="s">
        <v>53</v>
      </c>
      <c r="B359" s="26" t="s">
        <v>508</v>
      </c>
      <c r="C359" s="26" t="s">
        <v>1016</v>
      </c>
      <c r="D359" s="28" t="s">
        <v>1017</v>
      </c>
      <c r="E359" s="28" t="s">
        <v>1018</v>
      </c>
      <c r="F359" s="32">
        <v>12600</v>
      </c>
      <c r="G359" s="48" t="s">
        <v>1019</v>
      </c>
      <c r="H359" s="48"/>
      <c r="I359" s="27" t="s">
        <v>725</v>
      </c>
      <c r="J359" s="27" t="s">
        <v>7</v>
      </c>
    </row>
    <row r="360" spans="1:10" ht="32.4" x14ac:dyDescent="0.3">
      <c r="A360" s="2" t="s">
        <v>53</v>
      </c>
      <c r="B360" s="26" t="s">
        <v>508</v>
      </c>
      <c r="C360" s="26" t="s">
        <v>1020</v>
      </c>
      <c r="D360" s="28" t="s">
        <v>571</v>
      </c>
      <c r="E360" s="28" t="s">
        <v>1021</v>
      </c>
      <c r="F360" s="32">
        <v>616</v>
      </c>
      <c r="G360" s="48" t="s">
        <v>590</v>
      </c>
      <c r="H360" s="48"/>
      <c r="I360" s="27" t="s">
        <v>574</v>
      </c>
      <c r="J360" s="27" t="s">
        <v>7</v>
      </c>
    </row>
    <row r="361" spans="1:10" ht="32.4" x14ac:dyDescent="0.3">
      <c r="A361" s="2" t="s">
        <v>53</v>
      </c>
      <c r="B361" s="26" t="s">
        <v>508</v>
      </c>
      <c r="C361" s="26" t="s">
        <v>1020</v>
      </c>
      <c r="D361" s="28" t="s">
        <v>556</v>
      </c>
      <c r="E361" s="28" t="s">
        <v>1022</v>
      </c>
      <c r="F361" s="32">
        <v>3320</v>
      </c>
      <c r="G361" s="48" t="s">
        <v>1023</v>
      </c>
      <c r="H361" s="48"/>
      <c r="I361" s="27" t="s">
        <v>456</v>
      </c>
      <c r="J361" s="27" t="s">
        <v>7</v>
      </c>
    </row>
    <row r="362" spans="1:10" ht="32.4" x14ac:dyDescent="0.3">
      <c r="A362" s="2" t="s">
        <v>53</v>
      </c>
      <c r="B362" s="26" t="s">
        <v>508</v>
      </c>
      <c r="C362" s="26" t="s">
        <v>1024</v>
      </c>
      <c r="D362" s="28" t="s">
        <v>675</v>
      </c>
      <c r="E362" s="28" t="s">
        <v>1025</v>
      </c>
      <c r="F362" s="32">
        <v>15960</v>
      </c>
      <c r="G362" s="48" t="s">
        <v>1026</v>
      </c>
      <c r="H362" s="48"/>
      <c r="I362" s="27" t="s">
        <v>84</v>
      </c>
      <c r="J362" s="27" t="s">
        <v>7</v>
      </c>
    </row>
    <row r="363" spans="1:10" ht="32.4" x14ac:dyDescent="0.3">
      <c r="A363" s="2" t="s">
        <v>53</v>
      </c>
      <c r="B363" s="26" t="s">
        <v>508</v>
      </c>
      <c r="C363" s="26" t="s">
        <v>1027</v>
      </c>
      <c r="D363" s="28" t="s">
        <v>584</v>
      </c>
      <c r="E363" s="28" t="s">
        <v>1028</v>
      </c>
      <c r="F363" s="32">
        <v>4796</v>
      </c>
      <c r="G363" s="48" t="s">
        <v>1029</v>
      </c>
      <c r="H363" s="48"/>
      <c r="I363" s="27" t="s">
        <v>90</v>
      </c>
      <c r="J363" s="27" t="s">
        <v>7</v>
      </c>
    </row>
    <row r="364" spans="1:10" x14ac:dyDescent="0.3">
      <c r="A364" s="2" t="s">
        <v>156</v>
      </c>
      <c r="B364" s="26" t="s">
        <v>508</v>
      </c>
      <c r="C364" s="26" t="s">
        <v>158</v>
      </c>
      <c r="D364" s="28" t="s">
        <v>7</v>
      </c>
      <c r="E364" s="28" t="s">
        <v>1030</v>
      </c>
      <c r="F364" s="32">
        <v>969</v>
      </c>
      <c r="G364" s="48" t="s">
        <v>1031</v>
      </c>
      <c r="H364" s="48"/>
      <c r="I364" s="27" t="s">
        <v>574</v>
      </c>
      <c r="J364" s="27" t="s">
        <v>7</v>
      </c>
    </row>
    <row r="365" spans="1:10" x14ac:dyDescent="0.3">
      <c r="A365" s="2" t="s">
        <v>156</v>
      </c>
      <c r="B365" s="26" t="s">
        <v>508</v>
      </c>
      <c r="C365" s="26" t="s">
        <v>158</v>
      </c>
      <c r="D365" s="28" t="s">
        <v>7</v>
      </c>
      <c r="E365" s="28" t="s">
        <v>1032</v>
      </c>
      <c r="F365" s="32">
        <v>9759</v>
      </c>
      <c r="G365" s="48" t="s">
        <v>1033</v>
      </c>
      <c r="H365" s="48"/>
      <c r="I365" s="27" t="s">
        <v>574</v>
      </c>
      <c r="J365" s="27" t="s">
        <v>7</v>
      </c>
    </row>
    <row r="366" spans="1:10" x14ac:dyDescent="0.3">
      <c r="A366" s="2" t="s">
        <v>156</v>
      </c>
      <c r="B366" s="26" t="s">
        <v>508</v>
      </c>
      <c r="C366" s="26" t="s">
        <v>158</v>
      </c>
      <c r="D366" s="28" t="s">
        <v>7</v>
      </c>
      <c r="E366" s="28" t="s">
        <v>1034</v>
      </c>
      <c r="F366" s="32">
        <v>24000</v>
      </c>
      <c r="G366" s="48" t="s">
        <v>1035</v>
      </c>
      <c r="H366" s="48"/>
      <c r="I366" s="27" t="s">
        <v>200</v>
      </c>
      <c r="J366" s="27" t="s">
        <v>7</v>
      </c>
    </row>
    <row r="367" spans="1:10" ht="32.4" x14ac:dyDescent="0.3">
      <c r="A367" s="2" t="s">
        <v>156</v>
      </c>
      <c r="B367" s="26" t="s">
        <v>508</v>
      </c>
      <c r="C367" s="26" t="s">
        <v>158</v>
      </c>
      <c r="D367" s="28" t="s">
        <v>7</v>
      </c>
      <c r="E367" s="28" t="s">
        <v>1036</v>
      </c>
      <c r="F367" s="32">
        <v>46</v>
      </c>
      <c r="G367" s="48" t="s">
        <v>1037</v>
      </c>
      <c r="H367" s="48"/>
      <c r="I367" s="27" t="s">
        <v>687</v>
      </c>
      <c r="J367" s="27" t="s">
        <v>7</v>
      </c>
    </row>
    <row r="368" spans="1:10" ht="32.4" x14ac:dyDescent="0.3">
      <c r="A368" s="2" t="s">
        <v>53</v>
      </c>
      <c r="B368" s="26" t="s">
        <v>524</v>
      </c>
      <c r="C368" s="26" t="s">
        <v>1038</v>
      </c>
      <c r="D368" s="28" t="s">
        <v>537</v>
      </c>
      <c r="E368" s="28" t="s">
        <v>1039</v>
      </c>
      <c r="F368" s="32">
        <v>44751</v>
      </c>
      <c r="G368" s="48" t="s">
        <v>1040</v>
      </c>
      <c r="H368" s="48"/>
      <c r="I368" s="27" t="s">
        <v>161</v>
      </c>
      <c r="J368" s="27" t="s">
        <v>7</v>
      </c>
    </row>
    <row r="369" spans="1:10" ht="32.4" x14ac:dyDescent="0.3">
      <c r="A369" s="2" t="s">
        <v>53</v>
      </c>
      <c r="B369" s="26" t="s">
        <v>524</v>
      </c>
      <c r="C369" s="26" t="s">
        <v>1041</v>
      </c>
      <c r="D369" s="28" t="s">
        <v>537</v>
      </c>
      <c r="E369" s="28" t="s">
        <v>1042</v>
      </c>
      <c r="F369" s="32">
        <v>220</v>
      </c>
      <c r="G369" s="48" t="s">
        <v>1043</v>
      </c>
      <c r="H369" s="48"/>
      <c r="I369" s="27" t="s">
        <v>359</v>
      </c>
      <c r="J369" s="27" t="s">
        <v>7</v>
      </c>
    </row>
    <row r="370" spans="1:10" x14ac:dyDescent="0.3">
      <c r="A370" s="2" t="s">
        <v>53</v>
      </c>
      <c r="B370" s="26" t="s">
        <v>524</v>
      </c>
      <c r="C370" s="26" t="s">
        <v>1041</v>
      </c>
      <c r="D370" s="28" t="s">
        <v>541</v>
      </c>
      <c r="E370" s="28" t="s">
        <v>1044</v>
      </c>
      <c r="F370" s="32">
        <v>1680</v>
      </c>
      <c r="G370" s="48" t="s">
        <v>1045</v>
      </c>
      <c r="H370" s="48"/>
      <c r="I370" s="27" t="s">
        <v>90</v>
      </c>
      <c r="J370" s="27" t="s">
        <v>7</v>
      </c>
    </row>
    <row r="371" spans="1:10" ht="32.4" x14ac:dyDescent="0.3">
      <c r="A371" s="2" t="s">
        <v>53</v>
      </c>
      <c r="B371" s="26" t="s">
        <v>524</v>
      </c>
      <c r="C371" s="26" t="s">
        <v>1046</v>
      </c>
      <c r="D371" s="28" t="s">
        <v>537</v>
      </c>
      <c r="E371" s="28" t="s">
        <v>1047</v>
      </c>
      <c r="F371" s="32">
        <v>6059</v>
      </c>
      <c r="G371" s="48" t="s">
        <v>1048</v>
      </c>
      <c r="H371" s="48"/>
      <c r="I371" s="27" t="s">
        <v>359</v>
      </c>
      <c r="J371" s="27" t="s">
        <v>7</v>
      </c>
    </row>
    <row r="372" spans="1:10" ht="32.4" x14ac:dyDescent="0.3">
      <c r="A372" s="2" t="s">
        <v>53</v>
      </c>
      <c r="B372" s="26" t="s">
        <v>524</v>
      </c>
      <c r="C372" s="26" t="s">
        <v>1049</v>
      </c>
      <c r="D372" s="28" t="s">
        <v>623</v>
      </c>
      <c r="E372" s="28" t="s">
        <v>1050</v>
      </c>
      <c r="F372" s="32">
        <v>4950</v>
      </c>
      <c r="G372" s="48" t="s">
        <v>1051</v>
      </c>
      <c r="H372" s="48"/>
      <c r="I372" s="27" t="s">
        <v>687</v>
      </c>
      <c r="J372" s="27" t="s">
        <v>7</v>
      </c>
    </row>
    <row r="373" spans="1:10" ht="32.4" x14ac:dyDescent="0.3">
      <c r="A373" s="2" t="s">
        <v>53</v>
      </c>
      <c r="B373" s="26" t="s">
        <v>524</v>
      </c>
      <c r="C373" s="26" t="s">
        <v>1049</v>
      </c>
      <c r="D373" s="28" t="s">
        <v>537</v>
      </c>
      <c r="E373" s="28" t="s">
        <v>1052</v>
      </c>
      <c r="F373" s="32">
        <v>1300</v>
      </c>
      <c r="G373" s="48" t="s">
        <v>1053</v>
      </c>
      <c r="H373" s="48"/>
      <c r="I373" s="27" t="s">
        <v>114</v>
      </c>
      <c r="J373" s="27" t="s">
        <v>7</v>
      </c>
    </row>
    <row r="374" spans="1:10" x14ac:dyDescent="0.3">
      <c r="A374" s="2" t="s">
        <v>53</v>
      </c>
      <c r="B374" s="26" t="s">
        <v>524</v>
      </c>
      <c r="C374" s="26" t="s">
        <v>1054</v>
      </c>
      <c r="D374" s="28" t="s">
        <v>623</v>
      </c>
      <c r="E374" s="28" t="s">
        <v>1055</v>
      </c>
      <c r="F374" s="32">
        <v>1215</v>
      </c>
      <c r="G374" s="48" t="s">
        <v>1056</v>
      </c>
      <c r="H374" s="48"/>
      <c r="I374" s="27" t="s">
        <v>496</v>
      </c>
      <c r="J374" s="27" t="s">
        <v>7</v>
      </c>
    </row>
    <row r="375" spans="1:10" x14ac:dyDescent="0.3">
      <c r="A375" s="2" t="s">
        <v>53</v>
      </c>
      <c r="B375" s="26" t="s">
        <v>524</v>
      </c>
      <c r="C375" s="26" t="s">
        <v>1054</v>
      </c>
      <c r="D375" s="28" t="s">
        <v>623</v>
      </c>
      <c r="E375" s="28" t="s">
        <v>1057</v>
      </c>
      <c r="F375" s="32">
        <v>208</v>
      </c>
      <c r="G375" s="48" t="s">
        <v>1058</v>
      </c>
      <c r="H375" s="48"/>
      <c r="I375" s="27" t="s">
        <v>496</v>
      </c>
      <c r="J375" s="27" t="s">
        <v>7</v>
      </c>
    </row>
    <row r="376" spans="1:10" x14ac:dyDescent="0.3">
      <c r="A376" s="2" t="s">
        <v>53</v>
      </c>
      <c r="B376" s="26" t="s">
        <v>524</v>
      </c>
      <c r="C376" s="26" t="s">
        <v>1054</v>
      </c>
      <c r="D376" s="28" t="s">
        <v>623</v>
      </c>
      <c r="E376" s="28" t="s">
        <v>1059</v>
      </c>
      <c r="F376" s="32">
        <v>300</v>
      </c>
      <c r="G376" s="48" t="s">
        <v>1060</v>
      </c>
      <c r="H376" s="48"/>
      <c r="I376" s="27" t="s">
        <v>496</v>
      </c>
      <c r="J376" s="27" t="s">
        <v>7</v>
      </c>
    </row>
    <row r="377" spans="1:10" x14ac:dyDescent="0.3">
      <c r="A377" s="2" t="s">
        <v>53</v>
      </c>
      <c r="B377" s="26" t="s">
        <v>524</v>
      </c>
      <c r="C377" s="26" t="s">
        <v>1054</v>
      </c>
      <c r="D377" s="28" t="s">
        <v>623</v>
      </c>
      <c r="E377" s="28" t="s">
        <v>1061</v>
      </c>
      <c r="F377" s="32">
        <v>170</v>
      </c>
      <c r="G377" s="48" t="s">
        <v>1062</v>
      </c>
      <c r="H377" s="48"/>
      <c r="I377" s="27" t="s">
        <v>496</v>
      </c>
      <c r="J377" s="27" t="s">
        <v>7</v>
      </c>
    </row>
    <row r="378" spans="1:10" x14ac:dyDescent="0.3">
      <c r="A378" s="2" t="s">
        <v>53</v>
      </c>
      <c r="B378" s="26" t="s">
        <v>524</v>
      </c>
      <c r="C378" s="26" t="s">
        <v>1054</v>
      </c>
      <c r="D378" s="28" t="s">
        <v>623</v>
      </c>
      <c r="E378" s="28" t="s">
        <v>1063</v>
      </c>
      <c r="F378" s="32">
        <v>4104</v>
      </c>
      <c r="G378" s="48" t="s">
        <v>1064</v>
      </c>
      <c r="H378" s="48"/>
      <c r="I378" s="27" t="s">
        <v>496</v>
      </c>
      <c r="J378" s="27" t="s">
        <v>7</v>
      </c>
    </row>
    <row r="379" spans="1:10" x14ac:dyDescent="0.3">
      <c r="A379" s="2" t="s">
        <v>53</v>
      </c>
      <c r="B379" s="26" t="s">
        <v>524</v>
      </c>
      <c r="C379" s="26" t="s">
        <v>1054</v>
      </c>
      <c r="D379" s="28" t="s">
        <v>623</v>
      </c>
      <c r="E379" s="28" t="s">
        <v>1065</v>
      </c>
      <c r="F379" s="32">
        <v>1610</v>
      </c>
      <c r="G379" s="48" t="s">
        <v>1056</v>
      </c>
      <c r="H379" s="48"/>
      <c r="I379" s="27" t="s">
        <v>496</v>
      </c>
      <c r="J379" s="27" t="s">
        <v>7</v>
      </c>
    </row>
    <row r="380" spans="1:10" ht="32.4" x14ac:dyDescent="0.3">
      <c r="A380" s="2" t="s">
        <v>53</v>
      </c>
      <c r="B380" s="26" t="s">
        <v>524</v>
      </c>
      <c r="C380" s="26" t="s">
        <v>1066</v>
      </c>
      <c r="D380" s="28" t="s">
        <v>537</v>
      </c>
      <c r="E380" s="28" t="s">
        <v>1067</v>
      </c>
      <c r="F380" s="32">
        <v>1488</v>
      </c>
      <c r="G380" s="48" t="s">
        <v>1068</v>
      </c>
      <c r="H380" s="48"/>
      <c r="I380" s="27" t="s">
        <v>364</v>
      </c>
      <c r="J380" s="27" t="s">
        <v>7</v>
      </c>
    </row>
    <row r="381" spans="1:10" ht="48.6" x14ac:dyDescent="0.3">
      <c r="A381" s="2" t="s">
        <v>53</v>
      </c>
      <c r="B381" s="26" t="s">
        <v>524</v>
      </c>
      <c r="C381" s="26" t="s">
        <v>1069</v>
      </c>
      <c r="D381" s="28" t="s">
        <v>655</v>
      </c>
      <c r="E381" s="28" t="s">
        <v>1070</v>
      </c>
      <c r="F381" s="32">
        <v>2042</v>
      </c>
      <c r="G381" s="48" t="s">
        <v>1071</v>
      </c>
      <c r="H381" s="48"/>
      <c r="I381" s="27" t="s">
        <v>687</v>
      </c>
      <c r="J381" s="27" t="s">
        <v>7</v>
      </c>
    </row>
    <row r="382" spans="1:10" x14ac:dyDescent="0.3">
      <c r="A382" s="2" t="s">
        <v>156</v>
      </c>
      <c r="B382" s="26" t="s">
        <v>524</v>
      </c>
      <c r="C382" s="26" t="s">
        <v>158</v>
      </c>
      <c r="D382" s="28" t="s">
        <v>7</v>
      </c>
      <c r="E382" s="28" t="s">
        <v>1072</v>
      </c>
      <c r="F382" s="32">
        <v>3619</v>
      </c>
      <c r="G382" s="48" t="s">
        <v>1073</v>
      </c>
      <c r="H382" s="48"/>
      <c r="I382" s="27" t="s">
        <v>109</v>
      </c>
      <c r="J382" s="27" t="s">
        <v>7</v>
      </c>
    </row>
    <row r="383" spans="1:10" x14ac:dyDescent="0.3">
      <c r="A383" s="2" t="s">
        <v>156</v>
      </c>
      <c r="B383" s="26" t="s">
        <v>524</v>
      </c>
      <c r="C383" s="26" t="s">
        <v>158</v>
      </c>
      <c r="D383" s="28" t="s">
        <v>7</v>
      </c>
      <c r="E383" s="28" t="s">
        <v>1074</v>
      </c>
      <c r="F383" s="32">
        <v>2760</v>
      </c>
      <c r="G383" s="48" t="s">
        <v>1075</v>
      </c>
      <c r="H383" s="48"/>
      <c r="I383" s="27" t="s">
        <v>90</v>
      </c>
      <c r="J383" s="27" t="s">
        <v>7</v>
      </c>
    </row>
    <row r="384" spans="1:10" x14ac:dyDescent="0.3">
      <c r="A384" s="2" t="s">
        <v>156</v>
      </c>
      <c r="B384" s="26" t="s">
        <v>524</v>
      </c>
      <c r="C384" s="26" t="s">
        <v>158</v>
      </c>
      <c r="D384" s="28" t="s">
        <v>7</v>
      </c>
      <c r="E384" s="28" t="s">
        <v>1076</v>
      </c>
      <c r="F384" s="32">
        <v>1390</v>
      </c>
      <c r="G384" s="48" t="s">
        <v>1077</v>
      </c>
      <c r="H384" s="48"/>
      <c r="I384" s="27" t="s">
        <v>1078</v>
      </c>
      <c r="J384" s="27" t="s">
        <v>7</v>
      </c>
    </row>
    <row r="385" spans="1:10" x14ac:dyDescent="0.3">
      <c r="A385" s="2" t="s">
        <v>156</v>
      </c>
      <c r="B385" s="26" t="s">
        <v>524</v>
      </c>
      <c r="C385" s="26" t="s">
        <v>158</v>
      </c>
      <c r="D385" s="28" t="s">
        <v>7</v>
      </c>
      <c r="E385" s="28" t="s">
        <v>1079</v>
      </c>
      <c r="F385" s="32">
        <v>3302</v>
      </c>
      <c r="G385" s="48" t="s">
        <v>1080</v>
      </c>
      <c r="H385" s="48"/>
      <c r="I385" s="27" t="s">
        <v>347</v>
      </c>
      <c r="J385" s="27" t="s">
        <v>7</v>
      </c>
    </row>
    <row r="386" spans="1:10" x14ac:dyDescent="0.3">
      <c r="A386" s="2" t="s">
        <v>156</v>
      </c>
      <c r="B386" s="26" t="s">
        <v>531</v>
      </c>
      <c r="C386" s="26" t="s">
        <v>158</v>
      </c>
      <c r="D386" s="28" t="s">
        <v>7</v>
      </c>
      <c r="E386" s="28" t="s">
        <v>1081</v>
      </c>
      <c r="F386" s="32">
        <v>1931</v>
      </c>
      <c r="G386" s="48" t="s">
        <v>1082</v>
      </c>
      <c r="H386" s="48"/>
      <c r="I386" s="27" t="s">
        <v>109</v>
      </c>
      <c r="J386" s="27" t="s">
        <v>7</v>
      </c>
    </row>
    <row r="387" spans="1:10" x14ac:dyDescent="0.3">
      <c r="A387" s="2" t="s">
        <v>156</v>
      </c>
      <c r="B387" s="26" t="s">
        <v>531</v>
      </c>
      <c r="C387" s="26" t="s">
        <v>158</v>
      </c>
      <c r="D387" s="28" t="s">
        <v>7</v>
      </c>
      <c r="E387" s="28" t="s">
        <v>1083</v>
      </c>
      <c r="F387" s="32">
        <v>2148</v>
      </c>
      <c r="G387" s="48" t="s">
        <v>1084</v>
      </c>
      <c r="H387" s="48"/>
      <c r="I387" s="27" t="s">
        <v>109</v>
      </c>
      <c r="J387" s="27" t="s">
        <v>7</v>
      </c>
    </row>
    <row r="388" spans="1:10" x14ac:dyDescent="0.3">
      <c r="A388" s="2" t="s">
        <v>156</v>
      </c>
      <c r="B388" s="26" t="s">
        <v>531</v>
      </c>
      <c r="C388" s="26" t="s">
        <v>158</v>
      </c>
      <c r="D388" s="28" t="s">
        <v>7</v>
      </c>
      <c r="E388" s="28" t="s">
        <v>1085</v>
      </c>
      <c r="F388" s="32">
        <v>4850</v>
      </c>
      <c r="G388" s="48" t="s">
        <v>1086</v>
      </c>
      <c r="H388" s="48"/>
      <c r="I388" s="27" t="s">
        <v>109</v>
      </c>
      <c r="J388" s="27" t="s">
        <v>7</v>
      </c>
    </row>
    <row r="389" spans="1:10" ht="32.4" x14ac:dyDescent="0.3">
      <c r="A389" s="2" t="s">
        <v>156</v>
      </c>
      <c r="B389" s="26" t="s">
        <v>531</v>
      </c>
      <c r="C389" s="26" t="s">
        <v>158</v>
      </c>
      <c r="D389" s="28" t="s">
        <v>7</v>
      </c>
      <c r="E389" s="28" t="s">
        <v>1087</v>
      </c>
      <c r="F389" s="32">
        <v>1957</v>
      </c>
      <c r="G389" s="48" t="s">
        <v>1088</v>
      </c>
      <c r="H389" s="48"/>
      <c r="I389" s="27" t="s">
        <v>155</v>
      </c>
      <c r="J389" s="27" t="s">
        <v>7</v>
      </c>
    </row>
    <row r="390" spans="1:10" ht="32.4" x14ac:dyDescent="0.3">
      <c r="A390" s="2" t="s">
        <v>156</v>
      </c>
      <c r="B390" s="26" t="s">
        <v>531</v>
      </c>
      <c r="C390" s="26" t="s">
        <v>158</v>
      </c>
      <c r="D390" s="28" t="s">
        <v>7</v>
      </c>
      <c r="E390" s="28" t="s">
        <v>1089</v>
      </c>
      <c r="F390" s="32">
        <v>4084</v>
      </c>
      <c r="G390" s="48" t="s">
        <v>1090</v>
      </c>
      <c r="H390" s="48"/>
      <c r="I390" s="27" t="s">
        <v>687</v>
      </c>
      <c r="J390" s="27" t="s">
        <v>7</v>
      </c>
    </row>
    <row r="391" spans="1:10" ht="32.4" x14ac:dyDescent="0.3">
      <c r="A391" s="2" t="s">
        <v>156</v>
      </c>
      <c r="B391" s="26" t="s">
        <v>531</v>
      </c>
      <c r="C391" s="26" t="s">
        <v>158</v>
      </c>
      <c r="D391" s="28" t="s">
        <v>7</v>
      </c>
      <c r="E391" s="28" t="s">
        <v>1091</v>
      </c>
      <c r="F391" s="32">
        <v>298</v>
      </c>
      <c r="G391" s="48" t="s">
        <v>1092</v>
      </c>
      <c r="H391" s="48"/>
      <c r="I391" s="27" t="s">
        <v>687</v>
      </c>
      <c r="J391" s="27" t="s">
        <v>7</v>
      </c>
    </row>
    <row r="392" spans="1:10" x14ac:dyDescent="0.3">
      <c r="A392" s="2" t="s">
        <v>156</v>
      </c>
      <c r="B392" s="26" t="s">
        <v>1093</v>
      </c>
      <c r="C392" s="26" t="s">
        <v>158</v>
      </c>
      <c r="D392" s="28" t="s">
        <v>7</v>
      </c>
      <c r="E392" s="28" t="s">
        <v>1094</v>
      </c>
      <c r="F392" s="32">
        <v>2600</v>
      </c>
      <c r="G392" s="48" t="s">
        <v>1095</v>
      </c>
      <c r="H392" s="48"/>
      <c r="I392" s="27" t="s">
        <v>90</v>
      </c>
      <c r="J392" s="27" t="s">
        <v>7</v>
      </c>
    </row>
    <row r="393" spans="1:10" x14ac:dyDescent="0.3">
      <c r="A393" s="2" t="s">
        <v>156</v>
      </c>
      <c r="B393" s="26" t="s">
        <v>1093</v>
      </c>
      <c r="C393" s="26" t="s">
        <v>158</v>
      </c>
      <c r="D393" s="28" t="s">
        <v>7</v>
      </c>
      <c r="E393" s="28" t="s">
        <v>1096</v>
      </c>
      <c r="F393" s="32">
        <v>3760</v>
      </c>
      <c r="G393" s="48" t="s">
        <v>1097</v>
      </c>
      <c r="H393" s="48"/>
      <c r="I393" s="27" t="s">
        <v>90</v>
      </c>
      <c r="J393" s="27" t="s">
        <v>7</v>
      </c>
    </row>
    <row r="394" spans="1:10" x14ac:dyDescent="0.3">
      <c r="A394" s="2" t="s">
        <v>156</v>
      </c>
      <c r="B394" s="26" t="s">
        <v>1093</v>
      </c>
      <c r="C394" s="26" t="s">
        <v>158</v>
      </c>
      <c r="D394" s="28" t="s">
        <v>7</v>
      </c>
      <c r="E394" s="28" t="s">
        <v>1098</v>
      </c>
      <c r="F394" s="32">
        <v>17070</v>
      </c>
      <c r="G394" s="48" t="s">
        <v>1099</v>
      </c>
      <c r="H394" s="48"/>
      <c r="I394" s="27" t="s">
        <v>1078</v>
      </c>
      <c r="J394" s="27" t="s">
        <v>7</v>
      </c>
    </row>
    <row r="395" spans="1:10" x14ac:dyDescent="0.3">
      <c r="B395" s="29" t="s">
        <v>44</v>
      </c>
      <c r="C395" s="48" t="s">
        <v>1100</v>
      </c>
      <c r="D395" s="49"/>
      <c r="E395" s="50"/>
      <c r="F395" s="51"/>
      <c r="G395" s="48"/>
      <c r="H395" s="48"/>
      <c r="I395" s="48"/>
      <c r="J395" s="48"/>
    </row>
    <row r="396" spans="1:10" x14ac:dyDescent="0.3">
      <c r="A396" s="25" t="s">
        <v>27</v>
      </c>
      <c r="B396" s="22"/>
      <c r="C396" s="22"/>
      <c r="D396" s="30"/>
      <c r="E396" s="31"/>
      <c r="F396" s="24"/>
      <c r="G396" s="23"/>
      <c r="H396" s="23"/>
      <c r="I396" s="23"/>
      <c r="J396" s="23"/>
    </row>
    <row r="397" spans="1:10" ht="32.4" x14ac:dyDescent="0.3">
      <c r="A397" s="2" t="s">
        <v>53</v>
      </c>
      <c r="B397" s="26" t="s">
        <v>176</v>
      </c>
      <c r="C397" s="26" t="s">
        <v>1101</v>
      </c>
      <c r="D397" s="28" t="s">
        <v>1102</v>
      </c>
      <c r="E397" s="28" t="s">
        <v>1103</v>
      </c>
      <c r="F397" s="32">
        <v>15000</v>
      </c>
      <c r="G397" s="48" t="s">
        <v>1104</v>
      </c>
      <c r="H397" s="48"/>
      <c r="I397" s="27" t="s">
        <v>1105</v>
      </c>
      <c r="J397" s="27" t="s">
        <v>7</v>
      </c>
    </row>
    <row r="398" spans="1:10" ht="32.4" x14ac:dyDescent="0.3">
      <c r="A398" s="2" t="s">
        <v>53</v>
      </c>
      <c r="B398" s="26" t="s">
        <v>184</v>
      </c>
      <c r="C398" s="26" t="s">
        <v>1106</v>
      </c>
      <c r="D398" s="28" t="s">
        <v>1102</v>
      </c>
      <c r="E398" s="28" t="s">
        <v>1107</v>
      </c>
      <c r="F398" s="32">
        <v>41120</v>
      </c>
      <c r="G398" s="48" t="s">
        <v>1108</v>
      </c>
      <c r="H398" s="48"/>
      <c r="I398" s="27" t="s">
        <v>881</v>
      </c>
      <c r="J398" s="27" t="s">
        <v>7</v>
      </c>
    </row>
    <row r="399" spans="1:10" ht="32.4" x14ac:dyDescent="0.3">
      <c r="A399" s="2" t="s">
        <v>156</v>
      </c>
      <c r="B399" s="26" t="s">
        <v>236</v>
      </c>
      <c r="C399" s="26" t="s">
        <v>49</v>
      </c>
      <c r="D399" s="28" t="s">
        <v>7</v>
      </c>
      <c r="E399" s="28" t="s">
        <v>1109</v>
      </c>
      <c r="F399" s="32">
        <v>18186</v>
      </c>
      <c r="G399" s="48" t="s">
        <v>1110</v>
      </c>
      <c r="H399" s="48"/>
      <c r="I399" s="27" t="s">
        <v>881</v>
      </c>
      <c r="J399" s="27" t="s">
        <v>7</v>
      </c>
    </row>
    <row r="400" spans="1:10" x14ac:dyDescent="0.3">
      <c r="A400" s="2" t="s">
        <v>156</v>
      </c>
      <c r="B400" s="26" t="s">
        <v>236</v>
      </c>
      <c r="C400" s="26" t="s">
        <v>49</v>
      </c>
      <c r="D400" s="28" t="s">
        <v>7</v>
      </c>
      <c r="E400" s="28" t="s">
        <v>1111</v>
      </c>
      <c r="F400" s="32">
        <v>51800</v>
      </c>
      <c r="G400" s="48" t="s">
        <v>1112</v>
      </c>
      <c r="H400" s="48"/>
      <c r="I400" s="27" t="s">
        <v>354</v>
      </c>
      <c r="J400" s="27" t="s">
        <v>7</v>
      </c>
    </row>
    <row r="401" spans="1:10" ht="32.4" x14ac:dyDescent="0.3">
      <c r="A401" s="2" t="s">
        <v>156</v>
      </c>
      <c r="B401" s="26" t="s">
        <v>247</v>
      </c>
      <c r="C401" s="26" t="s">
        <v>49</v>
      </c>
      <c r="D401" s="28" t="s">
        <v>7</v>
      </c>
      <c r="E401" s="28" t="s">
        <v>1113</v>
      </c>
      <c r="F401" s="32">
        <v>20000</v>
      </c>
      <c r="G401" s="48" t="s">
        <v>1114</v>
      </c>
      <c r="H401" s="48"/>
      <c r="I401" s="27" t="s">
        <v>155</v>
      </c>
      <c r="J401" s="27" t="s">
        <v>7</v>
      </c>
    </row>
    <row r="402" spans="1:10" x14ac:dyDescent="0.3">
      <c r="A402" s="2" t="s">
        <v>156</v>
      </c>
      <c r="B402" s="26" t="s">
        <v>269</v>
      </c>
      <c r="C402" s="26" t="s">
        <v>158</v>
      </c>
      <c r="D402" s="28" t="s">
        <v>7</v>
      </c>
      <c r="E402" s="28" t="s">
        <v>1115</v>
      </c>
      <c r="F402" s="32">
        <v>15000</v>
      </c>
      <c r="G402" s="48" t="s">
        <v>1116</v>
      </c>
      <c r="H402" s="48"/>
      <c r="I402" s="27" t="s">
        <v>145</v>
      </c>
      <c r="J402" s="27" t="s">
        <v>7</v>
      </c>
    </row>
    <row r="403" spans="1:10" x14ac:dyDescent="0.3">
      <c r="A403" s="2" t="s">
        <v>156</v>
      </c>
      <c r="B403" s="26" t="s">
        <v>322</v>
      </c>
      <c r="C403" s="26" t="s">
        <v>49</v>
      </c>
      <c r="D403" s="28" t="s">
        <v>7</v>
      </c>
      <c r="E403" s="28" t="s">
        <v>1117</v>
      </c>
      <c r="F403" s="32">
        <v>14000</v>
      </c>
      <c r="G403" s="48" t="s">
        <v>1118</v>
      </c>
      <c r="H403" s="48"/>
      <c r="I403" s="27" t="s">
        <v>1119</v>
      </c>
      <c r="J403" s="27" t="s">
        <v>7</v>
      </c>
    </row>
    <row r="404" spans="1:10" ht="32.4" x14ac:dyDescent="0.3">
      <c r="A404" s="2" t="s">
        <v>53</v>
      </c>
      <c r="B404" s="26" t="s">
        <v>355</v>
      </c>
      <c r="C404" s="26" t="s">
        <v>1120</v>
      </c>
      <c r="D404" s="28" t="s">
        <v>1121</v>
      </c>
      <c r="E404" s="28" t="s">
        <v>1122</v>
      </c>
      <c r="F404" s="32">
        <v>88800</v>
      </c>
      <c r="G404" s="48" t="s">
        <v>1123</v>
      </c>
      <c r="H404" s="48"/>
      <c r="I404" s="27" t="s">
        <v>114</v>
      </c>
      <c r="J404" s="27" t="s">
        <v>7</v>
      </c>
    </row>
    <row r="405" spans="1:10" ht="32.4" x14ac:dyDescent="0.3">
      <c r="A405" s="2" t="s">
        <v>53</v>
      </c>
      <c r="B405" s="26" t="s">
        <v>420</v>
      </c>
      <c r="C405" s="26" t="s">
        <v>1124</v>
      </c>
      <c r="D405" s="28" t="s">
        <v>1125</v>
      </c>
      <c r="E405" s="28" t="s">
        <v>1126</v>
      </c>
      <c r="F405" s="32">
        <v>24050</v>
      </c>
      <c r="G405" s="48" t="s">
        <v>1127</v>
      </c>
      <c r="H405" s="48"/>
      <c r="I405" s="27" t="s">
        <v>72</v>
      </c>
      <c r="J405" s="27" t="s">
        <v>7</v>
      </c>
    </row>
    <row r="406" spans="1:10" ht="32.4" x14ac:dyDescent="0.3">
      <c r="A406" s="2" t="s">
        <v>156</v>
      </c>
      <c r="B406" s="26" t="s">
        <v>457</v>
      </c>
      <c r="C406" s="26" t="s">
        <v>158</v>
      </c>
      <c r="D406" s="28" t="s">
        <v>7</v>
      </c>
      <c r="E406" s="28" t="s">
        <v>1128</v>
      </c>
      <c r="F406" s="32">
        <v>10000</v>
      </c>
      <c r="G406" s="48" t="s">
        <v>1129</v>
      </c>
      <c r="H406" s="48"/>
      <c r="I406" s="27" t="s">
        <v>141</v>
      </c>
      <c r="J406" s="27" t="s">
        <v>7</v>
      </c>
    </row>
    <row r="407" spans="1:10" x14ac:dyDescent="0.3">
      <c r="A407" s="2" t="s">
        <v>156</v>
      </c>
      <c r="B407" s="26" t="s">
        <v>1093</v>
      </c>
      <c r="C407" s="26" t="s">
        <v>158</v>
      </c>
      <c r="D407" s="28" t="s">
        <v>7</v>
      </c>
      <c r="E407" s="28" t="s">
        <v>1130</v>
      </c>
      <c r="F407" s="32">
        <v>27405</v>
      </c>
      <c r="G407" s="48" t="s">
        <v>1131</v>
      </c>
      <c r="H407" s="48"/>
      <c r="I407" s="27" t="s">
        <v>1132</v>
      </c>
      <c r="J407" s="27" t="s">
        <v>7</v>
      </c>
    </row>
    <row r="408" spans="1:10" ht="32.4" x14ac:dyDescent="0.3">
      <c r="A408" s="2" t="s">
        <v>53</v>
      </c>
      <c r="B408" s="26" t="s">
        <v>1133</v>
      </c>
      <c r="C408" s="26" t="s">
        <v>1134</v>
      </c>
      <c r="D408" s="28" t="s">
        <v>1102</v>
      </c>
      <c r="E408" s="28" t="s">
        <v>1135</v>
      </c>
      <c r="F408" s="32">
        <v>15000</v>
      </c>
      <c r="G408" s="48" t="s">
        <v>1136</v>
      </c>
      <c r="H408" s="48"/>
      <c r="I408" s="27" t="s">
        <v>1137</v>
      </c>
      <c r="J408" s="27" t="s">
        <v>7</v>
      </c>
    </row>
    <row r="409" spans="1:10" x14ac:dyDescent="0.3">
      <c r="B409" s="29" t="s">
        <v>44</v>
      </c>
      <c r="C409" s="48" t="s">
        <v>1138</v>
      </c>
      <c r="D409" s="49"/>
      <c r="E409" s="50"/>
      <c r="F409" s="51"/>
      <c r="G409" s="48"/>
      <c r="H409" s="48"/>
      <c r="I409" s="48"/>
      <c r="J409" s="48"/>
    </row>
    <row r="410" spans="1:10" x14ac:dyDescent="0.3">
      <c r="A410" s="25" t="s">
        <v>28</v>
      </c>
      <c r="B410" s="22"/>
      <c r="C410" s="22"/>
      <c r="D410" s="30"/>
      <c r="E410" s="31"/>
      <c r="F410" s="24"/>
      <c r="G410" s="23"/>
      <c r="H410" s="23"/>
      <c r="I410" s="23"/>
      <c r="J410" s="23"/>
    </row>
    <row r="411" spans="1:10" x14ac:dyDescent="0.3">
      <c r="B411" s="29" t="s">
        <v>44</v>
      </c>
      <c r="C411" s="48" t="s">
        <v>1139</v>
      </c>
      <c r="D411" s="49"/>
      <c r="E411" s="50"/>
      <c r="F411" s="51"/>
      <c r="G411" s="48"/>
      <c r="H411" s="48"/>
      <c r="I411" s="48"/>
      <c r="J411" s="48"/>
    </row>
    <row r="412" spans="1:10" x14ac:dyDescent="0.3">
      <c r="A412" s="25" t="s">
        <v>29</v>
      </c>
      <c r="B412" s="22"/>
      <c r="C412" s="22"/>
      <c r="D412" s="30"/>
      <c r="E412" s="31"/>
      <c r="F412" s="24"/>
      <c r="G412" s="23"/>
      <c r="H412" s="23"/>
      <c r="I412" s="23"/>
      <c r="J412" s="23"/>
    </row>
    <row r="413" spans="1:10" x14ac:dyDescent="0.3">
      <c r="A413" s="2" t="s">
        <v>22</v>
      </c>
      <c r="B413" s="26" t="s">
        <v>1140</v>
      </c>
      <c r="C413" s="26" t="s">
        <v>49</v>
      </c>
      <c r="D413" s="28" t="s">
        <v>7</v>
      </c>
      <c r="E413" s="28" t="s">
        <v>1141</v>
      </c>
      <c r="F413" s="32">
        <v>210000</v>
      </c>
      <c r="G413" s="48" t="s">
        <v>1142</v>
      </c>
      <c r="H413" s="48"/>
      <c r="I413" s="27" t="s">
        <v>114</v>
      </c>
      <c r="J413" s="27" t="s">
        <v>7</v>
      </c>
    </row>
    <row r="414" spans="1:10" x14ac:dyDescent="0.3">
      <c r="A414" s="2" t="s">
        <v>22</v>
      </c>
      <c r="B414" s="26" t="s">
        <v>1143</v>
      </c>
      <c r="C414" s="26" t="s">
        <v>49</v>
      </c>
      <c r="D414" s="28" t="s">
        <v>7</v>
      </c>
      <c r="E414" s="28" t="s">
        <v>1144</v>
      </c>
      <c r="F414" s="32">
        <v>525000</v>
      </c>
      <c r="G414" s="48" t="s">
        <v>1145</v>
      </c>
      <c r="H414" s="48"/>
      <c r="I414" s="27" t="s">
        <v>347</v>
      </c>
      <c r="J414" s="27" t="s">
        <v>7</v>
      </c>
    </row>
    <row r="415" spans="1:10" x14ac:dyDescent="0.3">
      <c r="A415" s="2" t="s">
        <v>22</v>
      </c>
      <c r="B415" s="26" t="s">
        <v>102</v>
      </c>
      <c r="C415" s="26" t="s">
        <v>49</v>
      </c>
      <c r="D415" s="28" t="s">
        <v>7</v>
      </c>
      <c r="E415" s="28" t="s">
        <v>1146</v>
      </c>
      <c r="F415" s="32">
        <v>721810</v>
      </c>
      <c r="G415" s="48" t="s">
        <v>1147</v>
      </c>
      <c r="H415" s="48"/>
      <c r="I415" s="27" t="s">
        <v>832</v>
      </c>
      <c r="J415" s="27" t="s">
        <v>7</v>
      </c>
    </row>
    <row r="416" spans="1:10" ht="32.4" x14ac:dyDescent="0.3">
      <c r="A416" s="2" t="s">
        <v>53</v>
      </c>
      <c r="B416" s="26" t="s">
        <v>127</v>
      </c>
      <c r="C416" s="26" t="s">
        <v>1148</v>
      </c>
      <c r="D416" s="28" t="s">
        <v>180</v>
      </c>
      <c r="E416" s="28" t="s">
        <v>1149</v>
      </c>
      <c r="F416" s="32">
        <v>44000</v>
      </c>
      <c r="G416" s="48" t="s">
        <v>597</v>
      </c>
      <c r="H416" s="48"/>
      <c r="I416" s="27" t="s">
        <v>354</v>
      </c>
      <c r="J416" s="27" t="s">
        <v>7</v>
      </c>
    </row>
    <row r="417" spans="1:10" x14ac:dyDescent="0.3">
      <c r="A417" s="2" t="s">
        <v>156</v>
      </c>
      <c r="B417" s="26" t="s">
        <v>1150</v>
      </c>
      <c r="C417" s="26" t="s">
        <v>158</v>
      </c>
      <c r="D417" s="28" t="s">
        <v>7</v>
      </c>
      <c r="E417" s="28" t="s">
        <v>1151</v>
      </c>
      <c r="F417" s="32">
        <v>115415</v>
      </c>
      <c r="G417" s="48" t="s">
        <v>1152</v>
      </c>
      <c r="H417" s="48"/>
      <c r="I417" s="27" t="s">
        <v>1153</v>
      </c>
      <c r="J417" s="27" t="s">
        <v>7</v>
      </c>
    </row>
    <row r="418" spans="1:10" x14ac:dyDescent="0.3">
      <c r="A418" s="2" t="s">
        <v>22</v>
      </c>
      <c r="B418" s="26" t="s">
        <v>257</v>
      </c>
      <c r="C418" s="26" t="s">
        <v>158</v>
      </c>
      <c r="D418" s="28" t="s">
        <v>7</v>
      </c>
      <c r="E418" s="28" t="s">
        <v>1154</v>
      </c>
      <c r="F418" s="32">
        <v>750000</v>
      </c>
      <c r="G418" s="48" t="s">
        <v>1155</v>
      </c>
      <c r="H418" s="48"/>
      <c r="I418" s="27" t="s">
        <v>268</v>
      </c>
      <c r="J418" s="27" t="s">
        <v>7</v>
      </c>
    </row>
    <row r="419" spans="1:10" x14ac:dyDescent="0.3">
      <c r="A419" s="2" t="s">
        <v>156</v>
      </c>
      <c r="B419" s="26" t="s">
        <v>1156</v>
      </c>
      <c r="C419" s="26" t="s">
        <v>158</v>
      </c>
      <c r="D419" s="28" t="s">
        <v>7</v>
      </c>
      <c r="E419" s="28" t="s">
        <v>1157</v>
      </c>
      <c r="F419" s="32">
        <v>10290</v>
      </c>
      <c r="G419" s="48" t="s">
        <v>1158</v>
      </c>
      <c r="H419" s="48"/>
      <c r="I419" s="27" t="s">
        <v>822</v>
      </c>
      <c r="J419" s="27" t="s">
        <v>7</v>
      </c>
    </row>
    <row r="420" spans="1:10" ht="32.4" x14ac:dyDescent="0.3">
      <c r="A420" s="2" t="s">
        <v>53</v>
      </c>
      <c r="B420" s="26" t="s">
        <v>300</v>
      </c>
      <c r="C420" s="26" t="s">
        <v>1159</v>
      </c>
      <c r="D420" s="28" t="s">
        <v>180</v>
      </c>
      <c r="E420" s="28" t="s">
        <v>1160</v>
      </c>
      <c r="F420" s="32">
        <v>117810</v>
      </c>
      <c r="G420" s="48" t="s">
        <v>1161</v>
      </c>
      <c r="H420" s="48"/>
      <c r="I420" s="27" t="s">
        <v>440</v>
      </c>
      <c r="J420" s="27" t="s">
        <v>7</v>
      </c>
    </row>
    <row r="421" spans="1:10" x14ac:dyDescent="0.3">
      <c r="A421" s="2" t="s">
        <v>156</v>
      </c>
      <c r="B421" s="26" t="s">
        <v>367</v>
      </c>
      <c r="C421" s="26" t="s">
        <v>158</v>
      </c>
      <c r="D421" s="28" t="s">
        <v>7</v>
      </c>
      <c r="E421" s="28" t="s">
        <v>1162</v>
      </c>
      <c r="F421" s="32">
        <v>140000</v>
      </c>
      <c r="G421" s="48" t="s">
        <v>1163</v>
      </c>
      <c r="H421" s="48"/>
      <c r="I421" s="27" t="s">
        <v>1164</v>
      </c>
      <c r="J421" s="27" t="s">
        <v>7</v>
      </c>
    </row>
    <row r="422" spans="1:10" x14ac:dyDescent="0.3">
      <c r="A422" s="2" t="s">
        <v>156</v>
      </c>
      <c r="B422" s="26" t="s">
        <v>367</v>
      </c>
      <c r="C422" s="26" t="s">
        <v>158</v>
      </c>
      <c r="D422" s="28" t="s">
        <v>7</v>
      </c>
      <c r="E422" s="28" t="s">
        <v>1165</v>
      </c>
      <c r="F422" s="32">
        <v>99276</v>
      </c>
      <c r="G422" s="48" t="s">
        <v>1166</v>
      </c>
      <c r="H422" s="48"/>
      <c r="I422" s="27" t="s">
        <v>1164</v>
      </c>
      <c r="J422" s="27" t="s">
        <v>7</v>
      </c>
    </row>
    <row r="423" spans="1:10" x14ac:dyDescent="0.3">
      <c r="A423" s="2" t="s">
        <v>22</v>
      </c>
      <c r="B423" s="26" t="s">
        <v>424</v>
      </c>
      <c r="C423" s="26" t="s">
        <v>158</v>
      </c>
      <c r="D423" s="28" t="s">
        <v>7</v>
      </c>
      <c r="E423" s="28" t="s">
        <v>1167</v>
      </c>
      <c r="F423" s="32">
        <v>300000</v>
      </c>
      <c r="G423" s="48" t="s">
        <v>1168</v>
      </c>
      <c r="H423" s="48"/>
      <c r="I423" s="27" t="s">
        <v>1169</v>
      </c>
      <c r="J423" s="27" t="s">
        <v>7</v>
      </c>
    </row>
    <row r="424" spans="1:10" x14ac:dyDescent="0.3">
      <c r="A424" s="2" t="s">
        <v>22</v>
      </c>
      <c r="B424" s="26" t="s">
        <v>472</v>
      </c>
      <c r="C424" s="26" t="s">
        <v>158</v>
      </c>
      <c r="D424" s="28" t="s">
        <v>7</v>
      </c>
      <c r="E424" s="28" t="s">
        <v>1170</v>
      </c>
      <c r="F424" s="32">
        <v>434000</v>
      </c>
      <c r="G424" s="48" t="s">
        <v>1171</v>
      </c>
      <c r="H424" s="48"/>
      <c r="I424" s="27" t="s">
        <v>832</v>
      </c>
      <c r="J424" s="27" t="s">
        <v>7</v>
      </c>
    </row>
    <row r="425" spans="1:10" x14ac:dyDescent="0.3">
      <c r="A425" s="2" t="s">
        <v>156</v>
      </c>
      <c r="B425" s="26" t="s">
        <v>477</v>
      </c>
      <c r="C425" s="26" t="s">
        <v>158</v>
      </c>
      <c r="D425" s="28" t="s">
        <v>7</v>
      </c>
      <c r="E425" s="28" t="s">
        <v>1172</v>
      </c>
      <c r="F425" s="32">
        <v>115208</v>
      </c>
      <c r="G425" s="48" t="s">
        <v>1173</v>
      </c>
      <c r="H425" s="48"/>
      <c r="I425" s="27" t="s">
        <v>161</v>
      </c>
      <c r="J425" s="27" t="s">
        <v>7</v>
      </c>
    </row>
    <row r="426" spans="1:10" x14ac:dyDescent="0.3">
      <c r="B426" s="29" t="s">
        <v>44</v>
      </c>
      <c r="C426" s="48" t="s">
        <v>1174</v>
      </c>
      <c r="D426" s="49"/>
      <c r="E426" s="50"/>
      <c r="F426" s="51"/>
      <c r="G426" s="48"/>
      <c r="H426" s="48"/>
      <c r="I426" s="48"/>
      <c r="J426" s="48"/>
    </row>
    <row r="427" spans="1:10" x14ac:dyDescent="0.3">
      <c r="A427" s="25" t="s">
        <v>1175</v>
      </c>
      <c r="B427" s="22"/>
      <c r="C427" s="22"/>
      <c r="D427" s="30"/>
      <c r="E427" s="31"/>
      <c r="F427" s="24"/>
      <c r="G427" s="23"/>
      <c r="H427" s="23"/>
      <c r="I427" s="23"/>
      <c r="J427" s="23"/>
    </row>
    <row r="428" spans="1:10" x14ac:dyDescent="0.3">
      <c r="B428" s="29" t="s">
        <v>44</v>
      </c>
      <c r="C428" s="48" t="s">
        <v>1176</v>
      </c>
      <c r="D428" s="49"/>
      <c r="E428" s="50"/>
      <c r="F428" s="51"/>
      <c r="G428" s="48"/>
      <c r="H428" s="48"/>
      <c r="I428" s="48"/>
      <c r="J428" s="48"/>
    </row>
  </sheetData>
  <mergeCells count="418">
    <mergeCell ref="G20:H20"/>
    <mergeCell ref="I10:J10"/>
    <mergeCell ref="I15:J15"/>
    <mergeCell ref="I16:J16"/>
    <mergeCell ref="I11:J11"/>
    <mergeCell ref="I12:J12"/>
    <mergeCell ref="I13:J13"/>
    <mergeCell ref="I14:J14"/>
    <mergeCell ref="A7:A8"/>
    <mergeCell ref="B9:E9"/>
    <mergeCell ref="A2:J2"/>
    <mergeCell ref="A3:J3"/>
    <mergeCell ref="G5:J5"/>
    <mergeCell ref="G6:J6"/>
    <mergeCell ref="B6:E6"/>
    <mergeCell ref="B5:E5"/>
    <mergeCell ref="B7:J8"/>
    <mergeCell ref="G9:J9"/>
    <mergeCell ref="G29:H29"/>
    <mergeCell ref="G30:H30"/>
    <mergeCell ref="G31:H31"/>
    <mergeCell ref="G32:H32"/>
    <mergeCell ref="G33:H33"/>
    <mergeCell ref="C22:J22"/>
    <mergeCell ref="C24:J24"/>
    <mergeCell ref="G26:H26"/>
    <mergeCell ref="G27:H27"/>
    <mergeCell ref="G28:H28"/>
    <mergeCell ref="G39:H39"/>
    <mergeCell ref="G40:H40"/>
    <mergeCell ref="G41:H41"/>
    <mergeCell ref="G42:H42"/>
    <mergeCell ref="G43:H43"/>
    <mergeCell ref="G34:H34"/>
    <mergeCell ref="G35:H35"/>
    <mergeCell ref="G36:H36"/>
    <mergeCell ref="G37:H37"/>
    <mergeCell ref="G38:H38"/>
    <mergeCell ref="G49:H49"/>
    <mergeCell ref="G50:H50"/>
    <mergeCell ref="G51:H51"/>
    <mergeCell ref="G52:H52"/>
    <mergeCell ref="G53:H53"/>
    <mergeCell ref="G44:H44"/>
    <mergeCell ref="G45:H45"/>
    <mergeCell ref="G46:H46"/>
    <mergeCell ref="G47:H47"/>
    <mergeCell ref="G48:H48"/>
    <mergeCell ref="G59:H59"/>
    <mergeCell ref="G60:H60"/>
    <mergeCell ref="G61:H61"/>
    <mergeCell ref="G62:H62"/>
    <mergeCell ref="G63:H63"/>
    <mergeCell ref="G54:H54"/>
    <mergeCell ref="G55:H55"/>
    <mergeCell ref="G56:H56"/>
    <mergeCell ref="G57:H57"/>
    <mergeCell ref="G58:H58"/>
    <mergeCell ref="G69:H69"/>
    <mergeCell ref="G70:H70"/>
    <mergeCell ref="G71:H71"/>
    <mergeCell ref="G72:H72"/>
    <mergeCell ref="G73:H73"/>
    <mergeCell ref="G64:H64"/>
    <mergeCell ref="G65:H65"/>
    <mergeCell ref="G66:H66"/>
    <mergeCell ref="G67:H67"/>
    <mergeCell ref="G68:H68"/>
    <mergeCell ref="G79:H79"/>
    <mergeCell ref="G80:H80"/>
    <mergeCell ref="G81:H81"/>
    <mergeCell ref="G82:H82"/>
    <mergeCell ref="G83:H83"/>
    <mergeCell ref="G74:H74"/>
    <mergeCell ref="G75:H75"/>
    <mergeCell ref="G76:H76"/>
    <mergeCell ref="G77:H77"/>
    <mergeCell ref="G78:H78"/>
    <mergeCell ref="G89:H89"/>
    <mergeCell ref="G90:H90"/>
    <mergeCell ref="G91:H91"/>
    <mergeCell ref="G92:H92"/>
    <mergeCell ref="G93:H93"/>
    <mergeCell ref="G84:H84"/>
    <mergeCell ref="G85:H85"/>
    <mergeCell ref="G86:H86"/>
    <mergeCell ref="G87:H87"/>
    <mergeCell ref="G88:H88"/>
    <mergeCell ref="G99:H99"/>
    <mergeCell ref="G100:H100"/>
    <mergeCell ref="G101:H101"/>
    <mergeCell ref="G102:H102"/>
    <mergeCell ref="G103:H103"/>
    <mergeCell ref="G94:H94"/>
    <mergeCell ref="G95:H95"/>
    <mergeCell ref="G96:H96"/>
    <mergeCell ref="G97:H97"/>
    <mergeCell ref="G98:H98"/>
    <mergeCell ref="G109:H109"/>
    <mergeCell ref="G110:H110"/>
    <mergeCell ref="G111:H111"/>
    <mergeCell ref="G112:H112"/>
    <mergeCell ref="G113:H113"/>
    <mergeCell ref="G104:H104"/>
    <mergeCell ref="G105:H105"/>
    <mergeCell ref="G106:H106"/>
    <mergeCell ref="G107:H107"/>
    <mergeCell ref="G108:H108"/>
    <mergeCell ref="G119:H119"/>
    <mergeCell ref="G120:H120"/>
    <mergeCell ref="G121:H121"/>
    <mergeCell ref="G122:H122"/>
    <mergeCell ref="G123:H123"/>
    <mergeCell ref="G114:H114"/>
    <mergeCell ref="G115:H115"/>
    <mergeCell ref="G116:H116"/>
    <mergeCell ref="G117:H117"/>
    <mergeCell ref="G118:H118"/>
    <mergeCell ref="G129:H129"/>
    <mergeCell ref="G130:H130"/>
    <mergeCell ref="G131:H131"/>
    <mergeCell ref="G132:H132"/>
    <mergeCell ref="G133:H133"/>
    <mergeCell ref="G124:H124"/>
    <mergeCell ref="G125:H125"/>
    <mergeCell ref="G126:H126"/>
    <mergeCell ref="G127:H127"/>
    <mergeCell ref="G128:H128"/>
    <mergeCell ref="G139:H139"/>
    <mergeCell ref="G140:H140"/>
    <mergeCell ref="G141:H141"/>
    <mergeCell ref="G142:H142"/>
    <mergeCell ref="G143:H143"/>
    <mergeCell ref="G134:H134"/>
    <mergeCell ref="G135:H135"/>
    <mergeCell ref="G136:H136"/>
    <mergeCell ref="G137:H137"/>
    <mergeCell ref="G138:H138"/>
    <mergeCell ref="G149:H149"/>
    <mergeCell ref="G150:H150"/>
    <mergeCell ref="G151:H151"/>
    <mergeCell ref="G152:H152"/>
    <mergeCell ref="G153:H153"/>
    <mergeCell ref="G144:H144"/>
    <mergeCell ref="G145:H145"/>
    <mergeCell ref="G146:H146"/>
    <mergeCell ref="G147:H147"/>
    <mergeCell ref="G148:H148"/>
    <mergeCell ref="G159:H159"/>
    <mergeCell ref="G160:H160"/>
    <mergeCell ref="G161:H161"/>
    <mergeCell ref="G162:H162"/>
    <mergeCell ref="G163:H163"/>
    <mergeCell ref="G154:H154"/>
    <mergeCell ref="G155:H155"/>
    <mergeCell ref="G156:H156"/>
    <mergeCell ref="G157:H157"/>
    <mergeCell ref="G158:H158"/>
    <mergeCell ref="G169:H169"/>
    <mergeCell ref="G170:H170"/>
    <mergeCell ref="G171:H171"/>
    <mergeCell ref="G172:H172"/>
    <mergeCell ref="G173:H173"/>
    <mergeCell ref="G164:H164"/>
    <mergeCell ref="G165:H165"/>
    <mergeCell ref="G166:H166"/>
    <mergeCell ref="G167:H167"/>
    <mergeCell ref="G168:H168"/>
    <mergeCell ref="G180:H180"/>
    <mergeCell ref="G181:H181"/>
    <mergeCell ref="G182:H182"/>
    <mergeCell ref="G183:H183"/>
    <mergeCell ref="G184:H184"/>
    <mergeCell ref="G174:H174"/>
    <mergeCell ref="G175:H175"/>
    <mergeCell ref="C176:J176"/>
    <mergeCell ref="G178:H178"/>
    <mergeCell ref="G179:H179"/>
    <mergeCell ref="G190:H190"/>
    <mergeCell ref="G191:H191"/>
    <mergeCell ref="G192:H192"/>
    <mergeCell ref="G193:H193"/>
    <mergeCell ref="G194:H194"/>
    <mergeCell ref="G185:H185"/>
    <mergeCell ref="G186:H186"/>
    <mergeCell ref="G187:H187"/>
    <mergeCell ref="G188:H188"/>
    <mergeCell ref="G189:H189"/>
    <mergeCell ref="G200:H200"/>
    <mergeCell ref="G201:H201"/>
    <mergeCell ref="G202:H202"/>
    <mergeCell ref="G203:H203"/>
    <mergeCell ref="G204:H204"/>
    <mergeCell ref="G195:H195"/>
    <mergeCell ref="G196:H196"/>
    <mergeCell ref="G197:H197"/>
    <mergeCell ref="G198:H198"/>
    <mergeCell ref="G199:H199"/>
    <mergeCell ref="G210:H210"/>
    <mergeCell ref="G211:H211"/>
    <mergeCell ref="G212:H212"/>
    <mergeCell ref="G213:H213"/>
    <mergeCell ref="G214:H214"/>
    <mergeCell ref="G205:H205"/>
    <mergeCell ref="G206:H206"/>
    <mergeCell ref="G207:H207"/>
    <mergeCell ref="G208:H208"/>
    <mergeCell ref="G209:H209"/>
    <mergeCell ref="G220:H220"/>
    <mergeCell ref="G221:H221"/>
    <mergeCell ref="G222:H222"/>
    <mergeCell ref="G223:H223"/>
    <mergeCell ref="G224:H224"/>
    <mergeCell ref="G215:H215"/>
    <mergeCell ref="G216:H216"/>
    <mergeCell ref="G217:H217"/>
    <mergeCell ref="G218:H218"/>
    <mergeCell ref="G219:H219"/>
    <mergeCell ref="G230:H230"/>
    <mergeCell ref="G231:H231"/>
    <mergeCell ref="G232:H232"/>
    <mergeCell ref="G233:H233"/>
    <mergeCell ref="G234:H234"/>
    <mergeCell ref="G225:H225"/>
    <mergeCell ref="G226:H226"/>
    <mergeCell ref="G227:H227"/>
    <mergeCell ref="G228:H228"/>
    <mergeCell ref="G229:H229"/>
    <mergeCell ref="G240:H240"/>
    <mergeCell ref="G241:H241"/>
    <mergeCell ref="G242:H242"/>
    <mergeCell ref="G243:H243"/>
    <mergeCell ref="G244:H244"/>
    <mergeCell ref="G235:H235"/>
    <mergeCell ref="G236:H236"/>
    <mergeCell ref="G237:H237"/>
    <mergeCell ref="G238:H238"/>
    <mergeCell ref="G239:H239"/>
    <mergeCell ref="G250:H250"/>
    <mergeCell ref="G251:H251"/>
    <mergeCell ref="G252:H252"/>
    <mergeCell ref="G253:H253"/>
    <mergeCell ref="G254:H254"/>
    <mergeCell ref="G245:H245"/>
    <mergeCell ref="G246:H246"/>
    <mergeCell ref="G247:H247"/>
    <mergeCell ref="G248:H248"/>
    <mergeCell ref="G249:H249"/>
    <mergeCell ref="G260:H260"/>
    <mergeCell ref="G261:H261"/>
    <mergeCell ref="G262:H262"/>
    <mergeCell ref="G263:H263"/>
    <mergeCell ref="G264:H264"/>
    <mergeCell ref="G255:H255"/>
    <mergeCell ref="G256:H256"/>
    <mergeCell ref="G257:H257"/>
    <mergeCell ref="G258:H258"/>
    <mergeCell ref="G259:H259"/>
    <mergeCell ref="G270:H270"/>
    <mergeCell ref="G271:H271"/>
    <mergeCell ref="G272:H272"/>
    <mergeCell ref="G273:H273"/>
    <mergeCell ref="G274:H274"/>
    <mergeCell ref="G265:H265"/>
    <mergeCell ref="G266:H266"/>
    <mergeCell ref="G267:H267"/>
    <mergeCell ref="G268:H268"/>
    <mergeCell ref="G269:H269"/>
    <mergeCell ref="G280:H280"/>
    <mergeCell ref="G281:H281"/>
    <mergeCell ref="G282:H282"/>
    <mergeCell ref="G283:H283"/>
    <mergeCell ref="G284:H284"/>
    <mergeCell ref="G275:H275"/>
    <mergeCell ref="G276:H276"/>
    <mergeCell ref="G277:H277"/>
    <mergeCell ref="G278:H278"/>
    <mergeCell ref="G279:H279"/>
    <mergeCell ref="G290:H290"/>
    <mergeCell ref="G291:H291"/>
    <mergeCell ref="G292:H292"/>
    <mergeCell ref="G293:H293"/>
    <mergeCell ref="G294:H294"/>
    <mergeCell ref="G285:H285"/>
    <mergeCell ref="G286:H286"/>
    <mergeCell ref="G287:H287"/>
    <mergeCell ref="G288:H288"/>
    <mergeCell ref="G289:H289"/>
    <mergeCell ref="G300:H300"/>
    <mergeCell ref="G301:H301"/>
    <mergeCell ref="G302:H302"/>
    <mergeCell ref="G303:H303"/>
    <mergeCell ref="G304:H304"/>
    <mergeCell ref="G295:H295"/>
    <mergeCell ref="G296:H296"/>
    <mergeCell ref="G297:H297"/>
    <mergeCell ref="G298:H298"/>
    <mergeCell ref="G299:H299"/>
    <mergeCell ref="G310:H310"/>
    <mergeCell ref="G311:H311"/>
    <mergeCell ref="G312:H312"/>
    <mergeCell ref="G313:H313"/>
    <mergeCell ref="G314:H314"/>
    <mergeCell ref="G305:H305"/>
    <mergeCell ref="G306:H306"/>
    <mergeCell ref="G307:H307"/>
    <mergeCell ref="G308:H308"/>
    <mergeCell ref="G309:H309"/>
    <mergeCell ref="G320:H320"/>
    <mergeCell ref="G321:H321"/>
    <mergeCell ref="G322:H322"/>
    <mergeCell ref="G323:H323"/>
    <mergeCell ref="G324:H324"/>
    <mergeCell ref="G315:H315"/>
    <mergeCell ref="G316:H316"/>
    <mergeCell ref="G317:H317"/>
    <mergeCell ref="G318:H318"/>
    <mergeCell ref="G319:H319"/>
    <mergeCell ref="G330:H330"/>
    <mergeCell ref="G331:H331"/>
    <mergeCell ref="G332:H332"/>
    <mergeCell ref="G333:H333"/>
    <mergeCell ref="G334:H334"/>
    <mergeCell ref="G325:H325"/>
    <mergeCell ref="G326:H326"/>
    <mergeCell ref="G327:H327"/>
    <mergeCell ref="G328:H328"/>
    <mergeCell ref="G329:H329"/>
    <mergeCell ref="G340:H340"/>
    <mergeCell ref="G341:H341"/>
    <mergeCell ref="G342:H342"/>
    <mergeCell ref="G343:H343"/>
    <mergeCell ref="G344:H344"/>
    <mergeCell ref="G335:H335"/>
    <mergeCell ref="G336:H336"/>
    <mergeCell ref="G337:H337"/>
    <mergeCell ref="G338:H338"/>
    <mergeCell ref="G339:H339"/>
    <mergeCell ref="G350:H350"/>
    <mergeCell ref="G351:H351"/>
    <mergeCell ref="G352:H352"/>
    <mergeCell ref="G353:H353"/>
    <mergeCell ref="G354:H354"/>
    <mergeCell ref="G345:H345"/>
    <mergeCell ref="G346:H346"/>
    <mergeCell ref="G347:H347"/>
    <mergeCell ref="G348:H348"/>
    <mergeCell ref="G349:H349"/>
    <mergeCell ref="G360:H360"/>
    <mergeCell ref="G361:H361"/>
    <mergeCell ref="G362:H362"/>
    <mergeCell ref="G363:H363"/>
    <mergeCell ref="G364:H364"/>
    <mergeCell ref="G355:H355"/>
    <mergeCell ref="G356:H356"/>
    <mergeCell ref="G357:H357"/>
    <mergeCell ref="G358:H358"/>
    <mergeCell ref="G359:H359"/>
    <mergeCell ref="G370:H370"/>
    <mergeCell ref="G371:H371"/>
    <mergeCell ref="G372:H372"/>
    <mergeCell ref="G373:H373"/>
    <mergeCell ref="G374:H374"/>
    <mergeCell ref="G365:H365"/>
    <mergeCell ref="G366:H366"/>
    <mergeCell ref="G367:H367"/>
    <mergeCell ref="G368:H368"/>
    <mergeCell ref="G369:H369"/>
    <mergeCell ref="G380:H380"/>
    <mergeCell ref="G381:H381"/>
    <mergeCell ref="G382:H382"/>
    <mergeCell ref="G383:H383"/>
    <mergeCell ref="G384:H384"/>
    <mergeCell ref="G375:H375"/>
    <mergeCell ref="G376:H376"/>
    <mergeCell ref="G377:H377"/>
    <mergeCell ref="G378:H378"/>
    <mergeCell ref="G379:H379"/>
    <mergeCell ref="G390:H390"/>
    <mergeCell ref="G391:H391"/>
    <mergeCell ref="G392:H392"/>
    <mergeCell ref="G393:H393"/>
    <mergeCell ref="G394:H394"/>
    <mergeCell ref="G385:H385"/>
    <mergeCell ref="G386:H386"/>
    <mergeCell ref="G387:H387"/>
    <mergeCell ref="G388:H388"/>
    <mergeCell ref="G389:H389"/>
    <mergeCell ref="G401:H401"/>
    <mergeCell ref="G402:H402"/>
    <mergeCell ref="G403:H403"/>
    <mergeCell ref="G404:H404"/>
    <mergeCell ref="G405:H405"/>
    <mergeCell ref="C395:J395"/>
    <mergeCell ref="G397:H397"/>
    <mergeCell ref="G398:H398"/>
    <mergeCell ref="G399:H399"/>
    <mergeCell ref="G400:H400"/>
    <mergeCell ref="G413:H413"/>
    <mergeCell ref="G414:H414"/>
    <mergeCell ref="G415:H415"/>
    <mergeCell ref="G416:H416"/>
    <mergeCell ref="G417:H417"/>
    <mergeCell ref="G406:H406"/>
    <mergeCell ref="G407:H407"/>
    <mergeCell ref="G408:H408"/>
    <mergeCell ref="C409:J409"/>
    <mergeCell ref="C411:J411"/>
    <mergeCell ref="G423:H423"/>
    <mergeCell ref="G424:H424"/>
    <mergeCell ref="G425:H425"/>
    <mergeCell ref="C426:J426"/>
    <mergeCell ref="C428:J428"/>
    <mergeCell ref="G418:H418"/>
    <mergeCell ref="G419:H419"/>
    <mergeCell ref="G420:H420"/>
    <mergeCell ref="G421:H421"/>
    <mergeCell ref="G422:H422"/>
  </mergeCells>
  <phoneticPr fontId="1" type="noConversion"/>
  <pageMargins left="0.70866141732283472" right="0.70866141732283472" top="0.74803149606299213" bottom="0.74803149606299213" header="0.31496062992125984" footer="0.31496062992125984"/>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19702-00B4-411E-A8DE-2534EA4CD54D}">
  <dimension ref="A1:L218"/>
  <sheetViews>
    <sheetView tabSelected="1" workbookViewId="0">
      <selection activeCell="J28" sqref="J28:K28"/>
      <pivotSelection pane="bottomRight" showHeader="1" extendable="1" start="23" max="28" activeRow="24" activeCol="9" click="1" r:id="rId1">
        <pivotArea dataOnly="0" fieldPosition="0">
          <references count="1">
            <reference field="4" count="1">
              <x v="26"/>
            </reference>
          </references>
        </pivotArea>
      </pivotSelection>
    </sheetView>
  </sheetViews>
  <sheetFormatPr defaultRowHeight="13.8" x14ac:dyDescent="0.3"/>
  <cols>
    <col min="1" max="3" width="8.88671875" style="37"/>
    <col min="4" max="4" width="19.77734375" style="37" customWidth="1"/>
    <col min="5" max="5" width="16.33203125" style="37" customWidth="1"/>
    <col min="6" max="6" width="8.88671875" style="37"/>
    <col min="7" max="7" width="67.44140625" style="37" customWidth="1"/>
    <col min="8" max="8" width="13.44140625" style="37" customWidth="1"/>
    <col min="9" max="9" width="8.88671875" style="37"/>
    <col min="10" max="10" width="14.33203125" style="37" bestFit="1" customWidth="1"/>
    <col min="11" max="11" width="13.33203125" style="37" bestFit="1" customWidth="1"/>
    <col min="12" max="16384" width="8.88671875" style="37"/>
  </cols>
  <sheetData>
    <row r="1" spans="1:12" ht="16.2" x14ac:dyDescent="0.3">
      <c r="A1" s="34" t="s">
        <v>16</v>
      </c>
      <c r="B1" s="34" t="s">
        <v>35</v>
      </c>
      <c r="C1" s="34" t="s">
        <v>36</v>
      </c>
      <c r="D1" s="35" t="s">
        <v>37</v>
      </c>
      <c r="E1" s="35" t="s">
        <v>1177</v>
      </c>
      <c r="F1" s="36" t="s">
        <v>39</v>
      </c>
      <c r="G1" s="36" t="s">
        <v>40</v>
      </c>
      <c r="H1" s="36" t="s">
        <v>41</v>
      </c>
      <c r="J1" s="46" t="s">
        <v>1238</v>
      </c>
      <c r="K1" t="s">
        <v>1240</v>
      </c>
      <c r="L1"/>
    </row>
    <row r="2" spans="1:12" ht="27.6" x14ac:dyDescent="0.3">
      <c r="A2" s="38" t="s">
        <v>53</v>
      </c>
      <c r="B2" s="38" t="s">
        <v>535</v>
      </c>
      <c r="C2" s="38" t="s">
        <v>536</v>
      </c>
      <c r="D2" s="39" t="s">
        <v>537</v>
      </c>
      <c r="E2" s="39" t="s">
        <v>1197</v>
      </c>
      <c r="F2" s="40">
        <v>21962</v>
      </c>
      <c r="G2" s="41" t="s">
        <v>539</v>
      </c>
      <c r="H2" s="41" t="s">
        <v>80</v>
      </c>
      <c r="J2" s="47" t="s">
        <v>440</v>
      </c>
      <c r="K2" s="1">
        <v>42205</v>
      </c>
      <c r="L2"/>
    </row>
    <row r="3" spans="1:12" ht="27.6" x14ac:dyDescent="0.3">
      <c r="A3" s="38" t="s">
        <v>53</v>
      </c>
      <c r="B3" s="38" t="s">
        <v>535</v>
      </c>
      <c r="C3" s="38" t="s">
        <v>540</v>
      </c>
      <c r="D3" s="39" t="s">
        <v>541</v>
      </c>
      <c r="E3" s="39" t="s">
        <v>1215</v>
      </c>
      <c r="F3" s="40">
        <v>1438</v>
      </c>
      <c r="G3" s="41" t="s">
        <v>543</v>
      </c>
      <c r="H3" s="41" t="s">
        <v>456</v>
      </c>
      <c r="J3" s="47" t="s">
        <v>80</v>
      </c>
      <c r="K3" s="1">
        <v>26000</v>
      </c>
      <c r="L3"/>
    </row>
    <row r="4" spans="1:12" ht="16.2" x14ac:dyDescent="0.3">
      <c r="A4" s="38" t="s">
        <v>53</v>
      </c>
      <c r="B4" s="38" t="s">
        <v>68</v>
      </c>
      <c r="C4" s="38" t="s">
        <v>544</v>
      </c>
      <c r="D4" s="39" t="s">
        <v>545</v>
      </c>
      <c r="E4" s="39" t="s">
        <v>1237</v>
      </c>
      <c r="F4" s="40">
        <v>50000</v>
      </c>
      <c r="G4" s="41" t="s">
        <v>547</v>
      </c>
      <c r="H4" s="41" t="s">
        <v>359</v>
      </c>
      <c r="J4" s="47" t="s">
        <v>1184</v>
      </c>
      <c r="K4" s="1">
        <v>129618</v>
      </c>
      <c r="L4"/>
    </row>
    <row r="5" spans="1:12" ht="27.6" x14ac:dyDescent="0.3">
      <c r="A5" s="38" t="s">
        <v>53</v>
      </c>
      <c r="B5" s="38" t="s">
        <v>68</v>
      </c>
      <c r="C5" s="38" t="s">
        <v>548</v>
      </c>
      <c r="D5" s="39" t="s">
        <v>549</v>
      </c>
      <c r="E5" s="39" t="s">
        <v>1231</v>
      </c>
      <c r="F5" s="40">
        <v>10500</v>
      </c>
      <c r="G5" s="41" t="s">
        <v>551</v>
      </c>
      <c r="H5" s="41" t="s">
        <v>126</v>
      </c>
      <c r="J5" s="47" t="s">
        <v>1234</v>
      </c>
      <c r="K5" s="1">
        <v>1488</v>
      </c>
      <c r="L5"/>
    </row>
    <row r="6" spans="1:12" ht="16.2" x14ac:dyDescent="0.3">
      <c r="A6" s="38" t="s">
        <v>53</v>
      </c>
      <c r="B6" s="38" t="s">
        <v>73</v>
      </c>
      <c r="C6" s="38" t="s">
        <v>552</v>
      </c>
      <c r="D6" s="39" t="s">
        <v>545</v>
      </c>
      <c r="E6" s="39" t="s">
        <v>1237</v>
      </c>
      <c r="F6" s="40">
        <v>2000</v>
      </c>
      <c r="G6" s="41" t="s">
        <v>554</v>
      </c>
      <c r="H6" s="41" t="s">
        <v>359</v>
      </c>
      <c r="J6" s="47" t="s">
        <v>1204</v>
      </c>
      <c r="K6" s="1">
        <v>13609</v>
      </c>
      <c r="L6"/>
    </row>
    <row r="7" spans="1:12" ht="27.6" x14ac:dyDescent="0.3">
      <c r="A7" s="38" t="s">
        <v>53</v>
      </c>
      <c r="B7" s="38" t="s">
        <v>73</v>
      </c>
      <c r="C7" s="38" t="s">
        <v>555</v>
      </c>
      <c r="D7" s="39" t="s">
        <v>556</v>
      </c>
      <c r="E7" s="39" t="s">
        <v>1237</v>
      </c>
      <c r="F7" s="40">
        <v>8905</v>
      </c>
      <c r="G7" s="41" t="s">
        <v>558</v>
      </c>
      <c r="H7" s="41" t="s">
        <v>359</v>
      </c>
      <c r="J7" s="47" t="s">
        <v>114</v>
      </c>
      <c r="K7" s="1">
        <v>2450</v>
      </c>
      <c r="L7"/>
    </row>
    <row r="8" spans="1:12" ht="16.2" x14ac:dyDescent="0.3">
      <c r="A8" s="38" t="s">
        <v>53</v>
      </c>
      <c r="B8" s="38" t="s">
        <v>559</v>
      </c>
      <c r="C8" s="38" t="s">
        <v>560</v>
      </c>
      <c r="D8" s="39" t="s">
        <v>545</v>
      </c>
      <c r="E8" s="39" t="s">
        <v>1237</v>
      </c>
      <c r="F8" s="40">
        <v>53000</v>
      </c>
      <c r="G8" s="41" t="s">
        <v>562</v>
      </c>
      <c r="H8" s="41" t="s">
        <v>359</v>
      </c>
      <c r="J8" s="47" t="s">
        <v>1222</v>
      </c>
      <c r="K8" s="1">
        <v>181285</v>
      </c>
      <c r="L8"/>
    </row>
    <row r="9" spans="1:12" ht="41.4" x14ac:dyDescent="0.3">
      <c r="A9" s="38" t="s">
        <v>53</v>
      </c>
      <c r="B9" s="38" t="s">
        <v>559</v>
      </c>
      <c r="C9" s="38" t="s">
        <v>563</v>
      </c>
      <c r="D9" s="39" t="s">
        <v>564</v>
      </c>
      <c r="E9" s="39" t="s">
        <v>1237</v>
      </c>
      <c r="F9" s="40">
        <v>8235</v>
      </c>
      <c r="G9" s="41" t="s">
        <v>566</v>
      </c>
      <c r="H9" s="41" t="s">
        <v>359</v>
      </c>
      <c r="J9" s="47" t="s">
        <v>1259</v>
      </c>
      <c r="K9" s="1">
        <v>98600</v>
      </c>
      <c r="L9"/>
    </row>
    <row r="10" spans="1:12" ht="41.4" x14ac:dyDescent="0.3">
      <c r="A10" s="38" t="s">
        <v>53</v>
      </c>
      <c r="B10" s="38" t="s">
        <v>559</v>
      </c>
      <c r="C10" s="38" t="s">
        <v>563</v>
      </c>
      <c r="D10" s="39" t="s">
        <v>564</v>
      </c>
      <c r="E10" s="39" t="s">
        <v>1237</v>
      </c>
      <c r="F10" s="40">
        <v>6880</v>
      </c>
      <c r="G10" s="41" t="s">
        <v>568</v>
      </c>
      <c r="H10" s="41" t="s">
        <v>359</v>
      </c>
      <c r="J10" s="47" t="s">
        <v>347</v>
      </c>
      <c r="K10" s="1">
        <v>9512</v>
      </c>
      <c r="L10"/>
    </row>
    <row r="11" spans="1:12" ht="27.6" x14ac:dyDescent="0.3">
      <c r="A11" s="38" t="s">
        <v>53</v>
      </c>
      <c r="B11" s="38" t="s">
        <v>569</v>
      </c>
      <c r="C11" s="38" t="s">
        <v>570</v>
      </c>
      <c r="D11" s="39" t="s">
        <v>571</v>
      </c>
      <c r="E11" s="39" t="s">
        <v>1211</v>
      </c>
      <c r="F11" s="40">
        <v>4138</v>
      </c>
      <c r="G11" s="41" t="s">
        <v>573</v>
      </c>
      <c r="H11" s="41" t="s">
        <v>574</v>
      </c>
      <c r="J11" s="47" t="s">
        <v>1226</v>
      </c>
      <c r="K11" s="1">
        <v>9107</v>
      </c>
      <c r="L11"/>
    </row>
    <row r="12" spans="1:12" ht="27.6" x14ac:dyDescent="0.3">
      <c r="A12" s="38" t="s">
        <v>53</v>
      </c>
      <c r="B12" s="38" t="s">
        <v>575</v>
      </c>
      <c r="C12" s="38" t="s">
        <v>576</v>
      </c>
      <c r="D12" s="39" t="s">
        <v>537</v>
      </c>
      <c r="E12" s="39" t="s">
        <v>1237</v>
      </c>
      <c r="F12" s="40">
        <v>3652</v>
      </c>
      <c r="G12" s="41" t="s">
        <v>578</v>
      </c>
      <c r="H12" s="41" t="s">
        <v>359</v>
      </c>
      <c r="J12" s="47" t="s">
        <v>1193</v>
      </c>
      <c r="K12" s="1">
        <v>23441</v>
      </c>
      <c r="L12"/>
    </row>
    <row r="13" spans="1:12" ht="41.4" x14ac:dyDescent="0.3">
      <c r="A13" s="38" t="s">
        <v>53</v>
      </c>
      <c r="B13" s="38" t="s">
        <v>575</v>
      </c>
      <c r="C13" s="38" t="s">
        <v>576</v>
      </c>
      <c r="D13" s="39" t="s">
        <v>556</v>
      </c>
      <c r="E13" s="39" t="s">
        <v>1237</v>
      </c>
      <c r="F13" s="40">
        <v>8544</v>
      </c>
      <c r="G13" s="41" t="s">
        <v>580</v>
      </c>
      <c r="H13" s="41" t="s">
        <v>359</v>
      </c>
      <c r="J13" s="47" t="s">
        <v>1224</v>
      </c>
      <c r="K13" s="1">
        <v>39722</v>
      </c>
      <c r="L13"/>
    </row>
    <row r="14" spans="1:12" ht="27.6" x14ac:dyDescent="0.3">
      <c r="A14" s="38" t="s">
        <v>53</v>
      </c>
      <c r="B14" s="38" t="s">
        <v>575</v>
      </c>
      <c r="C14" s="38" t="s">
        <v>576</v>
      </c>
      <c r="D14" s="39" t="s">
        <v>541</v>
      </c>
      <c r="E14" s="39" t="s">
        <v>1237</v>
      </c>
      <c r="F14" s="40">
        <v>8400</v>
      </c>
      <c r="G14" s="41" t="s">
        <v>582</v>
      </c>
      <c r="H14" s="41" t="s">
        <v>359</v>
      </c>
      <c r="J14" s="47" t="s">
        <v>1232</v>
      </c>
      <c r="K14" s="1">
        <v>99179</v>
      </c>
      <c r="L14"/>
    </row>
    <row r="15" spans="1:12" ht="27.6" x14ac:dyDescent="0.3">
      <c r="A15" s="38" t="s">
        <v>53</v>
      </c>
      <c r="B15" s="38" t="s">
        <v>575</v>
      </c>
      <c r="C15" s="38" t="s">
        <v>583</v>
      </c>
      <c r="D15" s="39" t="s">
        <v>584</v>
      </c>
      <c r="E15" s="39" t="s">
        <v>1233</v>
      </c>
      <c r="F15" s="40">
        <v>16518</v>
      </c>
      <c r="G15" s="41" t="s">
        <v>586</v>
      </c>
      <c r="H15" s="41" t="s">
        <v>212</v>
      </c>
      <c r="J15" s="47" t="s">
        <v>1228</v>
      </c>
      <c r="K15" s="1">
        <v>83619</v>
      </c>
      <c r="L15"/>
    </row>
    <row r="16" spans="1:12" ht="27.6" x14ac:dyDescent="0.3">
      <c r="A16" s="38" t="s">
        <v>53</v>
      </c>
      <c r="B16" s="38" t="s">
        <v>587</v>
      </c>
      <c r="C16" s="38" t="s">
        <v>588</v>
      </c>
      <c r="D16" s="39" t="s">
        <v>571</v>
      </c>
      <c r="E16" s="39" t="s">
        <v>1211</v>
      </c>
      <c r="F16" s="40">
        <v>3598</v>
      </c>
      <c r="G16" s="41" t="s">
        <v>590</v>
      </c>
      <c r="H16" s="41" t="s">
        <v>574</v>
      </c>
      <c r="J16" s="47" t="s">
        <v>1230</v>
      </c>
      <c r="K16" s="1">
        <v>22820</v>
      </c>
      <c r="L16"/>
    </row>
    <row r="17" spans="1:12" ht="27.6" x14ac:dyDescent="0.3">
      <c r="A17" s="38" t="s">
        <v>53</v>
      </c>
      <c r="B17" s="38" t="s">
        <v>587</v>
      </c>
      <c r="C17" s="38" t="s">
        <v>588</v>
      </c>
      <c r="D17" s="39" t="s">
        <v>537</v>
      </c>
      <c r="E17" s="39" t="s">
        <v>1211</v>
      </c>
      <c r="F17" s="40">
        <v>4240</v>
      </c>
      <c r="G17" s="41" t="s">
        <v>592</v>
      </c>
      <c r="H17" s="41" t="s">
        <v>593</v>
      </c>
      <c r="J17" s="47" t="s">
        <v>1182</v>
      </c>
      <c r="K17" s="1">
        <v>147960</v>
      </c>
      <c r="L17"/>
    </row>
    <row r="18" spans="1:12" ht="27.6" x14ac:dyDescent="0.3">
      <c r="A18" s="38" t="s">
        <v>53</v>
      </c>
      <c r="B18" s="38" t="s">
        <v>594</v>
      </c>
      <c r="C18" s="38" t="s">
        <v>595</v>
      </c>
      <c r="D18" s="39" t="s">
        <v>537</v>
      </c>
      <c r="E18" s="39" t="s">
        <v>1183</v>
      </c>
      <c r="F18" s="40">
        <v>3942</v>
      </c>
      <c r="G18" s="41" t="s">
        <v>597</v>
      </c>
      <c r="H18" s="41" t="s">
        <v>354</v>
      </c>
      <c r="J18" s="47" t="s">
        <v>1202</v>
      </c>
      <c r="K18" s="1">
        <v>69463</v>
      </c>
      <c r="L18"/>
    </row>
    <row r="19" spans="1:12" ht="27.6" x14ac:dyDescent="0.3">
      <c r="A19" s="38" t="s">
        <v>53</v>
      </c>
      <c r="B19" s="38" t="s">
        <v>85</v>
      </c>
      <c r="C19" s="38" t="s">
        <v>598</v>
      </c>
      <c r="D19" s="39" t="s">
        <v>599</v>
      </c>
      <c r="E19" s="39" t="s">
        <v>1215</v>
      </c>
      <c r="F19" s="40">
        <v>98931</v>
      </c>
      <c r="G19" s="41" t="s">
        <v>601</v>
      </c>
      <c r="H19" s="41" t="s">
        <v>456</v>
      </c>
      <c r="J19" s="47" t="s">
        <v>90</v>
      </c>
      <c r="K19" s="1">
        <v>40447</v>
      </c>
    </row>
    <row r="20" spans="1:12" ht="27.6" x14ac:dyDescent="0.3">
      <c r="A20" s="38" t="s">
        <v>53</v>
      </c>
      <c r="B20" s="38" t="s">
        <v>602</v>
      </c>
      <c r="C20" s="38" t="s">
        <v>603</v>
      </c>
      <c r="D20" s="39" t="s">
        <v>537</v>
      </c>
      <c r="E20" s="39" t="s">
        <v>1219</v>
      </c>
      <c r="F20" s="40">
        <v>2270</v>
      </c>
      <c r="G20" s="41" t="s">
        <v>605</v>
      </c>
      <c r="H20" s="41" t="s">
        <v>606</v>
      </c>
      <c r="J20" s="47" t="s">
        <v>1189</v>
      </c>
      <c r="K20" s="1">
        <v>47039</v>
      </c>
    </row>
    <row r="21" spans="1:12" ht="27.6" x14ac:dyDescent="0.3">
      <c r="A21" s="38" t="s">
        <v>53</v>
      </c>
      <c r="B21" s="38" t="s">
        <v>602</v>
      </c>
      <c r="C21" s="38" t="s">
        <v>603</v>
      </c>
      <c r="D21" s="39" t="s">
        <v>537</v>
      </c>
      <c r="E21" s="39" t="s">
        <v>1203</v>
      </c>
      <c r="F21" s="40">
        <v>4750</v>
      </c>
      <c r="G21" s="41" t="s">
        <v>608</v>
      </c>
      <c r="H21" s="41" t="s">
        <v>84</v>
      </c>
      <c r="J21" s="47" t="s">
        <v>1236</v>
      </c>
      <c r="K21" s="1">
        <v>399439</v>
      </c>
    </row>
    <row r="22" spans="1:12" ht="27.6" x14ac:dyDescent="0.3">
      <c r="A22" s="38" t="s">
        <v>53</v>
      </c>
      <c r="B22" s="38" t="s">
        <v>98</v>
      </c>
      <c r="C22" s="38" t="s">
        <v>609</v>
      </c>
      <c r="D22" s="39" t="s">
        <v>584</v>
      </c>
      <c r="E22" s="39" t="s">
        <v>1233</v>
      </c>
      <c r="F22" s="40">
        <v>30140</v>
      </c>
      <c r="G22" s="41" t="s">
        <v>611</v>
      </c>
      <c r="H22" s="41" t="s">
        <v>212</v>
      </c>
      <c r="J22" s="47" t="s">
        <v>1180</v>
      </c>
      <c r="K22" s="1">
        <v>11284</v>
      </c>
    </row>
    <row r="23" spans="1:12" ht="27.6" x14ac:dyDescent="0.3">
      <c r="A23" s="38" t="s">
        <v>53</v>
      </c>
      <c r="B23" s="38" t="s">
        <v>110</v>
      </c>
      <c r="C23" s="38" t="s">
        <v>612</v>
      </c>
      <c r="D23" s="39" t="s">
        <v>537</v>
      </c>
      <c r="E23" s="39" t="s">
        <v>1237</v>
      </c>
      <c r="F23" s="40">
        <v>15000</v>
      </c>
      <c r="G23" s="41" t="s">
        <v>614</v>
      </c>
      <c r="H23" s="41" t="s">
        <v>359</v>
      </c>
      <c r="J23" s="47" t="s">
        <v>1210</v>
      </c>
      <c r="K23" s="1">
        <v>56277</v>
      </c>
    </row>
    <row r="24" spans="1:12" ht="27.6" x14ac:dyDescent="0.3">
      <c r="A24" s="38" t="s">
        <v>53</v>
      </c>
      <c r="B24" s="38" t="s">
        <v>615</v>
      </c>
      <c r="C24" s="38" t="s">
        <v>616</v>
      </c>
      <c r="D24" s="39" t="s">
        <v>571</v>
      </c>
      <c r="E24" s="39" t="s">
        <v>1211</v>
      </c>
      <c r="F24" s="40">
        <v>322</v>
      </c>
      <c r="G24" s="41" t="s">
        <v>618</v>
      </c>
      <c r="H24" s="41" t="s">
        <v>574</v>
      </c>
      <c r="J24" s="47" t="s">
        <v>1212</v>
      </c>
      <c r="K24" s="1">
        <v>79740</v>
      </c>
    </row>
    <row r="25" spans="1:12" ht="41.4" x14ac:dyDescent="0.3">
      <c r="A25" s="38" t="s">
        <v>53</v>
      </c>
      <c r="B25" s="38" t="s">
        <v>615</v>
      </c>
      <c r="C25" s="38" t="s">
        <v>616</v>
      </c>
      <c r="D25" s="39" t="s">
        <v>556</v>
      </c>
      <c r="E25" s="39" t="s">
        <v>1237</v>
      </c>
      <c r="F25" s="40">
        <v>8800</v>
      </c>
      <c r="G25" s="41" t="s">
        <v>620</v>
      </c>
      <c r="H25" s="41" t="s">
        <v>359</v>
      </c>
      <c r="J25" s="47" t="s">
        <v>1195</v>
      </c>
      <c r="K25" s="1">
        <v>28999</v>
      </c>
    </row>
    <row r="26" spans="1:12" ht="16.2" x14ac:dyDescent="0.3">
      <c r="A26" s="38" t="s">
        <v>53</v>
      </c>
      <c r="B26" s="38" t="s">
        <v>621</v>
      </c>
      <c r="C26" s="38" t="s">
        <v>622</v>
      </c>
      <c r="D26" s="39" t="s">
        <v>623</v>
      </c>
      <c r="E26" s="39" t="s">
        <v>1197</v>
      </c>
      <c r="F26" s="40">
        <v>4038</v>
      </c>
      <c r="G26" s="41" t="s">
        <v>625</v>
      </c>
      <c r="H26" s="41" t="s">
        <v>80</v>
      </c>
      <c r="J26" s="47" t="s">
        <v>1208</v>
      </c>
      <c r="K26" s="1">
        <v>200000</v>
      </c>
    </row>
    <row r="27" spans="1:12" ht="27.6" x14ac:dyDescent="0.3">
      <c r="A27" s="38" t="s">
        <v>53</v>
      </c>
      <c r="B27" s="38" t="s">
        <v>115</v>
      </c>
      <c r="C27" s="38" t="s">
        <v>626</v>
      </c>
      <c r="D27" s="39" t="s">
        <v>537</v>
      </c>
      <c r="E27" s="39" t="s">
        <v>1183</v>
      </c>
      <c r="F27" s="40">
        <v>2284</v>
      </c>
      <c r="G27" s="41" t="s">
        <v>597</v>
      </c>
      <c r="H27" s="41" t="s">
        <v>354</v>
      </c>
      <c r="J27" s="47" t="s">
        <v>1187</v>
      </c>
      <c r="K27" s="1">
        <v>54800</v>
      </c>
    </row>
    <row r="28" spans="1:12" ht="27.6" x14ac:dyDescent="0.3">
      <c r="A28" s="38" t="s">
        <v>53</v>
      </c>
      <c r="B28" s="38" t="s">
        <v>628</v>
      </c>
      <c r="C28" s="38" t="s">
        <v>629</v>
      </c>
      <c r="D28" s="39" t="s">
        <v>630</v>
      </c>
      <c r="E28" s="39" t="s">
        <v>1237</v>
      </c>
      <c r="F28" s="40">
        <v>14400</v>
      </c>
      <c r="G28" s="41" t="s">
        <v>632</v>
      </c>
      <c r="H28" s="41" t="s">
        <v>359</v>
      </c>
      <c r="J28" s="47" t="s">
        <v>1216</v>
      </c>
      <c r="K28" s="1">
        <v>26022</v>
      </c>
    </row>
    <row r="29" spans="1:12" ht="27.6" x14ac:dyDescent="0.3">
      <c r="A29" s="38" t="s">
        <v>53</v>
      </c>
      <c r="B29" s="38" t="s">
        <v>628</v>
      </c>
      <c r="C29" s="38" t="s">
        <v>633</v>
      </c>
      <c r="D29" s="39" t="s">
        <v>623</v>
      </c>
      <c r="E29" s="39" t="s">
        <v>1237</v>
      </c>
      <c r="F29" s="40">
        <v>61530</v>
      </c>
      <c r="G29" s="41" t="s">
        <v>635</v>
      </c>
      <c r="H29" s="41" t="s">
        <v>359</v>
      </c>
      <c r="J29" s="47" t="s">
        <v>1218</v>
      </c>
      <c r="K29" s="1">
        <v>54140</v>
      </c>
    </row>
    <row r="30" spans="1:12" ht="27.6" x14ac:dyDescent="0.3">
      <c r="A30" s="38" t="s">
        <v>53</v>
      </c>
      <c r="B30" s="38" t="s">
        <v>628</v>
      </c>
      <c r="C30" s="38" t="s">
        <v>636</v>
      </c>
      <c r="D30" s="39" t="s">
        <v>637</v>
      </c>
      <c r="E30" s="39" t="s">
        <v>1209</v>
      </c>
      <c r="F30" s="40">
        <v>35400</v>
      </c>
      <c r="G30" s="41" t="s">
        <v>639</v>
      </c>
      <c r="H30" s="41" t="s">
        <v>640</v>
      </c>
      <c r="J30" s="47" t="s">
        <v>1260</v>
      </c>
      <c r="K30" s="1">
        <v>2980</v>
      </c>
    </row>
    <row r="31" spans="1:12" ht="27.6" x14ac:dyDescent="0.3">
      <c r="A31" s="38" t="s">
        <v>53</v>
      </c>
      <c r="B31" s="38" t="s">
        <v>127</v>
      </c>
      <c r="C31" s="38" t="s">
        <v>641</v>
      </c>
      <c r="D31" s="39" t="s">
        <v>571</v>
      </c>
      <c r="E31" s="39" t="s">
        <v>1211</v>
      </c>
      <c r="F31" s="40">
        <v>698</v>
      </c>
      <c r="G31" s="41" t="s">
        <v>590</v>
      </c>
      <c r="H31" s="41" t="s">
        <v>574</v>
      </c>
      <c r="J31" s="47" t="s">
        <v>1214</v>
      </c>
      <c r="K31" s="1">
        <v>188349</v>
      </c>
    </row>
    <row r="32" spans="1:12" ht="27.6" x14ac:dyDescent="0.3">
      <c r="A32" s="38" t="s">
        <v>53</v>
      </c>
      <c r="B32" s="38" t="s">
        <v>127</v>
      </c>
      <c r="C32" s="38" t="s">
        <v>641</v>
      </c>
      <c r="D32" s="39" t="s">
        <v>643</v>
      </c>
      <c r="E32" s="39" t="s">
        <v>1215</v>
      </c>
      <c r="F32" s="40">
        <v>8000</v>
      </c>
      <c r="G32" s="41" t="s">
        <v>645</v>
      </c>
      <c r="H32" s="41" t="s">
        <v>456</v>
      </c>
      <c r="J32" s="47" t="s">
        <v>63</v>
      </c>
      <c r="K32" s="1">
        <v>13000</v>
      </c>
    </row>
    <row r="33" spans="1:11" ht="41.4" x14ac:dyDescent="0.3">
      <c r="A33" s="38" t="s">
        <v>53</v>
      </c>
      <c r="B33" s="38" t="s">
        <v>127</v>
      </c>
      <c r="C33" s="38" t="s">
        <v>646</v>
      </c>
      <c r="D33" s="39" t="s">
        <v>647</v>
      </c>
      <c r="E33" s="39" t="s">
        <v>1237</v>
      </c>
      <c r="F33" s="40">
        <v>124</v>
      </c>
      <c r="G33" s="41" t="s">
        <v>649</v>
      </c>
      <c r="H33" s="41" t="s">
        <v>359</v>
      </c>
      <c r="J33" s="47" t="s">
        <v>1239</v>
      </c>
      <c r="K33" s="1">
        <v>2202594</v>
      </c>
    </row>
    <row r="34" spans="1:11" ht="41.4" x14ac:dyDescent="0.3">
      <c r="A34" s="38" t="s">
        <v>53</v>
      </c>
      <c r="B34" s="38" t="s">
        <v>127</v>
      </c>
      <c r="C34" s="38" t="s">
        <v>646</v>
      </c>
      <c r="D34" s="39" t="s">
        <v>537</v>
      </c>
      <c r="E34" s="39" t="s">
        <v>1237</v>
      </c>
      <c r="F34" s="40">
        <v>7401</v>
      </c>
      <c r="G34" s="41" t="s">
        <v>649</v>
      </c>
      <c r="H34" s="41" t="s">
        <v>359</v>
      </c>
    </row>
    <row r="35" spans="1:11" ht="27.6" x14ac:dyDescent="0.3">
      <c r="A35" s="38" t="s">
        <v>53</v>
      </c>
      <c r="B35" s="38" t="s">
        <v>127</v>
      </c>
      <c r="C35" s="38" t="s">
        <v>650</v>
      </c>
      <c r="D35" s="39" t="s">
        <v>637</v>
      </c>
      <c r="E35" s="39" t="s">
        <v>1179</v>
      </c>
      <c r="F35" s="40">
        <v>3600</v>
      </c>
      <c r="G35" s="41" t="s">
        <v>652</v>
      </c>
      <c r="H35" s="41" t="s">
        <v>347</v>
      </c>
    </row>
    <row r="36" spans="1:11" ht="41.4" x14ac:dyDescent="0.3">
      <c r="A36" s="38" t="s">
        <v>53</v>
      </c>
      <c r="B36" s="38" t="s">
        <v>653</v>
      </c>
      <c r="C36" s="38" t="s">
        <v>654</v>
      </c>
      <c r="D36" s="39" t="s">
        <v>655</v>
      </c>
      <c r="E36" s="39" t="s">
        <v>1211</v>
      </c>
      <c r="F36" s="40">
        <v>13500</v>
      </c>
      <c r="G36" s="41" t="s">
        <v>657</v>
      </c>
      <c r="H36" s="41" t="s">
        <v>658</v>
      </c>
    </row>
    <row r="37" spans="1:11" ht="27.6" x14ac:dyDescent="0.3">
      <c r="A37" s="38" t="s">
        <v>53</v>
      </c>
      <c r="B37" s="38" t="s">
        <v>653</v>
      </c>
      <c r="C37" s="38" t="s">
        <v>659</v>
      </c>
      <c r="D37" s="39" t="s">
        <v>571</v>
      </c>
      <c r="E37" s="39" t="s">
        <v>1183</v>
      </c>
      <c r="F37" s="40">
        <v>637</v>
      </c>
      <c r="G37" s="41" t="s">
        <v>661</v>
      </c>
      <c r="H37" s="41" t="s">
        <v>354</v>
      </c>
    </row>
    <row r="38" spans="1:11" ht="27.6" x14ac:dyDescent="0.3">
      <c r="A38" s="38" t="s">
        <v>53</v>
      </c>
      <c r="B38" s="38" t="s">
        <v>653</v>
      </c>
      <c r="C38" s="38" t="s">
        <v>659</v>
      </c>
      <c r="D38" s="39" t="s">
        <v>571</v>
      </c>
      <c r="E38" s="39" t="s">
        <v>1183</v>
      </c>
      <c r="F38" s="40">
        <v>640</v>
      </c>
      <c r="G38" s="41" t="s">
        <v>663</v>
      </c>
      <c r="H38" s="41" t="s">
        <v>354</v>
      </c>
    </row>
    <row r="39" spans="1:11" ht="27.6" x14ac:dyDescent="0.3">
      <c r="A39" s="38" t="s">
        <v>53</v>
      </c>
      <c r="B39" s="38" t="s">
        <v>653</v>
      </c>
      <c r="C39" s="38" t="s">
        <v>664</v>
      </c>
      <c r="D39" s="39" t="s">
        <v>541</v>
      </c>
      <c r="E39" s="39" t="s">
        <v>1206</v>
      </c>
      <c r="F39" s="40">
        <v>3690</v>
      </c>
      <c r="G39" s="41" t="s">
        <v>666</v>
      </c>
      <c r="H39" s="41" t="s">
        <v>90</v>
      </c>
    </row>
    <row r="40" spans="1:11" ht="27.6" x14ac:dyDescent="0.3">
      <c r="A40" s="38" t="s">
        <v>53</v>
      </c>
      <c r="B40" s="38" t="s">
        <v>653</v>
      </c>
      <c r="C40" s="38" t="s">
        <v>667</v>
      </c>
      <c r="D40" s="39" t="s">
        <v>668</v>
      </c>
      <c r="E40" s="39" t="s">
        <v>1206</v>
      </c>
      <c r="F40" s="40">
        <v>700</v>
      </c>
      <c r="G40" s="41" t="s">
        <v>670</v>
      </c>
      <c r="H40" s="41" t="s">
        <v>90</v>
      </c>
    </row>
    <row r="41" spans="1:11" ht="27.6" x14ac:dyDescent="0.3">
      <c r="A41" s="38" t="s">
        <v>53</v>
      </c>
      <c r="B41" s="38" t="s">
        <v>653</v>
      </c>
      <c r="C41" s="38" t="s">
        <v>667</v>
      </c>
      <c r="D41" s="39" t="s">
        <v>671</v>
      </c>
      <c r="E41" s="39" t="s">
        <v>1206</v>
      </c>
      <c r="F41" s="40">
        <v>455</v>
      </c>
      <c r="G41" s="41" t="s">
        <v>670</v>
      </c>
      <c r="H41" s="41" t="s">
        <v>90</v>
      </c>
    </row>
    <row r="42" spans="1:11" ht="27.6" x14ac:dyDescent="0.3">
      <c r="A42" s="38" t="s">
        <v>53</v>
      </c>
      <c r="B42" s="38" t="s">
        <v>653</v>
      </c>
      <c r="C42" s="38" t="s">
        <v>667</v>
      </c>
      <c r="D42" s="39" t="s">
        <v>537</v>
      </c>
      <c r="E42" s="39" t="s">
        <v>1186</v>
      </c>
      <c r="F42" s="40">
        <v>350</v>
      </c>
      <c r="G42" s="41" t="s">
        <v>673</v>
      </c>
      <c r="H42" s="41" t="s">
        <v>674</v>
      </c>
    </row>
    <row r="43" spans="1:11" ht="27.6" x14ac:dyDescent="0.3">
      <c r="A43" s="38" t="s">
        <v>53</v>
      </c>
      <c r="B43" s="38" t="s">
        <v>653</v>
      </c>
      <c r="C43" s="38" t="s">
        <v>667</v>
      </c>
      <c r="D43" s="39" t="s">
        <v>675</v>
      </c>
      <c r="E43" s="39" t="s">
        <v>1206</v>
      </c>
      <c r="F43" s="40">
        <v>3150</v>
      </c>
      <c r="G43" s="41" t="s">
        <v>677</v>
      </c>
      <c r="H43" s="41" t="s">
        <v>90</v>
      </c>
    </row>
    <row r="44" spans="1:11" ht="27.6" x14ac:dyDescent="0.3">
      <c r="A44" s="38" t="s">
        <v>53</v>
      </c>
      <c r="B44" s="38" t="s">
        <v>137</v>
      </c>
      <c r="C44" s="38" t="s">
        <v>678</v>
      </c>
      <c r="D44" s="39" t="s">
        <v>599</v>
      </c>
      <c r="E44" s="39" t="s">
        <v>1203</v>
      </c>
      <c r="F44" s="40">
        <v>26000</v>
      </c>
      <c r="G44" s="41" t="s">
        <v>680</v>
      </c>
      <c r="H44" s="41" t="s">
        <v>84</v>
      </c>
    </row>
    <row r="45" spans="1:11" ht="27.6" x14ac:dyDescent="0.3">
      <c r="A45" s="38" t="s">
        <v>53</v>
      </c>
      <c r="B45" s="38" t="s">
        <v>137</v>
      </c>
      <c r="C45" s="38" t="s">
        <v>681</v>
      </c>
      <c r="D45" s="39" t="s">
        <v>537</v>
      </c>
      <c r="E45" s="39" t="s">
        <v>1183</v>
      </c>
      <c r="F45" s="40">
        <v>102446</v>
      </c>
      <c r="G45" s="41" t="s">
        <v>683</v>
      </c>
      <c r="H45" s="41" t="s">
        <v>7</v>
      </c>
    </row>
    <row r="46" spans="1:11" ht="27.6" x14ac:dyDescent="0.3">
      <c r="A46" s="38" t="s">
        <v>53</v>
      </c>
      <c r="B46" s="38" t="s">
        <v>137</v>
      </c>
      <c r="C46" s="38" t="s">
        <v>684</v>
      </c>
      <c r="D46" s="39" t="s">
        <v>671</v>
      </c>
      <c r="E46" s="39" t="s">
        <v>1190</v>
      </c>
      <c r="F46" s="40">
        <v>12730</v>
      </c>
      <c r="G46" s="41" t="s">
        <v>686</v>
      </c>
      <c r="H46" s="41" t="s">
        <v>687</v>
      </c>
    </row>
    <row r="47" spans="1:11" ht="27.6" x14ac:dyDescent="0.3">
      <c r="A47" s="38" t="s">
        <v>53</v>
      </c>
      <c r="B47" s="38" t="s">
        <v>137</v>
      </c>
      <c r="C47" s="38" t="s">
        <v>688</v>
      </c>
      <c r="D47" s="39" t="s">
        <v>556</v>
      </c>
      <c r="E47" s="39" t="s">
        <v>1237</v>
      </c>
      <c r="F47" s="40">
        <v>15000</v>
      </c>
      <c r="G47" s="41" t="s">
        <v>690</v>
      </c>
      <c r="H47" s="41" t="s">
        <v>359</v>
      </c>
    </row>
    <row r="48" spans="1:11" ht="27.6" x14ac:dyDescent="0.3">
      <c r="A48" s="38" t="s">
        <v>53</v>
      </c>
      <c r="B48" s="38" t="s">
        <v>137</v>
      </c>
      <c r="C48" s="38" t="s">
        <v>691</v>
      </c>
      <c r="D48" s="39" t="s">
        <v>584</v>
      </c>
      <c r="E48" s="39" t="s">
        <v>1233</v>
      </c>
      <c r="F48" s="40">
        <v>8259</v>
      </c>
      <c r="G48" s="41" t="s">
        <v>693</v>
      </c>
      <c r="H48" s="41" t="s">
        <v>212</v>
      </c>
    </row>
    <row r="49" spans="1:8" ht="41.4" x14ac:dyDescent="0.3">
      <c r="A49" s="38" t="s">
        <v>53</v>
      </c>
      <c r="B49" s="38" t="s">
        <v>137</v>
      </c>
      <c r="C49" s="38" t="s">
        <v>694</v>
      </c>
      <c r="D49" s="39" t="s">
        <v>655</v>
      </c>
      <c r="E49" s="39" t="s">
        <v>1206</v>
      </c>
      <c r="F49" s="40">
        <v>4084</v>
      </c>
      <c r="G49" s="41" t="s">
        <v>696</v>
      </c>
      <c r="H49" s="41" t="s">
        <v>90</v>
      </c>
    </row>
    <row r="50" spans="1:8" ht="27.6" x14ac:dyDescent="0.3">
      <c r="A50" s="38" t="s">
        <v>53</v>
      </c>
      <c r="B50" s="38" t="s">
        <v>165</v>
      </c>
      <c r="C50" s="38" t="s">
        <v>697</v>
      </c>
      <c r="D50" s="39" t="s">
        <v>671</v>
      </c>
      <c r="E50" s="39" t="s">
        <v>1237</v>
      </c>
      <c r="F50" s="40">
        <v>360</v>
      </c>
      <c r="G50" s="41" t="s">
        <v>699</v>
      </c>
      <c r="H50" s="41" t="s">
        <v>359</v>
      </c>
    </row>
    <row r="51" spans="1:8" ht="27.6" x14ac:dyDescent="0.3">
      <c r="A51" s="38" t="s">
        <v>53</v>
      </c>
      <c r="B51" s="38" t="s">
        <v>165</v>
      </c>
      <c r="C51" s="38" t="s">
        <v>697</v>
      </c>
      <c r="D51" s="39" t="s">
        <v>537</v>
      </c>
      <c r="E51" s="39" t="s">
        <v>1237</v>
      </c>
      <c r="F51" s="40">
        <v>3057</v>
      </c>
      <c r="G51" s="41" t="s">
        <v>699</v>
      </c>
      <c r="H51" s="41" t="s">
        <v>359</v>
      </c>
    </row>
    <row r="52" spans="1:8" ht="27.6" x14ac:dyDescent="0.3">
      <c r="A52" s="38" t="s">
        <v>53</v>
      </c>
      <c r="B52" s="38" t="s">
        <v>165</v>
      </c>
      <c r="C52" s="38" t="s">
        <v>697</v>
      </c>
      <c r="D52" s="39" t="s">
        <v>700</v>
      </c>
      <c r="E52" s="39" t="s">
        <v>1237</v>
      </c>
      <c r="F52" s="40">
        <v>6000</v>
      </c>
      <c r="G52" s="41" t="s">
        <v>702</v>
      </c>
      <c r="H52" s="41" t="s">
        <v>359</v>
      </c>
    </row>
    <row r="53" spans="1:8" ht="27.6" x14ac:dyDescent="0.3">
      <c r="A53" s="38" t="s">
        <v>53</v>
      </c>
      <c r="B53" s="38" t="s">
        <v>165</v>
      </c>
      <c r="C53" s="38" t="s">
        <v>697</v>
      </c>
      <c r="D53" s="39" t="s">
        <v>541</v>
      </c>
      <c r="E53" s="39" t="s">
        <v>1203</v>
      </c>
      <c r="F53" s="40">
        <v>720</v>
      </c>
      <c r="G53" s="41" t="s">
        <v>704</v>
      </c>
      <c r="H53" s="41" t="s">
        <v>84</v>
      </c>
    </row>
    <row r="54" spans="1:8" ht="55.2" x14ac:dyDescent="0.3">
      <c r="A54" s="38" t="s">
        <v>53</v>
      </c>
      <c r="B54" s="38" t="s">
        <v>165</v>
      </c>
      <c r="C54" s="38" t="s">
        <v>705</v>
      </c>
      <c r="D54" s="39" t="s">
        <v>706</v>
      </c>
      <c r="E54" s="39" t="s">
        <v>1203</v>
      </c>
      <c r="F54" s="40">
        <v>2920</v>
      </c>
      <c r="G54" s="41" t="s">
        <v>708</v>
      </c>
      <c r="H54" s="41" t="s">
        <v>84</v>
      </c>
    </row>
    <row r="55" spans="1:8" ht="27.6" x14ac:dyDescent="0.3">
      <c r="A55" s="38" t="s">
        <v>53</v>
      </c>
      <c r="B55" s="38" t="s">
        <v>176</v>
      </c>
      <c r="C55" s="38" t="s">
        <v>709</v>
      </c>
      <c r="D55" s="39" t="s">
        <v>630</v>
      </c>
      <c r="E55" s="39" t="s">
        <v>1237</v>
      </c>
      <c r="F55" s="40">
        <v>31500</v>
      </c>
      <c r="G55" s="41" t="s">
        <v>711</v>
      </c>
      <c r="H55" s="41" t="s">
        <v>359</v>
      </c>
    </row>
    <row r="56" spans="1:8" ht="27.6" x14ac:dyDescent="0.3">
      <c r="A56" s="38" t="s">
        <v>53</v>
      </c>
      <c r="B56" s="38" t="s">
        <v>176</v>
      </c>
      <c r="C56" s="38" t="s">
        <v>712</v>
      </c>
      <c r="D56" s="39" t="s">
        <v>537</v>
      </c>
      <c r="E56" s="39" t="s">
        <v>1237</v>
      </c>
      <c r="F56" s="40">
        <v>15900</v>
      </c>
      <c r="G56" s="41" t="s">
        <v>714</v>
      </c>
      <c r="H56" s="41" t="s">
        <v>359</v>
      </c>
    </row>
    <row r="57" spans="1:8" ht="41.4" x14ac:dyDescent="0.3">
      <c r="A57" s="38" t="s">
        <v>53</v>
      </c>
      <c r="B57" s="38" t="s">
        <v>176</v>
      </c>
      <c r="C57" s="38" t="s">
        <v>715</v>
      </c>
      <c r="D57" s="39" t="s">
        <v>537</v>
      </c>
      <c r="E57" s="39" t="s">
        <v>1237</v>
      </c>
      <c r="F57" s="40">
        <v>16760</v>
      </c>
      <c r="G57" s="41" t="s">
        <v>717</v>
      </c>
      <c r="H57" s="41" t="s">
        <v>359</v>
      </c>
    </row>
    <row r="58" spans="1:8" x14ac:dyDescent="0.3">
      <c r="A58" s="38" t="s">
        <v>53</v>
      </c>
      <c r="B58" s="38" t="s">
        <v>176</v>
      </c>
      <c r="C58" s="38" t="s">
        <v>718</v>
      </c>
      <c r="D58" s="39" t="s">
        <v>541</v>
      </c>
      <c r="E58" s="39" t="s">
        <v>1206</v>
      </c>
      <c r="F58" s="40">
        <v>3150</v>
      </c>
      <c r="G58" s="41" t="s">
        <v>720</v>
      </c>
      <c r="H58" s="41" t="s">
        <v>90</v>
      </c>
    </row>
    <row r="59" spans="1:8" ht="27.6" x14ac:dyDescent="0.3">
      <c r="A59" s="38" t="s">
        <v>53</v>
      </c>
      <c r="B59" s="38" t="s">
        <v>176</v>
      </c>
      <c r="C59" s="38" t="s">
        <v>721</v>
      </c>
      <c r="D59" s="39" t="s">
        <v>722</v>
      </c>
      <c r="E59" s="39" t="s">
        <v>1229</v>
      </c>
      <c r="F59" s="40">
        <v>3990</v>
      </c>
      <c r="G59" s="41" t="s">
        <v>724</v>
      </c>
      <c r="H59" s="41" t="s">
        <v>725</v>
      </c>
    </row>
    <row r="60" spans="1:8" ht="55.2" x14ac:dyDescent="0.3">
      <c r="A60" s="38" t="s">
        <v>53</v>
      </c>
      <c r="B60" s="38" t="s">
        <v>176</v>
      </c>
      <c r="C60" s="38" t="s">
        <v>726</v>
      </c>
      <c r="D60" s="39" t="s">
        <v>655</v>
      </c>
      <c r="E60" s="39" t="s">
        <v>1203</v>
      </c>
      <c r="F60" s="40">
        <v>2042</v>
      </c>
      <c r="G60" s="41" t="s">
        <v>728</v>
      </c>
      <c r="H60" s="41" t="s">
        <v>84</v>
      </c>
    </row>
    <row r="61" spans="1:8" ht="27.6" x14ac:dyDescent="0.3">
      <c r="A61" s="38" t="s">
        <v>53</v>
      </c>
      <c r="B61" s="38" t="s">
        <v>184</v>
      </c>
      <c r="C61" s="38" t="s">
        <v>729</v>
      </c>
      <c r="D61" s="39" t="s">
        <v>671</v>
      </c>
      <c r="E61" s="39" t="s">
        <v>1183</v>
      </c>
      <c r="F61" s="40">
        <v>80</v>
      </c>
      <c r="G61" s="41" t="s">
        <v>731</v>
      </c>
      <c r="H61" s="41" t="s">
        <v>354</v>
      </c>
    </row>
    <row r="62" spans="1:8" ht="27.6" x14ac:dyDescent="0.3">
      <c r="A62" s="38" t="s">
        <v>53</v>
      </c>
      <c r="B62" s="38" t="s">
        <v>204</v>
      </c>
      <c r="C62" s="38" t="s">
        <v>732</v>
      </c>
      <c r="D62" s="39" t="s">
        <v>706</v>
      </c>
      <c r="E62" s="39" t="s">
        <v>1227</v>
      </c>
      <c r="F62" s="40">
        <v>2980</v>
      </c>
      <c r="G62" s="41" t="s">
        <v>734</v>
      </c>
      <c r="H62" s="41" t="s">
        <v>289</v>
      </c>
    </row>
    <row r="63" spans="1:8" x14ac:dyDescent="0.3">
      <c r="A63" s="38" t="s">
        <v>53</v>
      </c>
      <c r="B63" s="38" t="s">
        <v>204</v>
      </c>
      <c r="C63" s="38" t="s">
        <v>735</v>
      </c>
      <c r="D63" s="39" t="s">
        <v>623</v>
      </c>
      <c r="E63" s="39" t="s">
        <v>1217</v>
      </c>
      <c r="F63" s="40">
        <v>18415</v>
      </c>
      <c r="G63" s="41" t="s">
        <v>737</v>
      </c>
      <c r="H63" s="41" t="s">
        <v>496</v>
      </c>
    </row>
    <row r="64" spans="1:8" ht="41.4" x14ac:dyDescent="0.3">
      <c r="A64" s="38" t="s">
        <v>53</v>
      </c>
      <c r="B64" s="38" t="s">
        <v>208</v>
      </c>
      <c r="C64" s="38" t="s">
        <v>738</v>
      </c>
      <c r="D64" s="39" t="s">
        <v>655</v>
      </c>
      <c r="E64" s="39" t="s">
        <v>1227</v>
      </c>
      <c r="F64" s="40">
        <v>6127</v>
      </c>
      <c r="G64" s="41" t="s">
        <v>740</v>
      </c>
      <c r="H64" s="41" t="s">
        <v>289</v>
      </c>
    </row>
    <row r="65" spans="1:8" ht="41.4" x14ac:dyDescent="0.3">
      <c r="A65" s="38" t="s">
        <v>53</v>
      </c>
      <c r="B65" s="38" t="s">
        <v>213</v>
      </c>
      <c r="C65" s="38" t="s">
        <v>741</v>
      </c>
      <c r="D65" s="39" t="s">
        <v>630</v>
      </c>
      <c r="E65" s="39" t="s">
        <v>1185</v>
      </c>
      <c r="F65" s="40">
        <v>71454</v>
      </c>
      <c r="G65" s="41" t="s">
        <v>743</v>
      </c>
      <c r="H65" s="41" t="s">
        <v>315</v>
      </c>
    </row>
    <row r="66" spans="1:8" x14ac:dyDescent="0.3">
      <c r="A66" s="38" t="s">
        <v>53</v>
      </c>
      <c r="B66" s="38" t="s">
        <v>217</v>
      </c>
      <c r="C66" s="38" t="s">
        <v>744</v>
      </c>
      <c r="D66" s="39" t="s">
        <v>584</v>
      </c>
      <c r="E66" s="39" t="s">
        <v>1213</v>
      </c>
      <c r="F66" s="40">
        <v>37366</v>
      </c>
      <c r="G66" s="41" t="s">
        <v>746</v>
      </c>
      <c r="H66" s="41" t="s">
        <v>123</v>
      </c>
    </row>
    <row r="67" spans="1:8" x14ac:dyDescent="0.3">
      <c r="A67" s="38" t="s">
        <v>156</v>
      </c>
      <c r="B67" s="38" t="s">
        <v>226</v>
      </c>
      <c r="C67" s="38" t="s">
        <v>49</v>
      </c>
      <c r="D67" s="39" t="s">
        <v>7</v>
      </c>
      <c r="E67" s="39" t="s">
        <v>1211</v>
      </c>
      <c r="F67" s="40">
        <v>5948</v>
      </c>
      <c r="G67" s="41" t="s">
        <v>748</v>
      </c>
      <c r="H67" s="41" t="s">
        <v>233</v>
      </c>
    </row>
    <row r="68" spans="1:8" x14ac:dyDescent="0.3">
      <c r="A68" s="38" t="s">
        <v>156</v>
      </c>
      <c r="B68" s="38" t="s">
        <v>226</v>
      </c>
      <c r="C68" s="38" t="s">
        <v>49</v>
      </c>
      <c r="D68" s="39" t="s">
        <v>7</v>
      </c>
      <c r="E68" s="39" t="s">
        <v>1211</v>
      </c>
      <c r="F68" s="40">
        <v>1149</v>
      </c>
      <c r="G68" s="41" t="s">
        <v>750</v>
      </c>
      <c r="H68" s="41" t="s">
        <v>233</v>
      </c>
    </row>
    <row r="69" spans="1:8" x14ac:dyDescent="0.3">
      <c r="A69" s="38" t="s">
        <v>156</v>
      </c>
      <c r="B69" s="38" t="s">
        <v>226</v>
      </c>
      <c r="C69" s="38" t="s">
        <v>49</v>
      </c>
      <c r="D69" s="39" t="s">
        <v>7</v>
      </c>
      <c r="E69" s="39" t="s">
        <v>1211</v>
      </c>
      <c r="F69" s="40">
        <v>1353</v>
      </c>
      <c r="G69" s="41" t="s">
        <v>752</v>
      </c>
      <c r="H69" s="41" t="s">
        <v>233</v>
      </c>
    </row>
    <row r="70" spans="1:8" x14ac:dyDescent="0.3">
      <c r="A70" s="38" t="s">
        <v>156</v>
      </c>
      <c r="B70" s="38" t="s">
        <v>226</v>
      </c>
      <c r="C70" s="38" t="s">
        <v>49</v>
      </c>
      <c r="D70" s="39" t="s">
        <v>7</v>
      </c>
      <c r="E70" s="39" t="s">
        <v>1211</v>
      </c>
      <c r="F70" s="40">
        <v>2684</v>
      </c>
      <c r="G70" s="41" t="s">
        <v>754</v>
      </c>
      <c r="H70" s="41" t="s">
        <v>233</v>
      </c>
    </row>
    <row r="71" spans="1:8" ht="27.6" x14ac:dyDescent="0.3">
      <c r="A71" s="38" t="s">
        <v>53</v>
      </c>
      <c r="B71" s="38" t="s">
        <v>236</v>
      </c>
      <c r="C71" s="38" t="s">
        <v>755</v>
      </c>
      <c r="D71" s="39" t="s">
        <v>556</v>
      </c>
      <c r="E71" s="39" t="s">
        <v>1229</v>
      </c>
      <c r="F71" s="40">
        <v>22050</v>
      </c>
      <c r="G71" s="41" t="s">
        <v>757</v>
      </c>
      <c r="H71" s="41" t="s">
        <v>725</v>
      </c>
    </row>
    <row r="72" spans="1:8" ht="27.6" x14ac:dyDescent="0.3">
      <c r="A72" s="38" t="s">
        <v>53</v>
      </c>
      <c r="B72" s="38" t="s">
        <v>247</v>
      </c>
      <c r="C72" s="38" t="s">
        <v>758</v>
      </c>
      <c r="D72" s="39" t="s">
        <v>671</v>
      </c>
      <c r="E72" s="39" t="s">
        <v>1186</v>
      </c>
      <c r="F72" s="40">
        <v>50</v>
      </c>
      <c r="G72" s="41" t="s">
        <v>760</v>
      </c>
      <c r="H72" s="41" t="s">
        <v>674</v>
      </c>
    </row>
    <row r="73" spans="1:8" ht="27.6" x14ac:dyDescent="0.3">
      <c r="A73" s="38" t="s">
        <v>53</v>
      </c>
      <c r="B73" s="38" t="s">
        <v>247</v>
      </c>
      <c r="C73" s="38" t="s">
        <v>758</v>
      </c>
      <c r="D73" s="39" t="s">
        <v>537</v>
      </c>
      <c r="E73" s="39" t="s">
        <v>1186</v>
      </c>
      <c r="F73" s="40">
        <v>1004</v>
      </c>
      <c r="G73" s="41" t="s">
        <v>762</v>
      </c>
      <c r="H73" s="41" t="s">
        <v>763</v>
      </c>
    </row>
    <row r="74" spans="1:8" ht="27.6" x14ac:dyDescent="0.3">
      <c r="A74" s="38" t="s">
        <v>53</v>
      </c>
      <c r="B74" s="38" t="s">
        <v>247</v>
      </c>
      <c r="C74" s="38" t="s">
        <v>764</v>
      </c>
      <c r="D74" s="39" t="s">
        <v>671</v>
      </c>
      <c r="E74" s="39" t="s">
        <v>1196</v>
      </c>
      <c r="F74" s="40">
        <v>4500</v>
      </c>
      <c r="G74" s="41" t="s">
        <v>766</v>
      </c>
      <c r="H74" s="41" t="s">
        <v>155</v>
      </c>
    </row>
    <row r="75" spans="1:8" ht="27.6" x14ac:dyDescent="0.3">
      <c r="A75" s="38" t="s">
        <v>53</v>
      </c>
      <c r="B75" s="38" t="s">
        <v>247</v>
      </c>
      <c r="C75" s="38" t="s">
        <v>764</v>
      </c>
      <c r="D75" s="39" t="s">
        <v>541</v>
      </c>
      <c r="E75" s="39" t="s">
        <v>1215</v>
      </c>
      <c r="F75" s="40">
        <v>1400</v>
      </c>
      <c r="G75" s="41" t="s">
        <v>768</v>
      </c>
      <c r="H75" s="41" t="s">
        <v>456</v>
      </c>
    </row>
    <row r="76" spans="1:8" ht="41.4" x14ac:dyDescent="0.3">
      <c r="A76" s="38" t="s">
        <v>53</v>
      </c>
      <c r="B76" s="38" t="s">
        <v>247</v>
      </c>
      <c r="C76" s="38" t="s">
        <v>769</v>
      </c>
      <c r="D76" s="39" t="s">
        <v>655</v>
      </c>
      <c r="E76" s="39" t="s">
        <v>1196</v>
      </c>
      <c r="F76" s="40">
        <v>4084</v>
      </c>
      <c r="G76" s="41" t="s">
        <v>771</v>
      </c>
      <c r="H76" s="41" t="s">
        <v>155</v>
      </c>
    </row>
    <row r="77" spans="1:8" ht="41.4" x14ac:dyDescent="0.3">
      <c r="A77" s="38" t="s">
        <v>53</v>
      </c>
      <c r="B77" s="38" t="s">
        <v>247</v>
      </c>
      <c r="C77" s="38" t="s">
        <v>769</v>
      </c>
      <c r="D77" s="39" t="s">
        <v>655</v>
      </c>
      <c r="E77" s="39" t="s">
        <v>1231</v>
      </c>
      <c r="F77" s="40">
        <v>2000</v>
      </c>
      <c r="G77" s="41" t="s">
        <v>773</v>
      </c>
      <c r="H77" s="41" t="s">
        <v>126</v>
      </c>
    </row>
    <row r="78" spans="1:8" ht="55.2" x14ac:dyDescent="0.3">
      <c r="A78" s="38" t="s">
        <v>22</v>
      </c>
      <c r="B78" s="38" t="s">
        <v>257</v>
      </c>
      <c r="C78" s="38" t="s">
        <v>49</v>
      </c>
      <c r="D78" s="39" t="s">
        <v>7</v>
      </c>
      <c r="E78" s="39" t="s">
        <v>1219</v>
      </c>
      <c r="F78" s="40">
        <v>44500</v>
      </c>
      <c r="G78" s="41" t="s">
        <v>259</v>
      </c>
      <c r="H78" s="41" t="s">
        <v>260</v>
      </c>
    </row>
    <row r="79" spans="1:8" x14ac:dyDescent="0.3">
      <c r="A79" s="38" t="s">
        <v>156</v>
      </c>
      <c r="B79" s="38" t="s">
        <v>257</v>
      </c>
      <c r="C79" s="38" t="s">
        <v>158</v>
      </c>
      <c r="D79" s="39" t="s">
        <v>7</v>
      </c>
      <c r="E79" s="39" t="s">
        <v>1183</v>
      </c>
      <c r="F79" s="40">
        <v>5250</v>
      </c>
      <c r="G79" s="41" t="s">
        <v>775</v>
      </c>
      <c r="H79" s="41" t="s">
        <v>354</v>
      </c>
    </row>
    <row r="80" spans="1:8" ht="27.6" x14ac:dyDescent="0.3">
      <c r="A80" s="38" t="s">
        <v>156</v>
      </c>
      <c r="B80" s="38" t="s">
        <v>269</v>
      </c>
      <c r="C80" s="38" t="s">
        <v>158</v>
      </c>
      <c r="D80" s="39" t="s">
        <v>7</v>
      </c>
      <c r="E80" s="39" t="s">
        <v>1190</v>
      </c>
      <c r="F80" s="40">
        <v>4084</v>
      </c>
      <c r="G80" s="41" t="s">
        <v>777</v>
      </c>
      <c r="H80" s="41" t="s">
        <v>687</v>
      </c>
    </row>
    <row r="81" spans="1:8" ht="27.6" x14ac:dyDescent="0.3">
      <c r="A81" s="38" t="s">
        <v>156</v>
      </c>
      <c r="B81" s="38" t="s">
        <v>269</v>
      </c>
      <c r="C81" s="38" t="s">
        <v>158</v>
      </c>
      <c r="D81" s="39" t="s">
        <v>7</v>
      </c>
      <c r="E81" s="39" t="s">
        <v>1190</v>
      </c>
      <c r="F81" s="40">
        <v>2920</v>
      </c>
      <c r="G81" s="41" t="s">
        <v>779</v>
      </c>
      <c r="H81" s="41" t="s">
        <v>687</v>
      </c>
    </row>
    <row r="82" spans="1:8" ht="27.6" x14ac:dyDescent="0.3">
      <c r="A82" s="38" t="s">
        <v>53</v>
      </c>
      <c r="B82" s="38" t="s">
        <v>285</v>
      </c>
      <c r="C82" s="38" t="s">
        <v>780</v>
      </c>
      <c r="D82" s="39" t="s">
        <v>537</v>
      </c>
      <c r="E82" s="39" t="s">
        <v>1219</v>
      </c>
      <c r="F82" s="40">
        <v>6870</v>
      </c>
      <c r="G82" s="41" t="s">
        <v>782</v>
      </c>
      <c r="H82" s="41" t="s">
        <v>606</v>
      </c>
    </row>
    <row r="83" spans="1:8" ht="27.6" x14ac:dyDescent="0.3">
      <c r="A83" s="38" t="s">
        <v>53</v>
      </c>
      <c r="B83" s="38" t="s">
        <v>300</v>
      </c>
      <c r="C83" s="38" t="s">
        <v>783</v>
      </c>
      <c r="D83" s="39" t="s">
        <v>537</v>
      </c>
      <c r="E83" s="39" t="s">
        <v>1237</v>
      </c>
      <c r="F83" s="40">
        <v>3722</v>
      </c>
      <c r="G83" s="41" t="s">
        <v>785</v>
      </c>
      <c r="H83" s="41" t="s">
        <v>359</v>
      </c>
    </row>
    <row r="84" spans="1:8" ht="41.4" x14ac:dyDescent="0.3">
      <c r="A84" s="38" t="s">
        <v>53</v>
      </c>
      <c r="B84" s="38" t="s">
        <v>300</v>
      </c>
      <c r="C84" s="38" t="s">
        <v>783</v>
      </c>
      <c r="D84" s="39" t="s">
        <v>556</v>
      </c>
      <c r="E84" s="39" t="s">
        <v>1237</v>
      </c>
      <c r="F84" s="40">
        <v>6260</v>
      </c>
      <c r="G84" s="41" t="s">
        <v>787</v>
      </c>
      <c r="H84" s="41" t="s">
        <v>359</v>
      </c>
    </row>
    <row r="85" spans="1:8" ht="27.6" x14ac:dyDescent="0.3">
      <c r="A85" s="38" t="s">
        <v>53</v>
      </c>
      <c r="B85" s="38" t="s">
        <v>300</v>
      </c>
      <c r="C85" s="38" t="s">
        <v>788</v>
      </c>
      <c r="D85" s="39" t="s">
        <v>537</v>
      </c>
      <c r="E85" s="39" t="s">
        <v>1229</v>
      </c>
      <c r="F85" s="40">
        <v>495</v>
      </c>
      <c r="G85" s="41" t="s">
        <v>790</v>
      </c>
      <c r="H85" s="41" t="s">
        <v>725</v>
      </c>
    </row>
    <row r="86" spans="1:8" ht="27.6" x14ac:dyDescent="0.3">
      <c r="A86" s="38" t="s">
        <v>53</v>
      </c>
      <c r="B86" s="38" t="s">
        <v>300</v>
      </c>
      <c r="C86" s="38" t="s">
        <v>791</v>
      </c>
      <c r="D86" s="39" t="s">
        <v>571</v>
      </c>
      <c r="E86" s="39" t="s">
        <v>1183</v>
      </c>
      <c r="F86" s="40">
        <v>636</v>
      </c>
      <c r="G86" s="41" t="s">
        <v>793</v>
      </c>
      <c r="H86" s="41" t="s">
        <v>354</v>
      </c>
    </row>
    <row r="87" spans="1:8" ht="27.6" x14ac:dyDescent="0.3">
      <c r="A87" s="38" t="s">
        <v>53</v>
      </c>
      <c r="B87" s="38" t="s">
        <v>300</v>
      </c>
      <c r="C87" s="38" t="s">
        <v>791</v>
      </c>
      <c r="D87" s="39" t="s">
        <v>571</v>
      </c>
      <c r="E87" s="39" t="s">
        <v>1183</v>
      </c>
      <c r="F87" s="40">
        <v>700</v>
      </c>
      <c r="G87" s="41" t="s">
        <v>795</v>
      </c>
      <c r="H87" s="41" t="s">
        <v>354</v>
      </c>
    </row>
    <row r="88" spans="1:8" ht="27.6" x14ac:dyDescent="0.3">
      <c r="A88" s="38" t="s">
        <v>53</v>
      </c>
      <c r="B88" s="38" t="s">
        <v>300</v>
      </c>
      <c r="C88" s="38" t="s">
        <v>791</v>
      </c>
      <c r="D88" s="39" t="s">
        <v>537</v>
      </c>
      <c r="E88" s="39" t="s">
        <v>1183</v>
      </c>
      <c r="F88" s="40">
        <v>1400</v>
      </c>
      <c r="G88" s="41" t="s">
        <v>597</v>
      </c>
      <c r="H88" s="41" t="s">
        <v>354</v>
      </c>
    </row>
    <row r="89" spans="1:8" ht="27.6" x14ac:dyDescent="0.3">
      <c r="A89" s="38" t="s">
        <v>53</v>
      </c>
      <c r="B89" s="38" t="s">
        <v>307</v>
      </c>
      <c r="C89" s="38" t="s">
        <v>797</v>
      </c>
      <c r="D89" s="39" t="s">
        <v>700</v>
      </c>
      <c r="E89" s="39" t="s">
        <v>1185</v>
      </c>
      <c r="F89" s="40">
        <v>3000</v>
      </c>
      <c r="G89" s="41" t="s">
        <v>799</v>
      </c>
      <c r="H89" s="41" t="s">
        <v>800</v>
      </c>
    </row>
    <row r="90" spans="1:8" ht="27.6" x14ac:dyDescent="0.3">
      <c r="A90" s="38" t="s">
        <v>53</v>
      </c>
      <c r="B90" s="38" t="s">
        <v>307</v>
      </c>
      <c r="C90" s="38" t="s">
        <v>797</v>
      </c>
      <c r="D90" s="39" t="s">
        <v>537</v>
      </c>
      <c r="E90" s="39" t="s">
        <v>1237</v>
      </c>
      <c r="F90" s="40">
        <v>2337</v>
      </c>
      <c r="G90" s="41" t="s">
        <v>802</v>
      </c>
      <c r="H90" s="41" t="s">
        <v>359</v>
      </c>
    </row>
    <row r="91" spans="1:8" ht="27.6" x14ac:dyDescent="0.3">
      <c r="A91" s="38" t="s">
        <v>53</v>
      </c>
      <c r="B91" s="38" t="s">
        <v>307</v>
      </c>
      <c r="C91" s="38" t="s">
        <v>803</v>
      </c>
      <c r="D91" s="39" t="s">
        <v>556</v>
      </c>
      <c r="E91" s="39" t="s">
        <v>1188</v>
      </c>
      <c r="F91" s="40">
        <v>54800</v>
      </c>
      <c r="G91" s="41" t="s">
        <v>805</v>
      </c>
      <c r="H91" s="41" t="s">
        <v>806</v>
      </c>
    </row>
    <row r="92" spans="1:8" ht="27.6" x14ac:dyDescent="0.3">
      <c r="A92" s="38" t="s">
        <v>53</v>
      </c>
      <c r="B92" s="38" t="s">
        <v>307</v>
      </c>
      <c r="C92" s="38" t="s">
        <v>807</v>
      </c>
      <c r="D92" s="39" t="s">
        <v>571</v>
      </c>
      <c r="E92" s="39" t="s">
        <v>1209</v>
      </c>
      <c r="F92" s="40">
        <v>148800</v>
      </c>
      <c r="G92" s="41" t="s">
        <v>809</v>
      </c>
      <c r="H92" s="41" t="s">
        <v>640</v>
      </c>
    </row>
    <row r="93" spans="1:8" ht="27.6" x14ac:dyDescent="0.3">
      <c r="A93" s="38" t="s">
        <v>53</v>
      </c>
      <c r="B93" s="38" t="s">
        <v>307</v>
      </c>
      <c r="C93" s="38" t="s">
        <v>810</v>
      </c>
      <c r="D93" s="39" t="s">
        <v>811</v>
      </c>
      <c r="E93" s="39" t="s">
        <v>1225</v>
      </c>
      <c r="F93" s="40">
        <v>1312</v>
      </c>
      <c r="G93" s="41" t="s">
        <v>813</v>
      </c>
      <c r="H93" s="41" t="s">
        <v>67</v>
      </c>
    </row>
    <row r="94" spans="1:8" ht="27.6" x14ac:dyDescent="0.3">
      <c r="A94" s="38" t="s">
        <v>53</v>
      </c>
      <c r="B94" s="38" t="s">
        <v>307</v>
      </c>
      <c r="C94" s="38" t="s">
        <v>810</v>
      </c>
      <c r="D94" s="39" t="s">
        <v>571</v>
      </c>
      <c r="E94" s="39" t="s">
        <v>1183</v>
      </c>
      <c r="F94" s="40">
        <v>638</v>
      </c>
      <c r="G94" s="41" t="s">
        <v>815</v>
      </c>
      <c r="H94" s="41" t="s">
        <v>354</v>
      </c>
    </row>
    <row r="95" spans="1:8" ht="27.6" x14ac:dyDescent="0.3">
      <c r="A95" s="38" t="s">
        <v>53</v>
      </c>
      <c r="B95" s="38" t="s">
        <v>307</v>
      </c>
      <c r="C95" s="38" t="s">
        <v>810</v>
      </c>
      <c r="D95" s="39" t="s">
        <v>571</v>
      </c>
      <c r="E95" s="39" t="s">
        <v>1183</v>
      </c>
      <c r="F95" s="40">
        <v>659</v>
      </c>
      <c r="G95" s="41" t="s">
        <v>817</v>
      </c>
      <c r="H95" s="41" t="s">
        <v>354</v>
      </c>
    </row>
    <row r="96" spans="1:8" ht="27.6" x14ac:dyDescent="0.3">
      <c r="A96" s="38" t="s">
        <v>53</v>
      </c>
      <c r="B96" s="38" t="s">
        <v>307</v>
      </c>
      <c r="C96" s="38" t="s">
        <v>810</v>
      </c>
      <c r="D96" s="39" t="s">
        <v>571</v>
      </c>
      <c r="E96" s="39" t="s">
        <v>1183</v>
      </c>
      <c r="F96" s="40">
        <v>637</v>
      </c>
      <c r="G96" s="41" t="s">
        <v>819</v>
      </c>
      <c r="H96" s="41" t="s">
        <v>354</v>
      </c>
    </row>
    <row r="97" spans="1:8" ht="41.4" x14ac:dyDescent="0.3">
      <c r="A97" s="38" t="s">
        <v>53</v>
      </c>
      <c r="B97" s="38" t="s">
        <v>307</v>
      </c>
      <c r="C97" s="38" t="s">
        <v>810</v>
      </c>
      <c r="D97" s="39" t="s">
        <v>537</v>
      </c>
      <c r="E97" s="39" t="s">
        <v>1186</v>
      </c>
      <c r="F97" s="40">
        <v>2985</v>
      </c>
      <c r="G97" s="41" t="s">
        <v>821</v>
      </c>
      <c r="H97" s="41" t="s">
        <v>822</v>
      </c>
    </row>
    <row r="98" spans="1:8" ht="27.6" x14ac:dyDescent="0.3">
      <c r="A98" s="38" t="s">
        <v>53</v>
      </c>
      <c r="B98" s="38" t="s">
        <v>307</v>
      </c>
      <c r="C98" s="38" t="s">
        <v>810</v>
      </c>
      <c r="D98" s="39" t="s">
        <v>556</v>
      </c>
      <c r="E98" s="39" t="s">
        <v>1229</v>
      </c>
      <c r="F98" s="40">
        <v>2205</v>
      </c>
      <c r="G98" s="41" t="s">
        <v>824</v>
      </c>
      <c r="H98" s="41" t="s">
        <v>725</v>
      </c>
    </row>
    <row r="99" spans="1:8" x14ac:dyDescent="0.3">
      <c r="A99" s="38" t="s">
        <v>53</v>
      </c>
      <c r="B99" s="38" t="s">
        <v>307</v>
      </c>
      <c r="C99" s="38" t="s">
        <v>810</v>
      </c>
      <c r="D99" s="39" t="s">
        <v>541</v>
      </c>
      <c r="E99" s="39" t="s">
        <v>1206</v>
      </c>
      <c r="F99" s="40">
        <v>801</v>
      </c>
      <c r="G99" s="41" t="s">
        <v>826</v>
      </c>
      <c r="H99" s="41" t="s">
        <v>90</v>
      </c>
    </row>
    <row r="100" spans="1:8" ht="41.4" x14ac:dyDescent="0.3">
      <c r="A100" s="38" t="s">
        <v>53</v>
      </c>
      <c r="B100" s="38" t="s">
        <v>307</v>
      </c>
      <c r="C100" s="38" t="s">
        <v>827</v>
      </c>
      <c r="D100" s="39" t="s">
        <v>655</v>
      </c>
      <c r="E100" s="39" t="s">
        <v>1213</v>
      </c>
      <c r="F100" s="40">
        <v>42374</v>
      </c>
      <c r="G100" s="41" t="s">
        <v>829</v>
      </c>
      <c r="H100" s="41" t="s">
        <v>123</v>
      </c>
    </row>
    <row r="101" spans="1:8" x14ac:dyDescent="0.3">
      <c r="A101" s="38" t="s">
        <v>156</v>
      </c>
      <c r="B101" s="38" t="s">
        <v>307</v>
      </c>
      <c r="C101" s="38" t="s">
        <v>158</v>
      </c>
      <c r="D101" s="39" t="s">
        <v>7</v>
      </c>
      <c r="E101" s="39" t="s">
        <v>1181</v>
      </c>
      <c r="F101" s="40">
        <v>7200</v>
      </c>
      <c r="G101" s="41" t="s">
        <v>831</v>
      </c>
      <c r="H101" s="41" t="s">
        <v>832</v>
      </c>
    </row>
    <row r="102" spans="1:8" ht="41.4" x14ac:dyDescent="0.3">
      <c r="A102" s="38" t="s">
        <v>53</v>
      </c>
      <c r="B102" s="38" t="s">
        <v>322</v>
      </c>
      <c r="C102" s="38" t="s">
        <v>833</v>
      </c>
      <c r="D102" s="39" t="s">
        <v>655</v>
      </c>
      <c r="E102" s="39" t="s">
        <v>1209</v>
      </c>
      <c r="F102" s="40">
        <v>12000</v>
      </c>
      <c r="G102" s="41" t="s">
        <v>835</v>
      </c>
      <c r="H102" s="41" t="s">
        <v>640</v>
      </c>
    </row>
    <row r="103" spans="1:8" ht="27.6" x14ac:dyDescent="0.3">
      <c r="A103" s="38" t="s">
        <v>53</v>
      </c>
      <c r="B103" s="38" t="s">
        <v>322</v>
      </c>
      <c r="C103" s="38" t="s">
        <v>338</v>
      </c>
      <c r="D103" s="39" t="s">
        <v>537</v>
      </c>
      <c r="E103" s="39" t="s">
        <v>1223</v>
      </c>
      <c r="F103" s="40">
        <v>2699</v>
      </c>
      <c r="G103" s="41" t="s">
        <v>340</v>
      </c>
      <c r="H103" s="41" t="s">
        <v>200</v>
      </c>
    </row>
    <row r="104" spans="1:8" ht="27.6" x14ac:dyDescent="0.3">
      <c r="A104" s="38" t="s">
        <v>53</v>
      </c>
      <c r="B104" s="38" t="s">
        <v>322</v>
      </c>
      <c r="C104" s="38" t="s">
        <v>836</v>
      </c>
      <c r="D104" s="39" t="s">
        <v>675</v>
      </c>
      <c r="E104" s="39" t="s">
        <v>1225</v>
      </c>
      <c r="F104" s="40">
        <v>11550</v>
      </c>
      <c r="G104" s="41" t="s">
        <v>838</v>
      </c>
      <c r="H104" s="41" t="s">
        <v>67</v>
      </c>
    </row>
    <row r="105" spans="1:8" ht="27.6" x14ac:dyDescent="0.3">
      <c r="A105" s="38" t="s">
        <v>53</v>
      </c>
      <c r="B105" s="38" t="s">
        <v>322</v>
      </c>
      <c r="C105" s="38" t="s">
        <v>839</v>
      </c>
      <c r="D105" s="39" t="s">
        <v>599</v>
      </c>
      <c r="E105" s="39" t="s">
        <v>1215</v>
      </c>
      <c r="F105" s="40">
        <v>70560</v>
      </c>
      <c r="G105" s="41" t="s">
        <v>841</v>
      </c>
      <c r="H105" s="41" t="s">
        <v>456</v>
      </c>
    </row>
    <row r="106" spans="1:8" x14ac:dyDescent="0.3">
      <c r="A106" s="38" t="s">
        <v>156</v>
      </c>
      <c r="B106" s="38" t="s">
        <v>322</v>
      </c>
      <c r="C106" s="38" t="s">
        <v>158</v>
      </c>
      <c r="D106" s="39" t="s">
        <v>7</v>
      </c>
      <c r="E106" s="39" t="s">
        <v>1185</v>
      </c>
      <c r="F106" s="40">
        <v>1980</v>
      </c>
      <c r="G106" s="41" t="s">
        <v>843</v>
      </c>
      <c r="H106" s="41" t="s">
        <v>844</v>
      </c>
    </row>
    <row r="107" spans="1:8" ht="27.6" x14ac:dyDescent="0.3">
      <c r="A107" s="38" t="s">
        <v>53</v>
      </c>
      <c r="B107" s="38" t="s">
        <v>350</v>
      </c>
      <c r="C107" s="38" t="s">
        <v>845</v>
      </c>
      <c r="D107" s="39" t="s">
        <v>671</v>
      </c>
      <c r="E107" s="39" t="s">
        <v>1196</v>
      </c>
      <c r="F107" s="40">
        <v>90</v>
      </c>
      <c r="G107" s="41" t="s">
        <v>847</v>
      </c>
      <c r="H107" s="41" t="s">
        <v>155</v>
      </c>
    </row>
    <row r="108" spans="1:8" ht="27.6" x14ac:dyDescent="0.3">
      <c r="A108" s="38" t="s">
        <v>53</v>
      </c>
      <c r="B108" s="38" t="s">
        <v>350</v>
      </c>
      <c r="C108" s="38" t="s">
        <v>848</v>
      </c>
      <c r="D108" s="39" t="s">
        <v>706</v>
      </c>
      <c r="E108" s="39" t="s">
        <v>1196</v>
      </c>
      <c r="F108" s="40">
        <v>2780</v>
      </c>
      <c r="G108" s="41" t="s">
        <v>850</v>
      </c>
      <c r="H108" s="41" t="s">
        <v>155</v>
      </c>
    </row>
    <row r="109" spans="1:8" ht="27.6" x14ac:dyDescent="0.3">
      <c r="A109" s="38" t="s">
        <v>53</v>
      </c>
      <c r="B109" s="38" t="s">
        <v>350</v>
      </c>
      <c r="C109" s="38" t="s">
        <v>848</v>
      </c>
      <c r="D109" s="39" t="s">
        <v>706</v>
      </c>
      <c r="E109" s="39" t="s">
        <v>1196</v>
      </c>
      <c r="F109" s="40">
        <v>2920</v>
      </c>
      <c r="G109" s="41" t="s">
        <v>852</v>
      </c>
      <c r="H109" s="41" t="s">
        <v>155</v>
      </c>
    </row>
    <row r="110" spans="1:8" ht="41.4" x14ac:dyDescent="0.3">
      <c r="A110" s="38" t="s">
        <v>53</v>
      </c>
      <c r="B110" s="38" t="s">
        <v>350</v>
      </c>
      <c r="C110" s="38" t="s">
        <v>853</v>
      </c>
      <c r="D110" s="39" t="s">
        <v>655</v>
      </c>
      <c r="E110" s="39" t="s">
        <v>1196</v>
      </c>
      <c r="F110" s="40">
        <v>4084</v>
      </c>
      <c r="G110" s="41" t="s">
        <v>855</v>
      </c>
      <c r="H110" s="41" t="s">
        <v>155</v>
      </c>
    </row>
    <row r="111" spans="1:8" ht="41.4" x14ac:dyDescent="0.3">
      <c r="A111" s="38" t="s">
        <v>53</v>
      </c>
      <c r="B111" s="38" t="s">
        <v>350</v>
      </c>
      <c r="C111" s="38" t="s">
        <v>853</v>
      </c>
      <c r="D111" s="39" t="s">
        <v>655</v>
      </c>
      <c r="E111" s="39" t="s">
        <v>1196</v>
      </c>
      <c r="F111" s="40">
        <v>4084</v>
      </c>
      <c r="G111" s="41" t="s">
        <v>857</v>
      </c>
      <c r="H111" s="41" t="s">
        <v>155</v>
      </c>
    </row>
    <row r="112" spans="1:8" ht="41.4" x14ac:dyDescent="0.3">
      <c r="A112" s="38" t="s">
        <v>53</v>
      </c>
      <c r="B112" s="38" t="s">
        <v>350</v>
      </c>
      <c r="C112" s="38" t="s">
        <v>853</v>
      </c>
      <c r="D112" s="39" t="s">
        <v>655</v>
      </c>
      <c r="E112" s="39" t="s">
        <v>1209</v>
      </c>
      <c r="F112" s="40">
        <v>1000</v>
      </c>
      <c r="G112" s="41" t="s">
        <v>859</v>
      </c>
      <c r="H112" s="41" t="s">
        <v>640</v>
      </c>
    </row>
    <row r="113" spans="1:8" ht="41.4" x14ac:dyDescent="0.3">
      <c r="A113" s="38" t="s">
        <v>53</v>
      </c>
      <c r="B113" s="38" t="s">
        <v>350</v>
      </c>
      <c r="C113" s="38" t="s">
        <v>853</v>
      </c>
      <c r="D113" s="39" t="s">
        <v>655</v>
      </c>
      <c r="E113" s="39" t="s">
        <v>1231</v>
      </c>
      <c r="F113" s="40">
        <v>2000</v>
      </c>
      <c r="G113" s="41" t="s">
        <v>861</v>
      </c>
      <c r="H113" s="41" t="s">
        <v>126</v>
      </c>
    </row>
    <row r="114" spans="1:8" ht="41.4" x14ac:dyDescent="0.3">
      <c r="A114" s="38" t="s">
        <v>53</v>
      </c>
      <c r="B114" s="38" t="s">
        <v>350</v>
      </c>
      <c r="C114" s="38" t="s">
        <v>853</v>
      </c>
      <c r="D114" s="39" t="s">
        <v>655</v>
      </c>
      <c r="E114" s="39" t="s">
        <v>1231</v>
      </c>
      <c r="F114" s="40">
        <v>2000</v>
      </c>
      <c r="G114" s="41" t="s">
        <v>863</v>
      </c>
      <c r="H114" s="41" t="s">
        <v>126</v>
      </c>
    </row>
    <row r="115" spans="1:8" ht="27.6" x14ac:dyDescent="0.3">
      <c r="A115" s="38" t="s">
        <v>53</v>
      </c>
      <c r="B115" s="38" t="s">
        <v>355</v>
      </c>
      <c r="C115" s="38" t="s">
        <v>864</v>
      </c>
      <c r="D115" s="39" t="s">
        <v>671</v>
      </c>
      <c r="E115" s="39" t="s">
        <v>1186</v>
      </c>
      <c r="F115" s="40">
        <v>646</v>
      </c>
      <c r="G115" s="41" t="s">
        <v>866</v>
      </c>
      <c r="H115" s="41" t="s">
        <v>867</v>
      </c>
    </row>
    <row r="116" spans="1:8" ht="27.6" x14ac:dyDescent="0.3">
      <c r="A116" s="38" t="s">
        <v>53</v>
      </c>
      <c r="B116" s="38" t="s">
        <v>355</v>
      </c>
      <c r="C116" s="38" t="s">
        <v>864</v>
      </c>
      <c r="D116" s="39" t="s">
        <v>537</v>
      </c>
      <c r="E116" s="39" t="s">
        <v>1237</v>
      </c>
      <c r="F116" s="40">
        <v>1374</v>
      </c>
      <c r="G116" s="41" t="s">
        <v>869</v>
      </c>
      <c r="H116" s="41" t="s">
        <v>359</v>
      </c>
    </row>
    <row r="117" spans="1:8" ht="27.6" x14ac:dyDescent="0.3">
      <c r="A117" s="38" t="s">
        <v>53</v>
      </c>
      <c r="B117" s="38" t="s">
        <v>355</v>
      </c>
      <c r="C117" s="38" t="s">
        <v>864</v>
      </c>
      <c r="D117" s="39" t="s">
        <v>541</v>
      </c>
      <c r="E117" s="39" t="s">
        <v>1225</v>
      </c>
      <c r="F117" s="40">
        <v>4200</v>
      </c>
      <c r="G117" s="41" t="s">
        <v>871</v>
      </c>
      <c r="H117" s="41" t="s">
        <v>67</v>
      </c>
    </row>
    <row r="118" spans="1:8" ht="27.6" x14ac:dyDescent="0.3">
      <c r="A118" s="38" t="s">
        <v>53</v>
      </c>
      <c r="B118" s="38" t="s">
        <v>355</v>
      </c>
      <c r="C118" s="38" t="s">
        <v>864</v>
      </c>
      <c r="D118" s="39" t="s">
        <v>643</v>
      </c>
      <c r="E118" s="39" t="s">
        <v>1215</v>
      </c>
      <c r="F118" s="40">
        <v>1850</v>
      </c>
      <c r="G118" s="41" t="s">
        <v>873</v>
      </c>
      <c r="H118" s="41" t="s">
        <v>456</v>
      </c>
    </row>
    <row r="119" spans="1:8" ht="27.6" x14ac:dyDescent="0.3">
      <c r="A119" s="38" t="s">
        <v>53</v>
      </c>
      <c r="B119" s="38" t="s">
        <v>355</v>
      </c>
      <c r="C119" s="38" t="s">
        <v>874</v>
      </c>
      <c r="D119" s="39" t="s">
        <v>541</v>
      </c>
      <c r="E119" s="39" t="s">
        <v>1225</v>
      </c>
      <c r="F119" s="40">
        <v>4200</v>
      </c>
      <c r="G119" s="41" t="s">
        <v>876</v>
      </c>
      <c r="H119" s="41" t="s">
        <v>67</v>
      </c>
    </row>
    <row r="120" spans="1:8" x14ac:dyDescent="0.3">
      <c r="A120" s="38" t="s">
        <v>53</v>
      </c>
      <c r="B120" s="38" t="s">
        <v>355</v>
      </c>
      <c r="C120" s="38" t="s">
        <v>874</v>
      </c>
      <c r="D120" s="39" t="s">
        <v>675</v>
      </c>
      <c r="E120" s="39" t="s">
        <v>1186</v>
      </c>
      <c r="F120" s="40">
        <v>9500</v>
      </c>
      <c r="G120" s="41" t="s">
        <v>878</v>
      </c>
      <c r="H120" s="41" t="s">
        <v>674</v>
      </c>
    </row>
    <row r="121" spans="1:8" ht="27.6" x14ac:dyDescent="0.3">
      <c r="A121" s="38" t="s">
        <v>156</v>
      </c>
      <c r="B121" s="38" t="s">
        <v>355</v>
      </c>
      <c r="C121" s="38" t="s">
        <v>49</v>
      </c>
      <c r="D121" s="39" t="s">
        <v>7</v>
      </c>
      <c r="E121" s="39" t="s">
        <v>1194</v>
      </c>
      <c r="F121" s="40">
        <v>8361</v>
      </c>
      <c r="G121" s="41" t="s">
        <v>880</v>
      </c>
      <c r="H121" s="41" t="s">
        <v>881</v>
      </c>
    </row>
    <row r="122" spans="1:8" ht="27.6" x14ac:dyDescent="0.3">
      <c r="A122" s="38" t="s">
        <v>53</v>
      </c>
      <c r="B122" s="38" t="s">
        <v>367</v>
      </c>
      <c r="C122" s="38" t="s">
        <v>882</v>
      </c>
      <c r="D122" s="39" t="s">
        <v>537</v>
      </c>
      <c r="E122" s="39" t="s">
        <v>1183</v>
      </c>
      <c r="F122" s="40">
        <v>20287</v>
      </c>
      <c r="G122" s="41" t="s">
        <v>597</v>
      </c>
      <c r="H122" s="41" t="s">
        <v>354</v>
      </c>
    </row>
    <row r="123" spans="1:8" ht="27.6" x14ac:dyDescent="0.3">
      <c r="A123" s="38" t="s">
        <v>53</v>
      </c>
      <c r="B123" s="38" t="s">
        <v>367</v>
      </c>
      <c r="C123" s="38" t="s">
        <v>884</v>
      </c>
      <c r="D123" s="39" t="s">
        <v>571</v>
      </c>
      <c r="E123" s="39" t="s">
        <v>1183</v>
      </c>
      <c r="F123" s="40">
        <v>659</v>
      </c>
      <c r="G123" s="41" t="s">
        <v>886</v>
      </c>
      <c r="H123" s="41" t="s">
        <v>354</v>
      </c>
    </row>
    <row r="124" spans="1:8" ht="27.6" x14ac:dyDescent="0.3">
      <c r="A124" s="38" t="s">
        <v>53</v>
      </c>
      <c r="B124" s="38" t="s">
        <v>367</v>
      </c>
      <c r="C124" s="38" t="s">
        <v>884</v>
      </c>
      <c r="D124" s="39" t="s">
        <v>537</v>
      </c>
      <c r="E124" s="39" t="s">
        <v>1183</v>
      </c>
      <c r="F124" s="40">
        <v>198</v>
      </c>
      <c r="G124" s="41" t="s">
        <v>597</v>
      </c>
      <c r="H124" s="41" t="s">
        <v>354</v>
      </c>
    </row>
    <row r="125" spans="1:8" ht="41.4" x14ac:dyDescent="0.3">
      <c r="A125" s="38" t="s">
        <v>53</v>
      </c>
      <c r="B125" s="38" t="s">
        <v>367</v>
      </c>
      <c r="C125" s="38" t="s">
        <v>888</v>
      </c>
      <c r="D125" s="39" t="s">
        <v>537</v>
      </c>
      <c r="E125" s="39" t="s">
        <v>1237</v>
      </c>
      <c r="F125" s="40">
        <v>18908</v>
      </c>
      <c r="G125" s="41" t="s">
        <v>890</v>
      </c>
      <c r="H125" s="41" t="s">
        <v>359</v>
      </c>
    </row>
    <row r="126" spans="1:8" ht="27.6" x14ac:dyDescent="0.3">
      <c r="A126" s="38" t="s">
        <v>53</v>
      </c>
      <c r="B126" s="38" t="s">
        <v>367</v>
      </c>
      <c r="C126" s="38" t="s">
        <v>891</v>
      </c>
      <c r="D126" s="39" t="s">
        <v>675</v>
      </c>
      <c r="E126" s="39" t="s">
        <v>1221</v>
      </c>
      <c r="F126" s="40">
        <v>13000</v>
      </c>
      <c r="G126" s="41" t="s">
        <v>893</v>
      </c>
      <c r="H126" s="41" t="s">
        <v>63</v>
      </c>
    </row>
    <row r="127" spans="1:8" ht="27.6" x14ac:dyDescent="0.3">
      <c r="A127" s="38" t="s">
        <v>53</v>
      </c>
      <c r="B127" s="38" t="s">
        <v>367</v>
      </c>
      <c r="C127" s="38" t="s">
        <v>894</v>
      </c>
      <c r="D127" s="39" t="s">
        <v>537</v>
      </c>
      <c r="E127" s="39" t="s">
        <v>1237</v>
      </c>
      <c r="F127" s="40">
        <v>14781</v>
      </c>
      <c r="G127" s="41" t="s">
        <v>896</v>
      </c>
      <c r="H127" s="41" t="s">
        <v>359</v>
      </c>
    </row>
    <row r="128" spans="1:8" ht="27.6" x14ac:dyDescent="0.3">
      <c r="A128" s="38" t="s">
        <v>156</v>
      </c>
      <c r="B128" s="38" t="s">
        <v>367</v>
      </c>
      <c r="C128" s="38" t="s">
        <v>49</v>
      </c>
      <c r="D128" s="39" t="s">
        <v>7</v>
      </c>
      <c r="E128" s="39" t="s">
        <v>1233</v>
      </c>
      <c r="F128" s="40">
        <v>4126</v>
      </c>
      <c r="G128" s="41" t="s">
        <v>898</v>
      </c>
      <c r="H128" s="41" t="s">
        <v>212</v>
      </c>
    </row>
    <row r="129" spans="1:8" ht="27.6" x14ac:dyDescent="0.3">
      <c r="A129" s="38" t="s">
        <v>156</v>
      </c>
      <c r="B129" s="38" t="s">
        <v>367</v>
      </c>
      <c r="C129" s="38" t="s">
        <v>158</v>
      </c>
      <c r="D129" s="39" t="s">
        <v>7</v>
      </c>
      <c r="E129" s="39" t="s">
        <v>1190</v>
      </c>
      <c r="F129" s="40">
        <v>4084</v>
      </c>
      <c r="G129" s="41" t="s">
        <v>900</v>
      </c>
      <c r="H129" s="41" t="s">
        <v>687</v>
      </c>
    </row>
    <row r="130" spans="1:8" ht="27.6" x14ac:dyDescent="0.3">
      <c r="A130" s="38" t="s">
        <v>156</v>
      </c>
      <c r="B130" s="38" t="s">
        <v>367</v>
      </c>
      <c r="C130" s="38" t="s">
        <v>158</v>
      </c>
      <c r="D130" s="39" t="s">
        <v>7</v>
      </c>
      <c r="E130" s="39" t="s">
        <v>1190</v>
      </c>
      <c r="F130" s="40">
        <v>180</v>
      </c>
      <c r="G130" s="41" t="s">
        <v>902</v>
      </c>
      <c r="H130" s="41" t="s">
        <v>687</v>
      </c>
    </row>
    <row r="131" spans="1:8" ht="27.6" x14ac:dyDescent="0.3">
      <c r="A131" s="38" t="s">
        <v>156</v>
      </c>
      <c r="B131" s="38" t="s">
        <v>367</v>
      </c>
      <c r="C131" s="38" t="s">
        <v>158</v>
      </c>
      <c r="D131" s="39" t="s">
        <v>7</v>
      </c>
      <c r="E131" s="39" t="s">
        <v>1183</v>
      </c>
      <c r="F131" s="40">
        <v>651</v>
      </c>
      <c r="G131" s="41" t="s">
        <v>904</v>
      </c>
      <c r="H131" s="41" t="s">
        <v>354</v>
      </c>
    </row>
    <row r="132" spans="1:8" ht="41.4" x14ac:dyDescent="0.3">
      <c r="A132" s="38" t="s">
        <v>53</v>
      </c>
      <c r="B132" s="38" t="s">
        <v>386</v>
      </c>
      <c r="C132" s="38" t="s">
        <v>905</v>
      </c>
      <c r="D132" s="39" t="s">
        <v>655</v>
      </c>
      <c r="E132" s="39" t="s">
        <v>1231</v>
      </c>
      <c r="F132" s="40">
        <v>2000</v>
      </c>
      <c r="G132" s="41" t="s">
        <v>907</v>
      </c>
      <c r="H132" s="41" t="s">
        <v>126</v>
      </c>
    </row>
    <row r="133" spans="1:8" ht="27.6" x14ac:dyDescent="0.3">
      <c r="A133" s="38" t="s">
        <v>53</v>
      </c>
      <c r="B133" s="38" t="s">
        <v>386</v>
      </c>
      <c r="C133" s="38" t="s">
        <v>908</v>
      </c>
      <c r="D133" s="39" t="s">
        <v>584</v>
      </c>
      <c r="E133" s="39" t="s">
        <v>1233</v>
      </c>
      <c r="F133" s="40">
        <v>23616</v>
      </c>
      <c r="G133" s="41" t="s">
        <v>910</v>
      </c>
      <c r="H133" s="41" t="s">
        <v>212</v>
      </c>
    </row>
    <row r="134" spans="1:8" ht="27.6" x14ac:dyDescent="0.3">
      <c r="A134" s="38" t="s">
        <v>156</v>
      </c>
      <c r="B134" s="38" t="s">
        <v>386</v>
      </c>
      <c r="C134" s="38" t="s">
        <v>49</v>
      </c>
      <c r="D134" s="39" t="s">
        <v>7</v>
      </c>
      <c r="E134" s="39" t="s">
        <v>1203</v>
      </c>
      <c r="F134" s="40">
        <v>4084</v>
      </c>
      <c r="G134" s="41" t="s">
        <v>912</v>
      </c>
      <c r="H134" s="41" t="s">
        <v>84</v>
      </c>
    </row>
    <row r="135" spans="1:8" x14ac:dyDescent="0.3">
      <c r="A135" s="38" t="s">
        <v>156</v>
      </c>
      <c r="B135" s="38" t="s">
        <v>386</v>
      </c>
      <c r="C135" s="38" t="s">
        <v>158</v>
      </c>
      <c r="D135" s="39" t="s">
        <v>7</v>
      </c>
      <c r="E135" s="39" t="s">
        <v>1211</v>
      </c>
      <c r="F135" s="40">
        <v>1</v>
      </c>
      <c r="G135" s="41" t="s">
        <v>914</v>
      </c>
      <c r="H135" s="41" t="s">
        <v>233</v>
      </c>
    </row>
    <row r="136" spans="1:8" ht="27.6" x14ac:dyDescent="0.3">
      <c r="A136" s="38" t="s">
        <v>53</v>
      </c>
      <c r="B136" s="38" t="s">
        <v>406</v>
      </c>
      <c r="C136" s="38" t="s">
        <v>915</v>
      </c>
      <c r="D136" s="39" t="s">
        <v>571</v>
      </c>
      <c r="E136" s="39" t="s">
        <v>1186</v>
      </c>
      <c r="F136" s="40">
        <v>9630</v>
      </c>
      <c r="G136" s="41" t="s">
        <v>917</v>
      </c>
      <c r="H136" s="41" t="s">
        <v>674</v>
      </c>
    </row>
    <row r="137" spans="1:8" ht="27.6" x14ac:dyDescent="0.3">
      <c r="A137" s="38" t="s">
        <v>156</v>
      </c>
      <c r="B137" s="38" t="s">
        <v>406</v>
      </c>
      <c r="C137" s="38" t="s">
        <v>49</v>
      </c>
      <c r="D137" s="39" t="s">
        <v>7</v>
      </c>
      <c r="E137" s="39" t="s">
        <v>1190</v>
      </c>
      <c r="F137" s="40">
        <v>391</v>
      </c>
      <c r="G137" s="41" t="s">
        <v>919</v>
      </c>
      <c r="H137" s="41" t="s">
        <v>687</v>
      </c>
    </row>
    <row r="138" spans="1:8" ht="27.6" x14ac:dyDescent="0.3">
      <c r="A138" s="38" t="s">
        <v>156</v>
      </c>
      <c r="B138" s="38" t="s">
        <v>406</v>
      </c>
      <c r="C138" s="38" t="s">
        <v>158</v>
      </c>
      <c r="D138" s="39" t="s">
        <v>7</v>
      </c>
      <c r="E138" s="39" t="s">
        <v>1179</v>
      </c>
      <c r="F138" s="40">
        <v>2610</v>
      </c>
      <c r="G138" s="41" t="s">
        <v>921</v>
      </c>
      <c r="H138" s="41" t="s">
        <v>347</v>
      </c>
    </row>
    <row r="139" spans="1:8" ht="27.6" x14ac:dyDescent="0.3">
      <c r="A139" s="38" t="s">
        <v>156</v>
      </c>
      <c r="B139" s="38" t="s">
        <v>406</v>
      </c>
      <c r="C139" s="38" t="s">
        <v>158</v>
      </c>
      <c r="D139" s="39" t="s">
        <v>7</v>
      </c>
      <c r="E139" s="39" t="s">
        <v>1203</v>
      </c>
      <c r="F139" s="40">
        <v>2400</v>
      </c>
      <c r="G139" s="41" t="s">
        <v>923</v>
      </c>
      <c r="H139" s="41" t="s">
        <v>84</v>
      </c>
    </row>
    <row r="140" spans="1:8" ht="41.4" x14ac:dyDescent="0.3">
      <c r="A140" s="38" t="s">
        <v>53</v>
      </c>
      <c r="B140" s="38" t="s">
        <v>420</v>
      </c>
      <c r="C140" s="38" t="s">
        <v>924</v>
      </c>
      <c r="D140" s="39" t="s">
        <v>541</v>
      </c>
      <c r="E140" s="39" t="s">
        <v>1219</v>
      </c>
      <c r="F140" s="40">
        <v>500</v>
      </c>
      <c r="G140" s="41" t="s">
        <v>926</v>
      </c>
      <c r="H140" s="41" t="s">
        <v>606</v>
      </c>
    </row>
    <row r="141" spans="1:8" x14ac:dyDescent="0.3">
      <c r="A141" s="38" t="s">
        <v>156</v>
      </c>
      <c r="B141" s="38" t="s">
        <v>420</v>
      </c>
      <c r="C141" s="38" t="s">
        <v>158</v>
      </c>
      <c r="D141" s="39" t="s">
        <v>7</v>
      </c>
      <c r="E141" s="39" t="s">
        <v>1207</v>
      </c>
      <c r="F141" s="40">
        <v>98600</v>
      </c>
      <c r="G141" s="41" t="s">
        <v>928</v>
      </c>
      <c r="H141" s="41" t="s">
        <v>929</v>
      </c>
    </row>
    <row r="142" spans="1:8" ht="27.6" x14ac:dyDescent="0.3">
      <c r="A142" s="38" t="s">
        <v>156</v>
      </c>
      <c r="B142" s="38" t="s">
        <v>420</v>
      </c>
      <c r="C142" s="38" t="s">
        <v>158</v>
      </c>
      <c r="D142" s="39" t="s">
        <v>7</v>
      </c>
      <c r="E142" s="39" t="s">
        <v>1190</v>
      </c>
      <c r="F142" s="40">
        <v>4084</v>
      </c>
      <c r="G142" s="41" t="s">
        <v>931</v>
      </c>
      <c r="H142" s="41" t="s">
        <v>687</v>
      </c>
    </row>
    <row r="143" spans="1:8" ht="27.6" x14ac:dyDescent="0.3">
      <c r="A143" s="38" t="s">
        <v>156</v>
      </c>
      <c r="B143" s="38" t="s">
        <v>420</v>
      </c>
      <c r="C143" s="38" t="s">
        <v>158</v>
      </c>
      <c r="D143" s="39" t="s">
        <v>7</v>
      </c>
      <c r="E143" s="39" t="s">
        <v>1190</v>
      </c>
      <c r="F143" s="40">
        <v>42</v>
      </c>
      <c r="G143" s="41" t="s">
        <v>933</v>
      </c>
      <c r="H143" s="41" t="s">
        <v>687</v>
      </c>
    </row>
    <row r="144" spans="1:8" ht="27.6" x14ac:dyDescent="0.3">
      <c r="A144" s="38" t="s">
        <v>156</v>
      </c>
      <c r="B144" s="38" t="s">
        <v>420</v>
      </c>
      <c r="C144" s="38" t="s">
        <v>158</v>
      </c>
      <c r="D144" s="39" t="s">
        <v>7</v>
      </c>
      <c r="E144" s="39" t="s">
        <v>1203</v>
      </c>
      <c r="F144" s="40">
        <v>3267</v>
      </c>
      <c r="G144" s="41" t="s">
        <v>935</v>
      </c>
      <c r="H144" s="41" t="s">
        <v>84</v>
      </c>
    </row>
    <row r="145" spans="1:8" ht="69" x14ac:dyDescent="0.3">
      <c r="A145" s="38" t="s">
        <v>53</v>
      </c>
      <c r="B145" s="38" t="s">
        <v>424</v>
      </c>
      <c r="C145" s="38" t="s">
        <v>936</v>
      </c>
      <c r="D145" s="39" t="s">
        <v>537</v>
      </c>
      <c r="E145" s="39" t="s">
        <v>1211</v>
      </c>
      <c r="F145" s="40">
        <v>7302</v>
      </c>
      <c r="G145" s="41" t="s">
        <v>938</v>
      </c>
      <c r="H145" s="41" t="s">
        <v>593</v>
      </c>
    </row>
    <row r="146" spans="1:8" ht="27.6" x14ac:dyDescent="0.3">
      <c r="A146" s="38" t="s">
        <v>156</v>
      </c>
      <c r="B146" s="38" t="s">
        <v>424</v>
      </c>
      <c r="C146" s="38" t="s">
        <v>49</v>
      </c>
      <c r="D146" s="39" t="s">
        <v>7</v>
      </c>
      <c r="E146" s="39" t="s">
        <v>1206</v>
      </c>
      <c r="F146" s="40">
        <v>744</v>
      </c>
      <c r="G146" s="41" t="s">
        <v>940</v>
      </c>
      <c r="H146" s="41" t="s">
        <v>90</v>
      </c>
    </row>
    <row r="147" spans="1:8" ht="27.6" x14ac:dyDescent="0.3">
      <c r="A147" s="38" t="s">
        <v>156</v>
      </c>
      <c r="B147" s="38" t="s">
        <v>424</v>
      </c>
      <c r="C147" s="38" t="s">
        <v>49</v>
      </c>
      <c r="D147" s="39" t="s">
        <v>7</v>
      </c>
      <c r="E147" s="39" t="s">
        <v>1206</v>
      </c>
      <c r="F147" s="40">
        <v>3772</v>
      </c>
      <c r="G147" s="41" t="s">
        <v>940</v>
      </c>
      <c r="H147" s="41" t="s">
        <v>90</v>
      </c>
    </row>
    <row r="148" spans="1:8" ht="27.6" x14ac:dyDescent="0.3">
      <c r="A148" s="38" t="s">
        <v>53</v>
      </c>
      <c r="B148" s="38" t="s">
        <v>431</v>
      </c>
      <c r="C148" s="38" t="s">
        <v>941</v>
      </c>
      <c r="D148" s="39" t="s">
        <v>537</v>
      </c>
      <c r="E148" s="39" t="s">
        <v>1186</v>
      </c>
      <c r="F148" s="40">
        <v>11</v>
      </c>
      <c r="G148" s="41" t="s">
        <v>943</v>
      </c>
      <c r="H148" s="41" t="s">
        <v>822</v>
      </c>
    </row>
    <row r="149" spans="1:8" ht="27.6" x14ac:dyDescent="0.3">
      <c r="A149" s="38" t="s">
        <v>53</v>
      </c>
      <c r="B149" s="38" t="s">
        <v>431</v>
      </c>
      <c r="C149" s="38" t="s">
        <v>944</v>
      </c>
      <c r="D149" s="39" t="s">
        <v>599</v>
      </c>
      <c r="E149" s="39" t="s">
        <v>1223</v>
      </c>
      <c r="F149" s="40">
        <v>148000</v>
      </c>
      <c r="G149" s="41" t="s">
        <v>946</v>
      </c>
      <c r="H149" s="41" t="s">
        <v>200</v>
      </c>
    </row>
    <row r="150" spans="1:8" ht="41.4" x14ac:dyDescent="0.3">
      <c r="A150" s="38" t="s">
        <v>156</v>
      </c>
      <c r="B150" s="38" t="s">
        <v>431</v>
      </c>
      <c r="C150" s="38" t="s">
        <v>158</v>
      </c>
      <c r="D150" s="39" t="s">
        <v>7</v>
      </c>
      <c r="E150" s="39" t="s">
        <v>1185</v>
      </c>
      <c r="F150" s="40">
        <v>5000</v>
      </c>
      <c r="G150" s="41" t="s">
        <v>948</v>
      </c>
      <c r="H150" s="41" t="s">
        <v>161</v>
      </c>
    </row>
    <row r="151" spans="1:8" ht="27.6" x14ac:dyDescent="0.3">
      <c r="A151" s="38" t="s">
        <v>53</v>
      </c>
      <c r="B151" s="38" t="s">
        <v>441</v>
      </c>
      <c r="C151" s="38" t="s">
        <v>949</v>
      </c>
      <c r="D151" s="39" t="s">
        <v>623</v>
      </c>
      <c r="E151" s="39" t="s">
        <v>1229</v>
      </c>
      <c r="F151" s="40">
        <v>23100</v>
      </c>
      <c r="G151" s="41" t="s">
        <v>951</v>
      </c>
      <c r="H151" s="41" t="s">
        <v>725</v>
      </c>
    </row>
    <row r="152" spans="1:8" x14ac:dyDescent="0.3">
      <c r="A152" s="38" t="s">
        <v>156</v>
      </c>
      <c r="B152" s="38" t="s">
        <v>441</v>
      </c>
      <c r="C152" s="38" t="s">
        <v>158</v>
      </c>
      <c r="D152" s="39" t="s">
        <v>7</v>
      </c>
      <c r="E152" s="39" t="s">
        <v>1223</v>
      </c>
      <c r="F152" s="40">
        <v>571</v>
      </c>
      <c r="G152" s="41" t="s">
        <v>953</v>
      </c>
      <c r="H152" s="41" t="s">
        <v>200</v>
      </c>
    </row>
    <row r="153" spans="1:8" x14ac:dyDescent="0.3">
      <c r="A153" s="38" t="s">
        <v>156</v>
      </c>
      <c r="B153" s="38" t="s">
        <v>441</v>
      </c>
      <c r="C153" s="38" t="s">
        <v>158</v>
      </c>
      <c r="D153" s="39" t="s">
        <v>7</v>
      </c>
      <c r="E153" s="39" t="s">
        <v>1223</v>
      </c>
      <c r="F153" s="40">
        <v>6015</v>
      </c>
      <c r="G153" s="41" t="s">
        <v>955</v>
      </c>
      <c r="H153" s="41" t="s">
        <v>200</v>
      </c>
    </row>
    <row r="154" spans="1:8" ht="27.6" x14ac:dyDescent="0.3">
      <c r="A154" s="38" t="s">
        <v>156</v>
      </c>
      <c r="B154" s="38" t="s">
        <v>441</v>
      </c>
      <c r="C154" s="38" t="s">
        <v>158</v>
      </c>
      <c r="D154" s="39" t="s">
        <v>7</v>
      </c>
      <c r="E154" s="39" t="s">
        <v>1194</v>
      </c>
      <c r="F154" s="40">
        <v>9120</v>
      </c>
      <c r="G154" s="41" t="s">
        <v>957</v>
      </c>
      <c r="H154" s="41" t="s">
        <v>958</v>
      </c>
    </row>
    <row r="155" spans="1:8" x14ac:dyDescent="0.3">
      <c r="A155" s="38" t="s">
        <v>156</v>
      </c>
      <c r="B155" s="38" t="s">
        <v>450</v>
      </c>
      <c r="C155" s="38" t="s">
        <v>49</v>
      </c>
      <c r="D155" s="39" t="s">
        <v>7</v>
      </c>
      <c r="E155" s="39" t="s">
        <v>1206</v>
      </c>
      <c r="F155" s="40">
        <v>2160</v>
      </c>
      <c r="G155" s="41" t="s">
        <v>960</v>
      </c>
      <c r="H155" s="41" t="s">
        <v>90</v>
      </c>
    </row>
    <row r="156" spans="1:8" ht="27.6" x14ac:dyDescent="0.3">
      <c r="A156" s="38" t="s">
        <v>156</v>
      </c>
      <c r="B156" s="38" t="s">
        <v>450</v>
      </c>
      <c r="C156" s="38" t="s">
        <v>158</v>
      </c>
      <c r="D156" s="39" t="s">
        <v>7</v>
      </c>
      <c r="E156" s="39" t="s">
        <v>1194</v>
      </c>
      <c r="F156" s="40">
        <v>5960</v>
      </c>
      <c r="G156" s="41" t="s">
        <v>962</v>
      </c>
      <c r="H156" s="41" t="s">
        <v>881</v>
      </c>
    </row>
    <row r="157" spans="1:8" ht="27.6" x14ac:dyDescent="0.3">
      <c r="A157" s="38" t="s">
        <v>53</v>
      </c>
      <c r="B157" s="38" t="s">
        <v>457</v>
      </c>
      <c r="C157" s="38" t="s">
        <v>963</v>
      </c>
      <c r="D157" s="39" t="s">
        <v>537</v>
      </c>
      <c r="E157" s="39" t="s">
        <v>1183</v>
      </c>
      <c r="F157" s="40">
        <v>6216</v>
      </c>
      <c r="G157" s="41" t="s">
        <v>597</v>
      </c>
      <c r="H157" s="41" t="s">
        <v>354</v>
      </c>
    </row>
    <row r="158" spans="1:8" ht="27.6" x14ac:dyDescent="0.3">
      <c r="A158" s="38" t="s">
        <v>53</v>
      </c>
      <c r="B158" s="38" t="s">
        <v>457</v>
      </c>
      <c r="C158" s="38" t="s">
        <v>965</v>
      </c>
      <c r="D158" s="39" t="s">
        <v>671</v>
      </c>
      <c r="E158" s="39" t="s">
        <v>1196</v>
      </c>
      <c r="F158" s="40">
        <v>4500</v>
      </c>
      <c r="G158" s="41" t="s">
        <v>967</v>
      </c>
      <c r="H158" s="41" t="s">
        <v>155</v>
      </c>
    </row>
    <row r="159" spans="1:8" ht="27.6" x14ac:dyDescent="0.3">
      <c r="A159" s="38" t="s">
        <v>53</v>
      </c>
      <c r="B159" s="38" t="s">
        <v>457</v>
      </c>
      <c r="C159" s="38" t="s">
        <v>968</v>
      </c>
      <c r="D159" s="39" t="s">
        <v>623</v>
      </c>
      <c r="E159" s="39" t="s">
        <v>1229</v>
      </c>
      <c r="F159" s="40">
        <v>571</v>
      </c>
      <c r="G159" s="41" t="s">
        <v>970</v>
      </c>
      <c r="H159" s="41" t="s">
        <v>725</v>
      </c>
    </row>
    <row r="160" spans="1:8" ht="41.4" x14ac:dyDescent="0.3">
      <c r="A160" s="38" t="s">
        <v>156</v>
      </c>
      <c r="B160" s="38" t="s">
        <v>457</v>
      </c>
      <c r="C160" s="38" t="s">
        <v>158</v>
      </c>
      <c r="D160" s="39" t="s">
        <v>7</v>
      </c>
      <c r="E160" s="39" t="s">
        <v>1185</v>
      </c>
      <c r="F160" s="40">
        <v>3433</v>
      </c>
      <c r="G160" s="41" t="s">
        <v>972</v>
      </c>
      <c r="H160" s="41" t="s">
        <v>207</v>
      </c>
    </row>
    <row r="161" spans="1:8" x14ac:dyDescent="0.3">
      <c r="A161" s="38" t="s">
        <v>156</v>
      </c>
      <c r="B161" s="38" t="s">
        <v>457</v>
      </c>
      <c r="C161" s="38" t="s">
        <v>158</v>
      </c>
      <c r="D161" s="39" t="s">
        <v>7</v>
      </c>
      <c r="E161" s="39" t="s">
        <v>1186</v>
      </c>
      <c r="F161" s="40">
        <v>5300</v>
      </c>
      <c r="G161" s="41" t="s">
        <v>974</v>
      </c>
      <c r="H161" s="41" t="s">
        <v>763</v>
      </c>
    </row>
    <row r="162" spans="1:8" ht="27.6" x14ac:dyDescent="0.3">
      <c r="A162" s="38" t="s">
        <v>156</v>
      </c>
      <c r="B162" s="38" t="s">
        <v>457</v>
      </c>
      <c r="C162" s="38" t="s">
        <v>158</v>
      </c>
      <c r="D162" s="39" t="s">
        <v>7</v>
      </c>
      <c r="E162" s="39" t="s">
        <v>1220</v>
      </c>
      <c r="F162" s="40">
        <v>2980</v>
      </c>
      <c r="G162" s="41" t="s">
        <v>7</v>
      </c>
      <c r="H162" s="41" t="s">
        <v>976</v>
      </c>
    </row>
    <row r="163" spans="1:8" ht="27.6" x14ac:dyDescent="0.3">
      <c r="A163" s="38" t="s">
        <v>156</v>
      </c>
      <c r="B163" s="38" t="s">
        <v>457</v>
      </c>
      <c r="C163" s="38" t="s">
        <v>158</v>
      </c>
      <c r="D163" s="39" t="s">
        <v>7</v>
      </c>
      <c r="E163" s="39" t="s">
        <v>1190</v>
      </c>
      <c r="F163" s="40">
        <v>4084</v>
      </c>
      <c r="G163" s="41" t="s">
        <v>978</v>
      </c>
      <c r="H163" s="41" t="s">
        <v>687</v>
      </c>
    </row>
    <row r="164" spans="1:8" ht="27.6" x14ac:dyDescent="0.3">
      <c r="A164" s="38" t="s">
        <v>156</v>
      </c>
      <c r="B164" s="38" t="s">
        <v>457</v>
      </c>
      <c r="C164" s="38" t="s">
        <v>158</v>
      </c>
      <c r="D164" s="39" t="s">
        <v>7</v>
      </c>
      <c r="E164" s="39" t="s">
        <v>1190</v>
      </c>
      <c r="F164" s="40">
        <v>3020</v>
      </c>
      <c r="G164" s="41" t="s">
        <v>980</v>
      </c>
      <c r="H164" s="41" t="s">
        <v>687</v>
      </c>
    </row>
    <row r="165" spans="1:8" ht="27.6" x14ac:dyDescent="0.3">
      <c r="A165" s="38" t="s">
        <v>156</v>
      </c>
      <c r="B165" s="38" t="s">
        <v>457</v>
      </c>
      <c r="C165" s="38" t="s">
        <v>158</v>
      </c>
      <c r="D165" s="39" t="s">
        <v>7</v>
      </c>
      <c r="E165" s="39" t="s">
        <v>1229</v>
      </c>
      <c r="F165" s="40">
        <v>2101</v>
      </c>
      <c r="G165" s="41" t="s">
        <v>982</v>
      </c>
      <c r="H165" s="41" t="s">
        <v>725</v>
      </c>
    </row>
    <row r="166" spans="1:8" ht="27.6" x14ac:dyDescent="0.3">
      <c r="A166" s="38" t="s">
        <v>156</v>
      </c>
      <c r="B166" s="38" t="s">
        <v>457</v>
      </c>
      <c r="C166" s="38" t="s">
        <v>158</v>
      </c>
      <c r="D166" s="39" t="s">
        <v>7</v>
      </c>
      <c r="E166" s="39" t="s">
        <v>1233</v>
      </c>
      <c r="F166" s="40">
        <v>16520</v>
      </c>
      <c r="G166" s="41" t="s">
        <v>984</v>
      </c>
      <c r="H166" s="41" t="s">
        <v>212</v>
      </c>
    </row>
    <row r="167" spans="1:8" ht="27.6" x14ac:dyDescent="0.3">
      <c r="A167" s="38" t="s">
        <v>53</v>
      </c>
      <c r="B167" s="38" t="s">
        <v>472</v>
      </c>
      <c r="C167" s="38" t="s">
        <v>985</v>
      </c>
      <c r="D167" s="39" t="s">
        <v>671</v>
      </c>
      <c r="E167" s="39" t="s">
        <v>1186</v>
      </c>
      <c r="F167" s="40">
        <v>134</v>
      </c>
      <c r="G167" s="41" t="s">
        <v>987</v>
      </c>
      <c r="H167" s="41" t="s">
        <v>763</v>
      </c>
    </row>
    <row r="168" spans="1:8" ht="27.6" x14ac:dyDescent="0.3">
      <c r="A168" s="38" t="s">
        <v>53</v>
      </c>
      <c r="B168" s="38" t="s">
        <v>472</v>
      </c>
      <c r="C168" s="38" t="s">
        <v>985</v>
      </c>
      <c r="D168" s="39" t="s">
        <v>537</v>
      </c>
      <c r="E168" s="39" t="s">
        <v>1186</v>
      </c>
      <c r="F168" s="40">
        <v>1079</v>
      </c>
      <c r="G168" s="41" t="s">
        <v>987</v>
      </c>
      <c r="H168" s="41" t="s">
        <v>763</v>
      </c>
    </row>
    <row r="169" spans="1:8" ht="27.6" x14ac:dyDescent="0.3">
      <c r="A169" s="38" t="s">
        <v>53</v>
      </c>
      <c r="B169" s="38" t="s">
        <v>472</v>
      </c>
      <c r="C169" s="38" t="s">
        <v>985</v>
      </c>
      <c r="D169" s="39" t="s">
        <v>571</v>
      </c>
      <c r="E169" s="39" t="s">
        <v>1186</v>
      </c>
      <c r="F169" s="40">
        <v>7328</v>
      </c>
      <c r="G169" s="41" t="s">
        <v>987</v>
      </c>
      <c r="H169" s="41" t="s">
        <v>763</v>
      </c>
    </row>
    <row r="170" spans="1:8" ht="27.6" x14ac:dyDescent="0.3">
      <c r="A170" s="38" t="s">
        <v>53</v>
      </c>
      <c r="B170" s="38" t="s">
        <v>472</v>
      </c>
      <c r="C170" s="38" t="s">
        <v>985</v>
      </c>
      <c r="D170" s="39" t="s">
        <v>988</v>
      </c>
      <c r="E170" s="39" t="s">
        <v>1186</v>
      </c>
      <c r="F170" s="40">
        <v>104</v>
      </c>
      <c r="G170" s="41" t="s">
        <v>987</v>
      </c>
      <c r="H170" s="41" t="s">
        <v>763</v>
      </c>
    </row>
    <row r="171" spans="1:8" ht="27.6" x14ac:dyDescent="0.3">
      <c r="A171" s="38" t="s">
        <v>53</v>
      </c>
      <c r="B171" s="38" t="s">
        <v>472</v>
      </c>
      <c r="C171" s="38" t="s">
        <v>985</v>
      </c>
      <c r="D171" s="39" t="s">
        <v>537</v>
      </c>
      <c r="E171" s="39" t="s">
        <v>1209</v>
      </c>
      <c r="F171" s="40">
        <v>2800</v>
      </c>
      <c r="G171" s="41" t="s">
        <v>990</v>
      </c>
      <c r="H171" s="41" t="s">
        <v>640</v>
      </c>
    </row>
    <row r="172" spans="1:8" ht="27.6" x14ac:dyDescent="0.3">
      <c r="A172" s="38" t="s">
        <v>53</v>
      </c>
      <c r="B172" s="38" t="s">
        <v>472</v>
      </c>
      <c r="C172" s="38" t="s">
        <v>985</v>
      </c>
      <c r="D172" s="39" t="s">
        <v>537</v>
      </c>
      <c r="E172" s="39" t="s">
        <v>1237</v>
      </c>
      <c r="F172" s="40">
        <v>330</v>
      </c>
      <c r="G172" s="41" t="s">
        <v>992</v>
      </c>
      <c r="H172" s="41" t="s">
        <v>359</v>
      </c>
    </row>
    <row r="173" spans="1:8" ht="27.6" x14ac:dyDescent="0.3">
      <c r="A173" s="38" t="s">
        <v>53</v>
      </c>
      <c r="B173" s="38" t="s">
        <v>472</v>
      </c>
      <c r="C173" s="38" t="s">
        <v>985</v>
      </c>
      <c r="D173" s="39" t="s">
        <v>541</v>
      </c>
      <c r="E173" s="39" t="s">
        <v>1203</v>
      </c>
      <c r="F173" s="40">
        <v>7320</v>
      </c>
      <c r="G173" s="41" t="s">
        <v>994</v>
      </c>
      <c r="H173" s="41" t="s">
        <v>84</v>
      </c>
    </row>
    <row r="174" spans="1:8" x14ac:dyDescent="0.3">
      <c r="A174" s="38" t="s">
        <v>156</v>
      </c>
      <c r="B174" s="38" t="s">
        <v>472</v>
      </c>
      <c r="C174" s="38" t="s">
        <v>49</v>
      </c>
      <c r="D174" s="39" t="s">
        <v>7</v>
      </c>
      <c r="E174" s="39" t="s">
        <v>1206</v>
      </c>
      <c r="F174" s="40">
        <v>2145</v>
      </c>
      <c r="G174" s="41" t="s">
        <v>996</v>
      </c>
      <c r="H174" s="41" t="s">
        <v>90</v>
      </c>
    </row>
    <row r="175" spans="1:8" x14ac:dyDescent="0.3">
      <c r="A175" s="38" t="s">
        <v>156</v>
      </c>
      <c r="B175" s="38" t="s">
        <v>472</v>
      </c>
      <c r="C175" s="38" t="s">
        <v>49</v>
      </c>
      <c r="D175" s="39" t="s">
        <v>7</v>
      </c>
      <c r="E175" s="39" t="s">
        <v>1178</v>
      </c>
      <c r="F175" s="40">
        <v>1150</v>
      </c>
      <c r="G175" s="41" t="s">
        <v>998</v>
      </c>
      <c r="H175" s="41" t="s">
        <v>114</v>
      </c>
    </row>
    <row r="176" spans="1:8" ht="27.6" x14ac:dyDescent="0.3">
      <c r="A176" s="38" t="s">
        <v>156</v>
      </c>
      <c r="B176" s="38" t="s">
        <v>472</v>
      </c>
      <c r="C176" s="38" t="s">
        <v>158</v>
      </c>
      <c r="D176" s="39" t="s">
        <v>7</v>
      </c>
      <c r="E176" s="39" t="s">
        <v>1215</v>
      </c>
      <c r="F176" s="40">
        <v>2850</v>
      </c>
      <c r="G176" s="41" t="s">
        <v>1000</v>
      </c>
      <c r="H176" s="41" t="s">
        <v>456</v>
      </c>
    </row>
    <row r="177" spans="1:8" ht="27.6" x14ac:dyDescent="0.3">
      <c r="A177" s="38" t="s">
        <v>53</v>
      </c>
      <c r="B177" s="38" t="s">
        <v>477</v>
      </c>
      <c r="C177" s="38" t="s">
        <v>1001</v>
      </c>
      <c r="D177" s="39" t="s">
        <v>537</v>
      </c>
      <c r="E177" s="39" t="s">
        <v>1229</v>
      </c>
      <c r="F177" s="40">
        <v>12567</v>
      </c>
      <c r="G177" s="41" t="s">
        <v>1003</v>
      </c>
      <c r="H177" s="41" t="s">
        <v>377</v>
      </c>
    </row>
    <row r="178" spans="1:8" ht="27.6" x14ac:dyDescent="0.3">
      <c r="A178" s="38" t="s">
        <v>53</v>
      </c>
      <c r="B178" s="38" t="s">
        <v>477</v>
      </c>
      <c r="C178" s="38" t="s">
        <v>1004</v>
      </c>
      <c r="D178" s="39" t="s">
        <v>537</v>
      </c>
      <c r="E178" s="39" t="s">
        <v>1229</v>
      </c>
      <c r="F178" s="40">
        <v>3940</v>
      </c>
      <c r="G178" s="41" t="s">
        <v>1006</v>
      </c>
      <c r="H178" s="41" t="s">
        <v>377</v>
      </c>
    </row>
    <row r="179" spans="1:8" ht="41.4" x14ac:dyDescent="0.3">
      <c r="A179" s="38" t="s">
        <v>53</v>
      </c>
      <c r="B179" s="38" t="s">
        <v>477</v>
      </c>
      <c r="C179" s="38" t="s">
        <v>1007</v>
      </c>
      <c r="D179" s="39" t="s">
        <v>655</v>
      </c>
      <c r="E179" s="39" t="s">
        <v>1186</v>
      </c>
      <c r="F179" s="40">
        <v>4084</v>
      </c>
      <c r="G179" s="41" t="s">
        <v>1009</v>
      </c>
      <c r="H179" s="41" t="s">
        <v>763</v>
      </c>
    </row>
    <row r="180" spans="1:8" ht="41.4" x14ac:dyDescent="0.3">
      <c r="A180" s="38" t="s">
        <v>53</v>
      </c>
      <c r="B180" s="38" t="s">
        <v>477</v>
      </c>
      <c r="C180" s="38" t="s">
        <v>1007</v>
      </c>
      <c r="D180" s="39" t="s">
        <v>655</v>
      </c>
      <c r="E180" s="39" t="s">
        <v>1181</v>
      </c>
      <c r="F180" s="40">
        <v>4084</v>
      </c>
      <c r="G180" s="41" t="s">
        <v>1011</v>
      </c>
      <c r="H180" s="41" t="s">
        <v>832</v>
      </c>
    </row>
    <row r="181" spans="1:8" x14ac:dyDescent="0.3">
      <c r="A181" s="38" t="s">
        <v>156</v>
      </c>
      <c r="B181" s="38" t="s">
        <v>477</v>
      </c>
      <c r="C181" s="38" t="s">
        <v>158</v>
      </c>
      <c r="D181" s="39" t="s">
        <v>7</v>
      </c>
      <c r="E181" s="39" t="s">
        <v>1205</v>
      </c>
      <c r="F181" s="40">
        <v>1061</v>
      </c>
      <c r="G181" s="41" t="s">
        <v>1013</v>
      </c>
      <c r="H181" s="41" t="s">
        <v>109</v>
      </c>
    </row>
    <row r="182" spans="1:8" x14ac:dyDescent="0.3">
      <c r="A182" s="38" t="s">
        <v>156</v>
      </c>
      <c r="B182" s="38" t="s">
        <v>477</v>
      </c>
      <c r="C182" s="38" t="s">
        <v>158</v>
      </c>
      <c r="D182" s="39" t="s">
        <v>7</v>
      </c>
      <c r="E182" s="39" t="s">
        <v>1231</v>
      </c>
      <c r="F182" s="40">
        <v>4320</v>
      </c>
      <c r="G182" s="41" t="s">
        <v>1015</v>
      </c>
      <c r="H182" s="41" t="s">
        <v>126</v>
      </c>
    </row>
    <row r="183" spans="1:8" ht="27.6" x14ac:dyDescent="0.3">
      <c r="A183" s="38" t="s">
        <v>53</v>
      </c>
      <c r="B183" s="38" t="s">
        <v>508</v>
      </c>
      <c r="C183" s="38" t="s">
        <v>1016</v>
      </c>
      <c r="D183" s="39" t="s">
        <v>1017</v>
      </c>
      <c r="E183" s="39" t="s">
        <v>1229</v>
      </c>
      <c r="F183" s="40">
        <v>12600</v>
      </c>
      <c r="G183" s="41" t="s">
        <v>1019</v>
      </c>
      <c r="H183" s="41" t="s">
        <v>725</v>
      </c>
    </row>
    <row r="184" spans="1:8" ht="27.6" x14ac:dyDescent="0.3">
      <c r="A184" s="38" t="s">
        <v>53</v>
      </c>
      <c r="B184" s="38" t="s">
        <v>508</v>
      </c>
      <c r="C184" s="38" t="s">
        <v>1020</v>
      </c>
      <c r="D184" s="39" t="s">
        <v>571</v>
      </c>
      <c r="E184" s="39" t="s">
        <v>1211</v>
      </c>
      <c r="F184" s="40">
        <v>616</v>
      </c>
      <c r="G184" s="41" t="s">
        <v>590</v>
      </c>
      <c r="H184" s="41" t="s">
        <v>574</v>
      </c>
    </row>
    <row r="185" spans="1:8" ht="27.6" x14ac:dyDescent="0.3">
      <c r="A185" s="38" t="s">
        <v>53</v>
      </c>
      <c r="B185" s="38" t="s">
        <v>508</v>
      </c>
      <c r="C185" s="38" t="s">
        <v>1020</v>
      </c>
      <c r="D185" s="39" t="s">
        <v>556</v>
      </c>
      <c r="E185" s="39" t="s">
        <v>1215</v>
      </c>
      <c r="F185" s="40">
        <v>3320</v>
      </c>
      <c r="G185" s="41" t="s">
        <v>1023</v>
      </c>
      <c r="H185" s="41" t="s">
        <v>456</v>
      </c>
    </row>
    <row r="186" spans="1:8" ht="27.6" x14ac:dyDescent="0.3">
      <c r="A186" s="38" t="s">
        <v>53</v>
      </c>
      <c r="B186" s="38" t="s">
        <v>508</v>
      </c>
      <c r="C186" s="38" t="s">
        <v>1024</v>
      </c>
      <c r="D186" s="39" t="s">
        <v>675</v>
      </c>
      <c r="E186" s="39" t="s">
        <v>1203</v>
      </c>
      <c r="F186" s="40">
        <v>15960</v>
      </c>
      <c r="G186" s="41" t="s">
        <v>1026</v>
      </c>
      <c r="H186" s="41" t="s">
        <v>84</v>
      </c>
    </row>
    <row r="187" spans="1:8" x14ac:dyDescent="0.3">
      <c r="A187" s="38" t="s">
        <v>53</v>
      </c>
      <c r="B187" s="38" t="s">
        <v>508</v>
      </c>
      <c r="C187" s="38" t="s">
        <v>1027</v>
      </c>
      <c r="D187" s="39" t="s">
        <v>584</v>
      </c>
      <c r="E187" s="39" t="s">
        <v>1206</v>
      </c>
      <c r="F187" s="40">
        <v>4796</v>
      </c>
      <c r="G187" s="41" t="s">
        <v>1029</v>
      </c>
      <c r="H187" s="41" t="s">
        <v>90</v>
      </c>
    </row>
    <row r="188" spans="1:8" ht="27.6" x14ac:dyDescent="0.3">
      <c r="A188" s="38" t="s">
        <v>156</v>
      </c>
      <c r="B188" s="38" t="s">
        <v>508</v>
      </c>
      <c r="C188" s="38" t="s">
        <v>158</v>
      </c>
      <c r="D188" s="39" t="s">
        <v>7</v>
      </c>
      <c r="E188" s="39" t="s">
        <v>1211</v>
      </c>
      <c r="F188" s="40">
        <v>969</v>
      </c>
      <c r="G188" s="41" t="s">
        <v>1031</v>
      </c>
      <c r="H188" s="41" t="s">
        <v>574</v>
      </c>
    </row>
    <row r="189" spans="1:8" ht="27.6" x14ac:dyDescent="0.3">
      <c r="A189" s="38" t="s">
        <v>156</v>
      </c>
      <c r="B189" s="38" t="s">
        <v>508</v>
      </c>
      <c r="C189" s="38" t="s">
        <v>158</v>
      </c>
      <c r="D189" s="39" t="s">
        <v>7</v>
      </c>
      <c r="E189" s="39" t="s">
        <v>1211</v>
      </c>
      <c r="F189" s="40">
        <v>9759</v>
      </c>
      <c r="G189" s="41" t="s">
        <v>1033</v>
      </c>
      <c r="H189" s="41" t="s">
        <v>574</v>
      </c>
    </row>
    <row r="190" spans="1:8" x14ac:dyDescent="0.3">
      <c r="A190" s="38" t="s">
        <v>156</v>
      </c>
      <c r="B190" s="38" t="s">
        <v>508</v>
      </c>
      <c r="C190" s="38" t="s">
        <v>158</v>
      </c>
      <c r="D190" s="39" t="s">
        <v>7</v>
      </c>
      <c r="E190" s="39" t="s">
        <v>1223</v>
      </c>
      <c r="F190" s="40">
        <v>24000</v>
      </c>
      <c r="G190" s="41" t="s">
        <v>1035</v>
      </c>
      <c r="H190" s="41" t="s">
        <v>200</v>
      </c>
    </row>
    <row r="191" spans="1:8" ht="27.6" x14ac:dyDescent="0.3">
      <c r="A191" s="38" t="s">
        <v>156</v>
      </c>
      <c r="B191" s="38" t="s">
        <v>508</v>
      </c>
      <c r="C191" s="38" t="s">
        <v>158</v>
      </c>
      <c r="D191" s="39" t="s">
        <v>7</v>
      </c>
      <c r="E191" s="39" t="s">
        <v>1190</v>
      </c>
      <c r="F191" s="40">
        <v>46</v>
      </c>
      <c r="G191" s="41" t="s">
        <v>1037</v>
      </c>
      <c r="H191" s="41" t="s">
        <v>687</v>
      </c>
    </row>
    <row r="192" spans="1:8" ht="41.4" x14ac:dyDescent="0.3">
      <c r="A192" s="38" t="s">
        <v>53</v>
      </c>
      <c r="B192" s="38" t="s">
        <v>524</v>
      </c>
      <c r="C192" s="38" t="s">
        <v>1038</v>
      </c>
      <c r="D192" s="39" t="s">
        <v>537</v>
      </c>
      <c r="E192" s="39" t="s">
        <v>1185</v>
      </c>
      <c r="F192" s="40">
        <v>44751</v>
      </c>
      <c r="G192" s="41" t="s">
        <v>1040</v>
      </c>
      <c r="H192" s="41" t="s">
        <v>161</v>
      </c>
    </row>
    <row r="193" spans="1:8" ht="27.6" x14ac:dyDescent="0.3">
      <c r="A193" s="38" t="s">
        <v>53</v>
      </c>
      <c r="B193" s="38" t="s">
        <v>524</v>
      </c>
      <c r="C193" s="38" t="s">
        <v>1041</v>
      </c>
      <c r="D193" s="39" t="s">
        <v>537</v>
      </c>
      <c r="E193" s="39" t="s">
        <v>1237</v>
      </c>
      <c r="F193" s="40">
        <v>220</v>
      </c>
      <c r="G193" s="41" t="s">
        <v>1043</v>
      </c>
      <c r="H193" s="41" t="s">
        <v>359</v>
      </c>
    </row>
    <row r="194" spans="1:8" x14ac:dyDescent="0.3">
      <c r="A194" s="38" t="s">
        <v>53</v>
      </c>
      <c r="B194" s="38" t="s">
        <v>524</v>
      </c>
      <c r="C194" s="38" t="s">
        <v>1041</v>
      </c>
      <c r="D194" s="39" t="s">
        <v>541</v>
      </c>
      <c r="E194" s="39" t="s">
        <v>1206</v>
      </c>
      <c r="F194" s="40">
        <v>1680</v>
      </c>
      <c r="G194" s="41" t="s">
        <v>1045</v>
      </c>
      <c r="H194" s="41" t="s">
        <v>90</v>
      </c>
    </row>
    <row r="195" spans="1:8" ht="27.6" x14ac:dyDescent="0.3">
      <c r="A195" s="38" t="s">
        <v>53</v>
      </c>
      <c r="B195" s="38" t="s">
        <v>524</v>
      </c>
      <c r="C195" s="38" t="s">
        <v>1046</v>
      </c>
      <c r="D195" s="39" t="s">
        <v>537</v>
      </c>
      <c r="E195" s="39" t="s">
        <v>1237</v>
      </c>
      <c r="F195" s="40">
        <v>6059</v>
      </c>
      <c r="G195" s="41" t="s">
        <v>1048</v>
      </c>
      <c r="H195" s="41" t="s">
        <v>359</v>
      </c>
    </row>
    <row r="196" spans="1:8" ht="27.6" x14ac:dyDescent="0.3">
      <c r="A196" s="38" t="s">
        <v>53</v>
      </c>
      <c r="B196" s="38" t="s">
        <v>524</v>
      </c>
      <c r="C196" s="38" t="s">
        <v>1049</v>
      </c>
      <c r="D196" s="39" t="s">
        <v>623</v>
      </c>
      <c r="E196" s="39" t="s">
        <v>1190</v>
      </c>
      <c r="F196" s="40">
        <v>4950</v>
      </c>
      <c r="G196" s="41" t="s">
        <v>1051</v>
      </c>
      <c r="H196" s="41" t="s">
        <v>687</v>
      </c>
    </row>
    <row r="197" spans="1:8" ht="27.6" x14ac:dyDescent="0.3">
      <c r="A197" s="38" t="s">
        <v>53</v>
      </c>
      <c r="B197" s="38" t="s">
        <v>524</v>
      </c>
      <c r="C197" s="38" t="s">
        <v>1049</v>
      </c>
      <c r="D197" s="39" t="s">
        <v>537</v>
      </c>
      <c r="E197" s="39" t="s">
        <v>1178</v>
      </c>
      <c r="F197" s="40">
        <v>1300</v>
      </c>
      <c r="G197" s="41" t="s">
        <v>1053</v>
      </c>
      <c r="H197" s="41" t="s">
        <v>114</v>
      </c>
    </row>
    <row r="198" spans="1:8" x14ac:dyDescent="0.3">
      <c r="A198" s="38" t="s">
        <v>53</v>
      </c>
      <c r="B198" s="38" t="s">
        <v>524</v>
      </c>
      <c r="C198" s="38" t="s">
        <v>1054</v>
      </c>
      <c r="D198" s="39" t="s">
        <v>623</v>
      </c>
      <c r="E198" s="39" t="s">
        <v>1217</v>
      </c>
      <c r="F198" s="40">
        <v>1215</v>
      </c>
      <c r="G198" s="41" t="s">
        <v>1056</v>
      </c>
      <c r="H198" s="41" t="s">
        <v>496</v>
      </c>
    </row>
    <row r="199" spans="1:8" x14ac:dyDescent="0.3">
      <c r="A199" s="38" t="s">
        <v>53</v>
      </c>
      <c r="B199" s="38" t="s">
        <v>524</v>
      </c>
      <c r="C199" s="38" t="s">
        <v>1054</v>
      </c>
      <c r="D199" s="39" t="s">
        <v>623</v>
      </c>
      <c r="E199" s="39" t="s">
        <v>1217</v>
      </c>
      <c r="F199" s="40">
        <v>208</v>
      </c>
      <c r="G199" s="41" t="s">
        <v>1058</v>
      </c>
      <c r="H199" s="41" t="s">
        <v>496</v>
      </c>
    </row>
    <row r="200" spans="1:8" x14ac:dyDescent="0.3">
      <c r="A200" s="38" t="s">
        <v>53</v>
      </c>
      <c r="B200" s="38" t="s">
        <v>524</v>
      </c>
      <c r="C200" s="38" t="s">
        <v>1054</v>
      </c>
      <c r="D200" s="39" t="s">
        <v>623</v>
      </c>
      <c r="E200" s="39" t="s">
        <v>1217</v>
      </c>
      <c r="F200" s="40">
        <v>300</v>
      </c>
      <c r="G200" s="41" t="s">
        <v>1060</v>
      </c>
      <c r="H200" s="41" t="s">
        <v>496</v>
      </c>
    </row>
    <row r="201" spans="1:8" x14ac:dyDescent="0.3">
      <c r="A201" s="38" t="s">
        <v>53</v>
      </c>
      <c r="B201" s="38" t="s">
        <v>524</v>
      </c>
      <c r="C201" s="38" t="s">
        <v>1054</v>
      </c>
      <c r="D201" s="39" t="s">
        <v>623</v>
      </c>
      <c r="E201" s="39" t="s">
        <v>1217</v>
      </c>
      <c r="F201" s="40">
        <v>170</v>
      </c>
      <c r="G201" s="41" t="s">
        <v>1062</v>
      </c>
      <c r="H201" s="41" t="s">
        <v>496</v>
      </c>
    </row>
    <row r="202" spans="1:8" ht="27.6" x14ac:dyDescent="0.3">
      <c r="A202" s="38" t="s">
        <v>53</v>
      </c>
      <c r="B202" s="38" t="s">
        <v>524</v>
      </c>
      <c r="C202" s="38" t="s">
        <v>1054</v>
      </c>
      <c r="D202" s="39" t="s">
        <v>623</v>
      </c>
      <c r="E202" s="39" t="s">
        <v>1217</v>
      </c>
      <c r="F202" s="40">
        <v>4104</v>
      </c>
      <c r="G202" s="41" t="s">
        <v>1064</v>
      </c>
      <c r="H202" s="41" t="s">
        <v>496</v>
      </c>
    </row>
    <row r="203" spans="1:8" x14ac:dyDescent="0.3">
      <c r="A203" s="38" t="s">
        <v>53</v>
      </c>
      <c r="B203" s="38" t="s">
        <v>524</v>
      </c>
      <c r="C203" s="38" t="s">
        <v>1054</v>
      </c>
      <c r="D203" s="39" t="s">
        <v>623</v>
      </c>
      <c r="E203" s="39" t="s">
        <v>1217</v>
      </c>
      <c r="F203" s="40">
        <v>1610</v>
      </c>
      <c r="G203" s="41" t="s">
        <v>1056</v>
      </c>
      <c r="H203" s="41" t="s">
        <v>496</v>
      </c>
    </row>
    <row r="204" spans="1:8" ht="27.6" x14ac:dyDescent="0.3">
      <c r="A204" s="38" t="s">
        <v>53</v>
      </c>
      <c r="B204" s="38" t="s">
        <v>524</v>
      </c>
      <c r="C204" s="38" t="s">
        <v>1066</v>
      </c>
      <c r="D204" s="39" t="s">
        <v>537</v>
      </c>
      <c r="E204" s="39" t="s">
        <v>1235</v>
      </c>
      <c r="F204" s="40">
        <v>1488</v>
      </c>
      <c r="G204" s="41" t="s">
        <v>1068</v>
      </c>
      <c r="H204" s="41" t="s">
        <v>364</v>
      </c>
    </row>
    <row r="205" spans="1:8" ht="41.4" x14ac:dyDescent="0.3">
      <c r="A205" s="38" t="s">
        <v>53</v>
      </c>
      <c r="B205" s="38" t="s">
        <v>524</v>
      </c>
      <c r="C205" s="38" t="s">
        <v>1069</v>
      </c>
      <c r="D205" s="39" t="s">
        <v>655</v>
      </c>
      <c r="E205" s="39" t="s">
        <v>1190</v>
      </c>
      <c r="F205" s="40">
        <v>2042</v>
      </c>
      <c r="G205" s="41" t="s">
        <v>1071</v>
      </c>
      <c r="H205" s="41" t="s">
        <v>687</v>
      </c>
    </row>
    <row r="206" spans="1:8" x14ac:dyDescent="0.3">
      <c r="A206" s="38" t="s">
        <v>156</v>
      </c>
      <c r="B206" s="38" t="s">
        <v>524</v>
      </c>
      <c r="C206" s="38" t="s">
        <v>158</v>
      </c>
      <c r="D206" s="39" t="s">
        <v>7</v>
      </c>
      <c r="E206" s="39" t="s">
        <v>1205</v>
      </c>
      <c r="F206" s="40">
        <v>3619</v>
      </c>
      <c r="G206" s="41" t="s">
        <v>1073</v>
      </c>
      <c r="H206" s="41" t="s">
        <v>109</v>
      </c>
    </row>
    <row r="207" spans="1:8" x14ac:dyDescent="0.3">
      <c r="A207" s="38" t="s">
        <v>156</v>
      </c>
      <c r="B207" s="38" t="s">
        <v>524</v>
      </c>
      <c r="C207" s="38" t="s">
        <v>158</v>
      </c>
      <c r="D207" s="39" t="s">
        <v>7</v>
      </c>
      <c r="E207" s="39" t="s">
        <v>1206</v>
      </c>
      <c r="F207" s="40">
        <v>2760</v>
      </c>
      <c r="G207" s="41" t="s">
        <v>1075</v>
      </c>
      <c r="H207" s="41" t="s">
        <v>90</v>
      </c>
    </row>
    <row r="208" spans="1:8" x14ac:dyDescent="0.3">
      <c r="A208" s="38" t="s">
        <v>156</v>
      </c>
      <c r="B208" s="38" t="s">
        <v>524</v>
      </c>
      <c r="C208" s="38" t="s">
        <v>158</v>
      </c>
      <c r="D208" s="39" t="s">
        <v>7</v>
      </c>
      <c r="E208" s="39" t="s">
        <v>1225</v>
      </c>
      <c r="F208" s="40">
        <v>1390</v>
      </c>
      <c r="G208" s="41" t="s">
        <v>1077</v>
      </c>
      <c r="H208" s="41" t="s">
        <v>1078</v>
      </c>
    </row>
    <row r="209" spans="1:8" ht="27.6" x14ac:dyDescent="0.3">
      <c r="A209" s="38" t="s">
        <v>156</v>
      </c>
      <c r="B209" s="38" t="s">
        <v>524</v>
      </c>
      <c r="C209" s="38" t="s">
        <v>158</v>
      </c>
      <c r="D209" s="39" t="s">
        <v>7</v>
      </c>
      <c r="E209" s="39" t="s">
        <v>1179</v>
      </c>
      <c r="F209" s="40">
        <v>3302</v>
      </c>
      <c r="G209" s="41" t="s">
        <v>1080</v>
      </c>
      <c r="H209" s="41" t="s">
        <v>347</v>
      </c>
    </row>
    <row r="210" spans="1:8" x14ac:dyDescent="0.3">
      <c r="A210" s="38" t="s">
        <v>156</v>
      </c>
      <c r="B210" s="38" t="s">
        <v>531</v>
      </c>
      <c r="C210" s="38" t="s">
        <v>158</v>
      </c>
      <c r="D210" s="39" t="s">
        <v>7</v>
      </c>
      <c r="E210" s="39" t="s">
        <v>1205</v>
      </c>
      <c r="F210" s="40">
        <v>1931</v>
      </c>
      <c r="G210" s="41" t="s">
        <v>1082</v>
      </c>
      <c r="H210" s="41" t="s">
        <v>109</v>
      </c>
    </row>
    <row r="211" spans="1:8" x14ac:dyDescent="0.3">
      <c r="A211" s="38" t="s">
        <v>156</v>
      </c>
      <c r="B211" s="38" t="s">
        <v>531</v>
      </c>
      <c r="C211" s="38" t="s">
        <v>158</v>
      </c>
      <c r="D211" s="39" t="s">
        <v>7</v>
      </c>
      <c r="E211" s="39" t="s">
        <v>1205</v>
      </c>
      <c r="F211" s="40">
        <v>2148</v>
      </c>
      <c r="G211" s="41" t="s">
        <v>1084</v>
      </c>
      <c r="H211" s="41" t="s">
        <v>109</v>
      </c>
    </row>
    <row r="212" spans="1:8" x14ac:dyDescent="0.3">
      <c r="A212" s="38" t="s">
        <v>156</v>
      </c>
      <c r="B212" s="38" t="s">
        <v>531</v>
      </c>
      <c r="C212" s="38" t="s">
        <v>158</v>
      </c>
      <c r="D212" s="39" t="s">
        <v>7</v>
      </c>
      <c r="E212" s="39" t="s">
        <v>1205</v>
      </c>
      <c r="F212" s="40">
        <v>4850</v>
      </c>
      <c r="G212" s="41" t="s">
        <v>1086</v>
      </c>
      <c r="H212" s="41" t="s">
        <v>109</v>
      </c>
    </row>
    <row r="213" spans="1:8" ht="27.6" x14ac:dyDescent="0.3">
      <c r="A213" s="38" t="s">
        <v>156</v>
      </c>
      <c r="B213" s="38" t="s">
        <v>531</v>
      </c>
      <c r="C213" s="38" t="s">
        <v>158</v>
      </c>
      <c r="D213" s="39" t="s">
        <v>7</v>
      </c>
      <c r="E213" s="39" t="s">
        <v>1196</v>
      </c>
      <c r="F213" s="40">
        <v>1957</v>
      </c>
      <c r="G213" s="41" t="s">
        <v>1088</v>
      </c>
      <c r="H213" s="41" t="s">
        <v>155</v>
      </c>
    </row>
    <row r="214" spans="1:8" ht="27.6" x14ac:dyDescent="0.3">
      <c r="A214" s="38" t="s">
        <v>156</v>
      </c>
      <c r="B214" s="38" t="s">
        <v>531</v>
      </c>
      <c r="C214" s="38" t="s">
        <v>158</v>
      </c>
      <c r="D214" s="39" t="s">
        <v>7</v>
      </c>
      <c r="E214" s="39" t="s">
        <v>1190</v>
      </c>
      <c r="F214" s="40">
        <v>4084</v>
      </c>
      <c r="G214" s="41" t="s">
        <v>1090</v>
      </c>
      <c r="H214" s="41" t="s">
        <v>687</v>
      </c>
    </row>
    <row r="215" spans="1:8" ht="27.6" x14ac:dyDescent="0.3">
      <c r="A215" s="38" t="s">
        <v>156</v>
      </c>
      <c r="B215" s="38" t="s">
        <v>531</v>
      </c>
      <c r="C215" s="38" t="s">
        <v>158</v>
      </c>
      <c r="D215" s="39" t="s">
        <v>7</v>
      </c>
      <c r="E215" s="39" t="s">
        <v>1190</v>
      </c>
      <c r="F215" s="40">
        <v>298</v>
      </c>
      <c r="G215" s="41" t="s">
        <v>1092</v>
      </c>
      <c r="H215" s="41" t="s">
        <v>687</v>
      </c>
    </row>
    <row r="216" spans="1:8" ht="27.6" x14ac:dyDescent="0.3">
      <c r="A216" s="38" t="s">
        <v>156</v>
      </c>
      <c r="B216" s="38" t="s">
        <v>1093</v>
      </c>
      <c r="C216" s="38" t="s">
        <v>158</v>
      </c>
      <c r="D216" s="39" t="s">
        <v>7</v>
      </c>
      <c r="E216" s="39" t="s">
        <v>1206</v>
      </c>
      <c r="F216" s="40">
        <v>2600</v>
      </c>
      <c r="G216" s="41" t="s">
        <v>1095</v>
      </c>
      <c r="H216" s="41" t="s">
        <v>90</v>
      </c>
    </row>
    <row r="217" spans="1:8" x14ac:dyDescent="0.3">
      <c r="A217" s="38" t="s">
        <v>156</v>
      </c>
      <c r="B217" s="38" t="s">
        <v>1093</v>
      </c>
      <c r="C217" s="38" t="s">
        <v>158</v>
      </c>
      <c r="D217" s="39" t="s">
        <v>7</v>
      </c>
      <c r="E217" s="39" t="s">
        <v>1206</v>
      </c>
      <c r="F217" s="40">
        <v>3760</v>
      </c>
      <c r="G217" s="41" t="s">
        <v>1097</v>
      </c>
      <c r="H217" s="41" t="s">
        <v>90</v>
      </c>
    </row>
    <row r="218" spans="1:8" x14ac:dyDescent="0.3">
      <c r="A218" s="38" t="s">
        <v>156</v>
      </c>
      <c r="B218" s="38" t="s">
        <v>1093</v>
      </c>
      <c r="C218" s="38" t="s">
        <v>158</v>
      </c>
      <c r="D218" s="39" t="s">
        <v>7</v>
      </c>
      <c r="E218" s="39" t="s">
        <v>1225</v>
      </c>
      <c r="F218" s="40">
        <v>17070</v>
      </c>
      <c r="G218" s="41" t="s">
        <v>1099</v>
      </c>
      <c r="H218" s="41" t="s">
        <v>1078</v>
      </c>
    </row>
  </sheetData>
  <autoFilter ref="A1:H218" xr:uid="{64719702-00B4-411E-A8DE-2534EA4CD54D}"/>
  <phoneticPr fontId="5" type="noConversion"/>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ED680-6B51-4AA5-90DD-271AF80BCFA2}">
  <dimension ref="A1:K13"/>
  <sheetViews>
    <sheetView workbookViewId="0">
      <selection activeCell="J5" sqref="J5:K5"/>
      <pivotSelection pane="bottomRight" showHeader="1" extendable="1" start="8" max="10" activeRow="9" activeCol="9" click="1" r:id="rId1">
        <pivotArea dataOnly="0" fieldPosition="0">
          <references count="1">
            <reference field="4" count="1">
              <x v="8"/>
            </reference>
          </references>
        </pivotArea>
      </pivotSelection>
    </sheetView>
  </sheetViews>
  <sheetFormatPr defaultRowHeight="16.2" x14ac:dyDescent="0.3"/>
  <cols>
    <col min="4" max="4" width="17.44140625" customWidth="1"/>
    <col min="5" max="5" width="13" style="1" customWidth="1"/>
    <col min="7" max="7" width="72.5546875" customWidth="1"/>
    <col min="8" max="8" width="12.109375" customWidth="1"/>
    <col min="10" max="10" width="10.77734375" bestFit="1" customWidth="1"/>
    <col min="11" max="11" width="13.33203125" bestFit="1" customWidth="1"/>
  </cols>
  <sheetData>
    <row r="1" spans="1:11" x14ac:dyDescent="0.3">
      <c r="A1" s="34" t="s">
        <v>16</v>
      </c>
      <c r="B1" s="34" t="s">
        <v>35</v>
      </c>
      <c r="C1" s="34" t="s">
        <v>36</v>
      </c>
      <c r="D1" s="35" t="s">
        <v>37</v>
      </c>
      <c r="E1" s="35" t="s">
        <v>1177</v>
      </c>
      <c r="F1" s="36" t="s">
        <v>39</v>
      </c>
      <c r="G1" s="36" t="s">
        <v>40</v>
      </c>
      <c r="H1" s="36" t="s">
        <v>41</v>
      </c>
      <c r="J1" s="46" t="s">
        <v>1238</v>
      </c>
      <c r="K1" t="s">
        <v>1240</v>
      </c>
    </row>
    <row r="2" spans="1:11" ht="41.4" x14ac:dyDescent="0.3">
      <c r="A2" s="38" t="s">
        <v>53</v>
      </c>
      <c r="B2" s="42" t="s">
        <v>176</v>
      </c>
      <c r="C2" s="42" t="s">
        <v>1101</v>
      </c>
      <c r="D2" s="43" t="s">
        <v>1102</v>
      </c>
      <c r="E2" s="43" t="s">
        <v>1192</v>
      </c>
      <c r="F2" s="44">
        <v>15000</v>
      </c>
      <c r="G2" s="45" t="s">
        <v>1104</v>
      </c>
      <c r="H2" s="45" t="s">
        <v>1105</v>
      </c>
      <c r="J2" s="47" t="s">
        <v>114</v>
      </c>
      <c r="K2" s="1">
        <v>88800</v>
      </c>
    </row>
    <row r="3" spans="1:11" ht="27.6" x14ac:dyDescent="0.3">
      <c r="A3" s="38" t="s">
        <v>53</v>
      </c>
      <c r="B3" s="42" t="s">
        <v>184</v>
      </c>
      <c r="C3" s="42" t="s">
        <v>1106</v>
      </c>
      <c r="D3" s="43" t="s">
        <v>1102</v>
      </c>
      <c r="E3" s="43" t="s">
        <v>1194</v>
      </c>
      <c r="F3" s="44">
        <v>41120</v>
      </c>
      <c r="G3" s="45" t="s">
        <v>1108</v>
      </c>
      <c r="H3" s="45" t="s">
        <v>881</v>
      </c>
      <c r="J3" s="47" t="s">
        <v>1198</v>
      </c>
      <c r="K3" s="1">
        <v>24050</v>
      </c>
    </row>
    <row r="4" spans="1:11" ht="27.6" x14ac:dyDescent="0.3">
      <c r="A4" s="38" t="s">
        <v>156</v>
      </c>
      <c r="B4" s="42" t="s">
        <v>236</v>
      </c>
      <c r="C4" s="42" t="s">
        <v>49</v>
      </c>
      <c r="D4" s="43" t="s">
        <v>7</v>
      </c>
      <c r="E4" s="43" t="s">
        <v>1194</v>
      </c>
      <c r="F4" s="44">
        <v>18186</v>
      </c>
      <c r="G4" s="45" t="s">
        <v>1110</v>
      </c>
      <c r="H4" s="45" t="s">
        <v>881</v>
      </c>
      <c r="J4" s="47" t="s">
        <v>1193</v>
      </c>
      <c r="K4" s="1">
        <v>41120</v>
      </c>
    </row>
    <row r="5" spans="1:11" ht="41.4" x14ac:dyDescent="0.3">
      <c r="A5" s="38" t="s">
        <v>156</v>
      </c>
      <c r="B5" s="42" t="s">
        <v>236</v>
      </c>
      <c r="C5" s="42" t="s">
        <v>49</v>
      </c>
      <c r="D5" s="43" t="s">
        <v>7</v>
      </c>
      <c r="E5" s="43" t="s">
        <v>1183</v>
      </c>
      <c r="F5" s="44">
        <v>51800</v>
      </c>
      <c r="G5" s="45" t="s">
        <v>1112</v>
      </c>
      <c r="H5" s="45" t="s">
        <v>354</v>
      </c>
      <c r="J5" s="47" t="s">
        <v>1191</v>
      </c>
      <c r="K5" s="1">
        <v>30000</v>
      </c>
    </row>
    <row r="6" spans="1:11" ht="55.2" x14ac:dyDescent="0.3">
      <c r="A6" s="38" t="s">
        <v>156</v>
      </c>
      <c r="B6" s="42" t="s">
        <v>247</v>
      </c>
      <c r="C6" s="42" t="s">
        <v>49</v>
      </c>
      <c r="D6" s="43" t="s">
        <v>7</v>
      </c>
      <c r="E6" s="43" t="s">
        <v>1196</v>
      </c>
      <c r="F6" s="44">
        <v>20000</v>
      </c>
      <c r="G6" s="45" t="s">
        <v>1114</v>
      </c>
      <c r="H6" s="45" t="s">
        <v>155</v>
      </c>
      <c r="J6" s="47" t="s">
        <v>1239</v>
      </c>
      <c r="K6" s="1">
        <v>183970</v>
      </c>
    </row>
    <row r="7" spans="1:11" ht="69" x14ac:dyDescent="0.3">
      <c r="A7" s="38" t="s">
        <v>156</v>
      </c>
      <c r="B7" s="42" t="s">
        <v>269</v>
      </c>
      <c r="C7" s="42" t="s">
        <v>158</v>
      </c>
      <c r="D7" s="43" t="s">
        <v>7</v>
      </c>
      <c r="E7" s="43" t="s">
        <v>1192</v>
      </c>
      <c r="F7" s="44">
        <v>15000</v>
      </c>
      <c r="G7" s="45" t="s">
        <v>1116</v>
      </c>
      <c r="H7" s="45" t="s">
        <v>145</v>
      </c>
    </row>
    <row r="8" spans="1:11" ht="27.6" x14ac:dyDescent="0.3">
      <c r="A8" s="38" t="s">
        <v>156</v>
      </c>
      <c r="B8" s="42" t="s">
        <v>322</v>
      </c>
      <c r="C8" s="42" t="s">
        <v>49</v>
      </c>
      <c r="D8" s="43" t="s">
        <v>7</v>
      </c>
      <c r="E8" s="43" t="s">
        <v>1197</v>
      </c>
      <c r="F8" s="44">
        <v>14000</v>
      </c>
      <c r="G8" s="45" t="s">
        <v>1118</v>
      </c>
      <c r="H8" s="45" t="s">
        <v>1119</v>
      </c>
    </row>
    <row r="9" spans="1:11" ht="27.6" x14ac:dyDescent="0.3">
      <c r="A9" s="38" t="s">
        <v>53</v>
      </c>
      <c r="B9" s="42" t="s">
        <v>355</v>
      </c>
      <c r="C9" s="42" t="s">
        <v>1120</v>
      </c>
      <c r="D9" s="43" t="s">
        <v>1121</v>
      </c>
      <c r="E9" s="43" t="s">
        <v>1178</v>
      </c>
      <c r="F9" s="44">
        <v>88800</v>
      </c>
      <c r="G9" s="45" t="s">
        <v>1123</v>
      </c>
      <c r="H9" s="45" t="s">
        <v>114</v>
      </c>
    </row>
    <row r="10" spans="1:11" ht="69" x14ac:dyDescent="0.3">
      <c r="A10" s="38" t="s">
        <v>53</v>
      </c>
      <c r="B10" s="42" t="s">
        <v>420</v>
      </c>
      <c r="C10" s="42" t="s">
        <v>1124</v>
      </c>
      <c r="D10" s="43" t="s">
        <v>1125</v>
      </c>
      <c r="E10" s="43" t="s">
        <v>1199</v>
      </c>
      <c r="F10" s="44">
        <v>24050</v>
      </c>
      <c r="G10" s="45" t="s">
        <v>1127</v>
      </c>
      <c r="H10" s="45" t="s">
        <v>72</v>
      </c>
    </row>
    <row r="11" spans="1:11" ht="27.6" x14ac:dyDescent="0.3">
      <c r="A11" s="38" t="s">
        <v>156</v>
      </c>
      <c r="B11" s="42" t="s">
        <v>457</v>
      </c>
      <c r="C11" s="42" t="s">
        <v>158</v>
      </c>
      <c r="D11" s="43" t="s">
        <v>7</v>
      </c>
      <c r="E11" s="43" t="s">
        <v>1201</v>
      </c>
      <c r="F11" s="44">
        <v>10000</v>
      </c>
      <c r="G11" s="45" t="s">
        <v>1129</v>
      </c>
      <c r="H11" s="45" t="s">
        <v>141</v>
      </c>
    </row>
    <row r="12" spans="1:11" ht="27.6" x14ac:dyDescent="0.3">
      <c r="A12" s="38" t="s">
        <v>156</v>
      </c>
      <c r="B12" s="42" t="s">
        <v>1093</v>
      </c>
      <c r="C12" s="42" t="s">
        <v>158</v>
      </c>
      <c r="D12" s="43" t="s">
        <v>7</v>
      </c>
      <c r="E12" s="43" t="s">
        <v>1203</v>
      </c>
      <c r="F12" s="44">
        <v>27405</v>
      </c>
      <c r="G12" s="45" t="s">
        <v>1131</v>
      </c>
      <c r="H12" s="45" t="s">
        <v>1132</v>
      </c>
    </row>
    <row r="13" spans="1:11" ht="55.2" x14ac:dyDescent="0.3">
      <c r="A13" s="38" t="s">
        <v>53</v>
      </c>
      <c r="B13" s="42" t="s">
        <v>1133</v>
      </c>
      <c r="C13" s="42" t="s">
        <v>1134</v>
      </c>
      <c r="D13" s="43" t="s">
        <v>1102</v>
      </c>
      <c r="E13" s="43" t="s">
        <v>1192</v>
      </c>
      <c r="F13" s="44">
        <v>15000</v>
      </c>
      <c r="G13" s="45" t="s">
        <v>1136</v>
      </c>
      <c r="H13" s="45" t="s">
        <v>1137</v>
      </c>
    </row>
  </sheetData>
  <phoneticPr fontId="5" type="noConversion"/>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C75A2-F979-4C9C-AFDA-3E534AED3E36}">
  <dimension ref="A1:K14"/>
  <sheetViews>
    <sheetView workbookViewId="0">
      <selection activeCell="J1" sqref="J1"/>
    </sheetView>
  </sheetViews>
  <sheetFormatPr defaultRowHeight="16.2" x14ac:dyDescent="0.3"/>
  <cols>
    <col min="4" max="4" width="19.77734375" customWidth="1"/>
    <col min="5" max="5" width="16.109375" style="1" customWidth="1"/>
    <col min="7" max="7" width="61.5546875" customWidth="1"/>
    <col min="8" max="8" width="12.21875" customWidth="1"/>
    <col min="10" max="10" width="10.77734375" bestFit="1" customWidth="1"/>
    <col min="11" max="11" width="13.33203125" bestFit="1" customWidth="1"/>
  </cols>
  <sheetData>
    <row r="1" spans="1:11" x14ac:dyDescent="0.3">
      <c r="A1" s="34" t="s">
        <v>16</v>
      </c>
      <c r="B1" s="34" t="s">
        <v>35</v>
      </c>
      <c r="C1" s="34" t="s">
        <v>36</v>
      </c>
      <c r="D1" s="35" t="s">
        <v>37</v>
      </c>
      <c r="E1" s="35" t="s">
        <v>1177</v>
      </c>
      <c r="F1" s="36" t="s">
        <v>39</v>
      </c>
      <c r="G1" s="36" t="s">
        <v>40</v>
      </c>
      <c r="H1" s="36" t="s">
        <v>41</v>
      </c>
      <c r="J1" s="46" t="s">
        <v>1238</v>
      </c>
      <c r="K1" t="s">
        <v>1240</v>
      </c>
    </row>
    <row r="2" spans="1:11" ht="27.6" x14ac:dyDescent="0.3">
      <c r="A2" s="42" t="s">
        <v>22</v>
      </c>
      <c r="B2" s="42" t="s">
        <v>1140</v>
      </c>
      <c r="C2" s="42" t="s">
        <v>49</v>
      </c>
      <c r="D2" s="43" t="s">
        <v>7</v>
      </c>
      <c r="E2" s="43" t="s">
        <v>1178</v>
      </c>
      <c r="F2" s="44">
        <v>210000</v>
      </c>
      <c r="G2" s="45" t="s">
        <v>1142</v>
      </c>
      <c r="H2" s="45" t="s">
        <v>114</v>
      </c>
      <c r="J2" s="47" t="s">
        <v>440</v>
      </c>
      <c r="K2" s="1">
        <v>117810</v>
      </c>
    </row>
    <row r="3" spans="1:11" ht="27.6" x14ac:dyDescent="0.3">
      <c r="A3" s="42" t="s">
        <v>22</v>
      </c>
      <c r="B3" s="42" t="s">
        <v>1143</v>
      </c>
      <c r="C3" s="42" t="s">
        <v>49</v>
      </c>
      <c r="D3" s="43" t="s">
        <v>7</v>
      </c>
      <c r="E3" s="43" t="s">
        <v>1179</v>
      </c>
      <c r="F3" s="44">
        <v>525000</v>
      </c>
      <c r="G3" s="45" t="s">
        <v>1145</v>
      </c>
      <c r="H3" s="45" t="s">
        <v>347</v>
      </c>
      <c r="J3" s="47" t="s">
        <v>1182</v>
      </c>
      <c r="K3" s="1">
        <v>44000</v>
      </c>
    </row>
    <row r="4" spans="1:11" ht="27.6" x14ac:dyDescent="0.3">
      <c r="A4" s="42" t="s">
        <v>22</v>
      </c>
      <c r="B4" s="42" t="s">
        <v>102</v>
      </c>
      <c r="C4" s="42" t="s">
        <v>49</v>
      </c>
      <c r="D4" s="43" t="s">
        <v>7</v>
      </c>
      <c r="E4" s="43" t="s">
        <v>1181</v>
      </c>
      <c r="F4" s="44">
        <v>721810</v>
      </c>
      <c r="G4" s="45" t="s">
        <v>1147</v>
      </c>
      <c r="H4" s="45" t="s">
        <v>832</v>
      </c>
      <c r="J4" s="47" t="s">
        <v>1239</v>
      </c>
      <c r="K4" s="1">
        <v>161810</v>
      </c>
    </row>
    <row r="5" spans="1:11" ht="27.6" x14ac:dyDescent="0.3">
      <c r="A5" s="42" t="s">
        <v>53</v>
      </c>
      <c r="B5" s="42" t="s">
        <v>127</v>
      </c>
      <c r="C5" s="42" t="s">
        <v>1148</v>
      </c>
      <c r="D5" s="43" t="s">
        <v>180</v>
      </c>
      <c r="E5" s="43" t="s">
        <v>1183</v>
      </c>
      <c r="F5" s="44">
        <v>44000</v>
      </c>
      <c r="G5" s="45" t="s">
        <v>597</v>
      </c>
      <c r="H5" s="45" t="s">
        <v>354</v>
      </c>
    </row>
    <row r="6" spans="1:11" x14ac:dyDescent="0.3">
      <c r="A6" s="42" t="s">
        <v>156</v>
      </c>
      <c r="B6" s="42" t="s">
        <v>1150</v>
      </c>
      <c r="C6" s="42" t="s">
        <v>158</v>
      </c>
      <c r="D6" s="43" t="s">
        <v>7</v>
      </c>
      <c r="E6" s="43" t="s">
        <v>1185</v>
      </c>
      <c r="F6" s="44">
        <v>115415</v>
      </c>
      <c r="G6" s="45" t="s">
        <v>1152</v>
      </c>
      <c r="H6" s="45" t="s">
        <v>1153</v>
      </c>
    </row>
    <row r="7" spans="1:11" ht="27.6" x14ac:dyDescent="0.3">
      <c r="A7" s="42" t="s">
        <v>22</v>
      </c>
      <c r="B7" s="42" t="s">
        <v>257</v>
      </c>
      <c r="C7" s="42" t="s">
        <v>158</v>
      </c>
      <c r="D7" s="43" t="s">
        <v>7</v>
      </c>
      <c r="E7" s="43" t="s">
        <v>1190</v>
      </c>
      <c r="F7" s="44">
        <v>750000</v>
      </c>
      <c r="G7" s="45" t="s">
        <v>1155</v>
      </c>
      <c r="H7" s="45" t="s">
        <v>268</v>
      </c>
    </row>
    <row r="8" spans="1:11" ht="27.6" x14ac:dyDescent="0.3">
      <c r="A8" s="42" t="s">
        <v>156</v>
      </c>
      <c r="B8" s="42" t="s">
        <v>1156</v>
      </c>
      <c r="C8" s="42" t="s">
        <v>158</v>
      </c>
      <c r="D8" s="43" t="s">
        <v>7</v>
      </c>
      <c r="E8" s="43" t="s">
        <v>1186</v>
      </c>
      <c r="F8" s="44">
        <v>10290</v>
      </c>
      <c r="G8" s="45" t="s">
        <v>1158</v>
      </c>
      <c r="H8" s="45" t="s">
        <v>822</v>
      </c>
    </row>
    <row r="9" spans="1:11" ht="27.6" x14ac:dyDescent="0.3">
      <c r="A9" s="42" t="s">
        <v>53</v>
      </c>
      <c r="B9" s="42" t="s">
        <v>300</v>
      </c>
      <c r="C9" s="42" t="s">
        <v>1159</v>
      </c>
      <c r="D9" s="43" t="s">
        <v>180</v>
      </c>
      <c r="E9" s="43" t="s">
        <v>1186</v>
      </c>
      <c r="F9" s="44">
        <v>117810</v>
      </c>
      <c r="G9" s="45" t="s">
        <v>1161</v>
      </c>
      <c r="H9" s="45" t="s">
        <v>440</v>
      </c>
    </row>
    <row r="10" spans="1:11" x14ac:dyDescent="0.3">
      <c r="A10" s="42" t="s">
        <v>156</v>
      </c>
      <c r="B10" s="42" t="s">
        <v>367</v>
      </c>
      <c r="C10" s="42" t="s">
        <v>158</v>
      </c>
      <c r="D10" s="43" t="s">
        <v>7</v>
      </c>
      <c r="E10" s="43" t="s">
        <v>1185</v>
      </c>
      <c r="F10" s="44">
        <v>140000</v>
      </c>
      <c r="G10" s="45" t="s">
        <v>1163</v>
      </c>
      <c r="H10" s="45" t="s">
        <v>1164</v>
      </c>
    </row>
    <row r="11" spans="1:11" ht="27.6" x14ac:dyDescent="0.3">
      <c r="A11" s="42" t="s">
        <v>156</v>
      </c>
      <c r="B11" s="42" t="s">
        <v>367</v>
      </c>
      <c r="C11" s="42" t="s">
        <v>158</v>
      </c>
      <c r="D11" s="43" t="s">
        <v>7</v>
      </c>
      <c r="E11" s="43" t="s">
        <v>1185</v>
      </c>
      <c r="F11" s="44">
        <v>99276</v>
      </c>
      <c r="G11" s="45" t="s">
        <v>1166</v>
      </c>
      <c r="H11" s="45" t="s">
        <v>1164</v>
      </c>
    </row>
    <row r="12" spans="1:11" x14ac:dyDescent="0.3">
      <c r="A12" s="42" t="s">
        <v>22</v>
      </c>
      <c r="B12" s="42" t="s">
        <v>424</v>
      </c>
      <c r="C12" s="42" t="s">
        <v>158</v>
      </c>
      <c r="D12" s="43" t="s">
        <v>7</v>
      </c>
      <c r="E12" s="43" t="s">
        <v>1188</v>
      </c>
      <c r="F12" s="44">
        <v>300000</v>
      </c>
      <c r="G12" s="45" t="s">
        <v>1168</v>
      </c>
      <c r="H12" s="45" t="s">
        <v>1169</v>
      </c>
    </row>
    <row r="13" spans="1:11" x14ac:dyDescent="0.3">
      <c r="A13" s="42" t="s">
        <v>22</v>
      </c>
      <c r="B13" s="42" t="s">
        <v>472</v>
      </c>
      <c r="C13" s="42" t="s">
        <v>158</v>
      </c>
      <c r="D13" s="43" t="s">
        <v>7</v>
      </c>
      <c r="E13" s="43" t="s">
        <v>1181</v>
      </c>
      <c r="F13" s="44">
        <v>434000</v>
      </c>
      <c r="G13" s="45" t="s">
        <v>1171</v>
      </c>
      <c r="H13" s="45" t="s">
        <v>832</v>
      </c>
    </row>
    <row r="14" spans="1:11" ht="27.6" x14ac:dyDescent="0.3">
      <c r="A14" s="42" t="s">
        <v>156</v>
      </c>
      <c r="B14" s="42" t="s">
        <v>477</v>
      </c>
      <c r="C14" s="42" t="s">
        <v>158</v>
      </c>
      <c r="D14" s="43" t="s">
        <v>7</v>
      </c>
      <c r="E14" s="43" t="s">
        <v>1185</v>
      </c>
      <c r="F14" s="44">
        <v>115208</v>
      </c>
      <c r="G14" s="45" t="s">
        <v>1173</v>
      </c>
      <c r="H14" s="45" t="s">
        <v>161</v>
      </c>
    </row>
  </sheetData>
  <autoFilter ref="A1:H1" xr:uid="{37FC75A2-F979-4C9C-AFDA-3E534AED3E36}"/>
  <phoneticPr fontId="5" type="noConversion"/>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886CB-3F98-430D-88AF-99EB349A5152}">
  <dimension ref="A1:L151"/>
  <sheetViews>
    <sheetView topLeftCell="A37" workbookViewId="0">
      <selection activeCell="J26" sqref="J26:K26"/>
      <pivotSelection pane="bottomRight" showHeader="1" extendable="1" start="20" max="30" activeRow="21" activeCol="9" click="1" r:id="rId1">
        <pivotArea dataOnly="0" fieldPosition="0">
          <references count="1">
            <reference field="4" count="1">
              <x v="24"/>
            </reference>
          </references>
        </pivotArea>
      </pivotSelection>
    </sheetView>
  </sheetViews>
  <sheetFormatPr defaultRowHeight="13.8" x14ac:dyDescent="0.3"/>
  <cols>
    <col min="1" max="3" width="8.88671875" style="37"/>
    <col min="4" max="4" width="20.6640625" style="37" customWidth="1"/>
    <col min="5" max="5" width="13.21875" style="37" customWidth="1"/>
    <col min="6" max="6" width="10.5546875" style="37" bestFit="1" customWidth="1"/>
    <col min="7" max="7" width="70.21875" style="37" customWidth="1"/>
    <col min="8" max="9" width="8.88671875" style="37"/>
    <col min="10" max="10" width="14.33203125" style="37" bestFit="1" customWidth="1"/>
    <col min="11" max="11" width="13.33203125" style="37" bestFit="1" customWidth="1"/>
    <col min="12" max="16384" width="8.88671875" style="37"/>
  </cols>
  <sheetData>
    <row r="1" spans="1:12" ht="16.2" x14ac:dyDescent="0.3">
      <c r="A1" s="34" t="s">
        <v>16</v>
      </c>
      <c r="B1" s="34" t="s">
        <v>35</v>
      </c>
      <c r="C1" s="34" t="s">
        <v>36</v>
      </c>
      <c r="D1" s="35" t="s">
        <v>37</v>
      </c>
      <c r="E1" s="35" t="s">
        <v>1177</v>
      </c>
      <c r="F1" s="36" t="s">
        <v>39</v>
      </c>
      <c r="G1" s="36" t="s">
        <v>40</v>
      </c>
      <c r="H1" s="36" t="s">
        <v>41</v>
      </c>
      <c r="J1" s="46" t="s">
        <v>1238</v>
      </c>
      <c r="K1" t="s">
        <v>1240</v>
      </c>
      <c r="L1"/>
    </row>
    <row r="2" spans="1:12" ht="16.2" x14ac:dyDescent="0.3">
      <c r="A2" s="38" t="s">
        <v>22</v>
      </c>
      <c r="B2" s="38" t="s">
        <v>48</v>
      </c>
      <c r="C2" s="38" t="s">
        <v>49</v>
      </c>
      <c r="D2" s="39" t="s">
        <v>7</v>
      </c>
      <c r="E2" s="39" t="s">
        <v>1243</v>
      </c>
      <c r="F2" s="40">
        <v>360000</v>
      </c>
      <c r="G2" s="41" t="s">
        <v>51</v>
      </c>
      <c r="H2" s="41" t="s">
        <v>52</v>
      </c>
      <c r="J2" s="47" t="s">
        <v>440</v>
      </c>
      <c r="K2" s="1">
        <v>383020</v>
      </c>
      <c r="L2"/>
    </row>
    <row r="3" spans="1:12" ht="27.6" x14ac:dyDescent="0.3">
      <c r="A3" s="38" t="s">
        <v>53</v>
      </c>
      <c r="B3" s="38" t="s">
        <v>54</v>
      </c>
      <c r="C3" s="38" t="s">
        <v>55</v>
      </c>
      <c r="D3" s="39" t="s">
        <v>56</v>
      </c>
      <c r="E3" s="39" t="s">
        <v>1248</v>
      </c>
      <c r="F3" s="40">
        <v>38370</v>
      </c>
      <c r="G3" s="41" t="s">
        <v>58</v>
      </c>
      <c r="H3" s="41" t="s">
        <v>59</v>
      </c>
      <c r="J3" s="47" t="s">
        <v>80</v>
      </c>
      <c r="K3" s="1">
        <v>1500000</v>
      </c>
      <c r="L3"/>
    </row>
    <row r="4" spans="1:12" ht="27.6" x14ac:dyDescent="0.3">
      <c r="A4" s="38" t="s">
        <v>53</v>
      </c>
      <c r="B4" s="38" t="s">
        <v>54</v>
      </c>
      <c r="C4" s="38" t="s">
        <v>60</v>
      </c>
      <c r="D4" s="39" t="s">
        <v>56</v>
      </c>
      <c r="E4" s="39" t="s">
        <v>1221</v>
      </c>
      <c r="F4" s="40">
        <v>32900</v>
      </c>
      <c r="G4" s="41" t="s">
        <v>62</v>
      </c>
      <c r="H4" s="41" t="s">
        <v>63</v>
      </c>
      <c r="J4" s="47" t="s">
        <v>1247</v>
      </c>
      <c r="K4" s="1">
        <v>887219</v>
      </c>
      <c r="L4"/>
    </row>
    <row r="5" spans="1:12" ht="41.4" x14ac:dyDescent="0.3">
      <c r="A5" s="38" t="s">
        <v>53</v>
      </c>
      <c r="B5" s="38" t="s">
        <v>54</v>
      </c>
      <c r="C5" s="38" t="s">
        <v>64</v>
      </c>
      <c r="D5" s="39" t="s">
        <v>56</v>
      </c>
      <c r="E5" s="39" t="s">
        <v>1225</v>
      </c>
      <c r="F5" s="40">
        <v>55000</v>
      </c>
      <c r="G5" s="41" t="s">
        <v>66</v>
      </c>
      <c r="H5" s="41" t="s">
        <v>67</v>
      </c>
      <c r="J5" s="47" t="s">
        <v>1184</v>
      </c>
      <c r="K5" s="1">
        <v>574373</v>
      </c>
      <c r="L5"/>
    </row>
    <row r="6" spans="1:12" ht="41.4" x14ac:dyDescent="0.3">
      <c r="A6" s="38" t="s">
        <v>53</v>
      </c>
      <c r="B6" s="38" t="s">
        <v>68</v>
      </c>
      <c r="C6" s="38" t="s">
        <v>69</v>
      </c>
      <c r="D6" s="39" t="s">
        <v>56</v>
      </c>
      <c r="E6" s="39" t="s">
        <v>1199</v>
      </c>
      <c r="F6" s="40">
        <v>25387</v>
      </c>
      <c r="G6" s="41" t="s">
        <v>71</v>
      </c>
      <c r="H6" s="41" t="s">
        <v>72</v>
      </c>
      <c r="J6" s="47" t="s">
        <v>172</v>
      </c>
      <c r="K6" s="1">
        <v>1400000</v>
      </c>
      <c r="L6"/>
    </row>
    <row r="7" spans="1:12" ht="41.4" x14ac:dyDescent="0.3">
      <c r="A7" s="38" t="s">
        <v>22</v>
      </c>
      <c r="B7" s="38" t="s">
        <v>73</v>
      </c>
      <c r="C7" s="38" t="s">
        <v>49</v>
      </c>
      <c r="D7" s="39" t="s">
        <v>7</v>
      </c>
      <c r="E7" s="39" t="s">
        <v>1246</v>
      </c>
      <c r="F7" s="40">
        <v>2000000</v>
      </c>
      <c r="G7" s="41" t="s">
        <v>75</v>
      </c>
      <c r="H7" s="41" t="s">
        <v>76</v>
      </c>
      <c r="J7" s="47" t="s">
        <v>1234</v>
      </c>
      <c r="K7" s="1">
        <v>1400000</v>
      </c>
      <c r="L7"/>
    </row>
    <row r="8" spans="1:12" ht="16.2" x14ac:dyDescent="0.3">
      <c r="A8" s="38" t="s">
        <v>22</v>
      </c>
      <c r="B8" s="38" t="s">
        <v>77</v>
      </c>
      <c r="C8" s="38" t="s">
        <v>49</v>
      </c>
      <c r="D8" s="39" t="s">
        <v>7</v>
      </c>
      <c r="E8" s="39" t="s">
        <v>1197</v>
      </c>
      <c r="F8" s="40">
        <v>1500000</v>
      </c>
      <c r="G8" s="41" t="s">
        <v>79</v>
      </c>
      <c r="H8" s="41" t="s">
        <v>80</v>
      </c>
      <c r="J8" s="47" t="s">
        <v>1204</v>
      </c>
      <c r="K8" s="1">
        <v>843557</v>
      </c>
      <c r="L8"/>
    </row>
    <row r="9" spans="1:12" ht="96.6" x14ac:dyDescent="0.3">
      <c r="A9" s="38" t="s">
        <v>22</v>
      </c>
      <c r="B9" s="38" t="s">
        <v>81</v>
      </c>
      <c r="C9" s="38" t="s">
        <v>49</v>
      </c>
      <c r="D9" s="39" t="s">
        <v>7</v>
      </c>
      <c r="E9" s="39" t="s">
        <v>1203</v>
      </c>
      <c r="F9" s="40">
        <v>1279500</v>
      </c>
      <c r="G9" s="41" t="s">
        <v>83</v>
      </c>
      <c r="H9" s="41" t="s">
        <v>84</v>
      </c>
      <c r="J9" s="47" t="s">
        <v>114</v>
      </c>
      <c r="K9" s="1">
        <v>740449</v>
      </c>
      <c r="L9"/>
    </row>
    <row r="10" spans="1:12" ht="27.6" x14ac:dyDescent="0.3">
      <c r="A10" s="38" t="s">
        <v>53</v>
      </c>
      <c r="B10" s="38" t="s">
        <v>85</v>
      </c>
      <c r="C10" s="38" t="s">
        <v>86</v>
      </c>
      <c r="D10" s="39" t="s">
        <v>87</v>
      </c>
      <c r="E10" s="39" t="s">
        <v>1206</v>
      </c>
      <c r="F10" s="40">
        <v>17590</v>
      </c>
      <c r="G10" s="41" t="s">
        <v>89</v>
      </c>
      <c r="H10" s="41" t="s">
        <v>90</v>
      </c>
      <c r="J10" s="47" t="s">
        <v>1222</v>
      </c>
      <c r="K10" s="1">
        <v>878460</v>
      </c>
      <c r="L10"/>
    </row>
    <row r="11" spans="1:12" ht="27.6" x14ac:dyDescent="0.3">
      <c r="A11" s="38" t="s">
        <v>53</v>
      </c>
      <c r="B11" s="38" t="s">
        <v>85</v>
      </c>
      <c r="C11" s="38" t="s">
        <v>91</v>
      </c>
      <c r="D11" s="39" t="s">
        <v>87</v>
      </c>
      <c r="E11" s="39" t="s">
        <v>1203</v>
      </c>
      <c r="F11" s="40">
        <v>111000</v>
      </c>
      <c r="G11" s="41" t="s">
        <v>93</v>
      </c>
      <c r="H11" s="41" t="s">
        <v>84</v>
      </c>
      <c r="J11" s="47" t="s">
        <v>1198</v>
      </c>
      <c r="K11" s="1">
        <v>471989</v>
      </c>
      <c r="L11"/>
    </row>
    <row r="12" spans="1:12" ht="27.6" x14ac:dyDescent="0.3">
      <c r="A12" s="38" t="s">
        <v>53</v>
      </c>
      <c r="B12" s="38" t="s">
        <v>85</v>
      </c>
      <c r="C12" s="38" t="s">
        <v>94</v>
      </c>
      <c r="D12" s="39" t="s">
        <v>95</v>
      </c>
      <c r="E12" s="39" t="s">
        <v>1221</v>
      </c>
      <c r="F12" s="40">
        <v>12400</v>
      </c>
      <c r="G12" s="41" t="s">
        <v>97</v>
      </c>
      <c r="H12" s="41" t="s">
        <v>63</v>
      </c>
      <c r="J12" s="47" t="s">
        <v>347</v>
      </c>
      <c r="K12" s="1">
        <v>83290</v>
      </c>
      <c r="L12"/>
    </row>
    <row r="13" spans="1:12" ht="41.4" x14ac:dyDescent="0.3">
      <c r="A13" s="38" t="s">
        <v>22</v>
      </c>
      <c r="B13" s="38" t="s">
        <v>98</v>
      </c>
      <c r="C13" s="38" t="s">
        <v>49</v>
      </c>
      <c r="D13" s="39" t="s">
        <v>7</v>
      </c>
      <c r="E13" s="39" t="s">
        <v>1258</v>
      </c>
      <c r="F13" s="40">
        <v>134645</v>
      </c>
      <c r="G13" s="41" t="s">
        <v>100</v>
      </c>
      <c r="H13" s="41" t="s">
        <v>101</v>
      </c>
      <c r="J13" s="47" t="s">
        <v>1251</v>
      </c>
      <c r="K13" s="1">
        <v>99093</v>
      </c>
      <c r="L13"/>
    </row>
    <row r="14" spans="1:12" ht="27.6" x14ac:dyDescent="0.3">
      <c r="A14" s="38" t="s">
        <v>22</v>
      </c>
      <c r="B14" s="38" t="s">
        <v>102</v>
      </c>
      <c r="C14" s="38" t="s">
        <v>49</v>
      </c>
      <c r="D14" s="39" t="s">
        <v>7</v>
      </c>
      <c r="E14" s="39" t="s">
        <v>1244</v>
      </c>
      <c r="F14" s="40">
        <v>199500</v>
      </c>
      <c r="G14" s="41" t="s">
        <v>104</v>
      </c>
      <c r="H14" s="41" t="s">
        <v>105</v>
      </c>
      <c r="J14" s="47" t="s">
        <v>1226</v>
      </c>
      <c r="K14" s="1">
        <v>336800</v>
      </c>
      <c r="L14"/>
    </row>
    <row r="15" spans="1:12" ht="27.6" x14ac:dyDescent="0.3">
      <c r="A15" s="38" t="s">
        <v>22</v>
      </c>
      <c r="B15" s="38" t="s">
        <v>106</v>
      </c>
      <c r="C15" s="38" t="s">
        <v>49</v>
      </c>
      <c r="D15" s="39" t="s">
        <v>7</v>
      </c>
      <c r="E15" s="39" t="s">
        <v>1205</v>
      </c>
      <c r="F15" s="40">
        <v>490000</v>
      </c>
      <c r="G15" s="41" t="s">
        <v>108</v>
      </c>
      <c r="H15" s="41" t="s">
        <v>109</v>
      </c>
      <c r="J15" s="47" t="s">
        <v>1224</v>
      </c>
      <c r="K15" s="1">
        <v>665946</v>
      </c>
      <c r="L15"/>
    </row>
    <row r="16" spans="1:12" ht="27.6" x14ac:dyDescent="0.3">
      <c r="A16" s="38" t="s">
        <v>53</v>
      </c>
      <c r="B16" s="38" t="s">
        <v>110</v>
      </c>
      <c r="C16" s="38" t="s">
        <v>111</v>
      </c>
      <c r="D16" s="39" t="s">
        <v>56</v>
      </c>
      <c r="E16" s="39" t="s">
        <v>1178</v>
      </c>
      <c r="F16" s="40">
        <v>39480</v>
      </c>
      <c r="G16" s="41" t="s">
        <v>113</v>
      </c>
      <c r="H16" s="41" t="s">
        <v>114</v>
      </c>
      <c r="J16" s="47" t="s">
        <v>1232</v>
      </c>
      <c r="K16" s="1">
        <v>1400000</v>
      </c>
      <c r="L16"/>
    </row>
    <row r="17" spans="1:12" ht="27.6" x14ac:dyDescent="0.3">
      <c r="A17" s="38" t="s">
        <v>22</v>
      </c>
      <c r="B17" s="38" t="s">
        <v>115</v>
      </c>
      <c r="C17" s="38" t="s">
        <v>49</v>
      </c>
      <c r="D17" s="39" t="s">
        <v>7</v>
      </c>
      <c r="E17" s="39" t="s">
        <v>1229</v>
      </c>
      <c r="F17" s="40">
        <v>164000</v>
      </c>
      <c r="G17" s="41" t="s">
        <v>117</v>
      </c>
      <c r="H17" s="41" t="s">
        <v>118</v>
      </c>
      <c r="J17" s="47" t="s">
        <v>1228</v>
      </c>
      <c r="K17" s="1">
        <v>1069871</v>
      </c>
      <c r="L17"/>
    </row>
    <row r="18" spans="1:12" ht="27.6" x14ac:dyDescent="0.3">
      <c r="A18" s="38" t="s">
        <v>53</v>
      </c>
      <c r="B18" s="38" t="s">
        <v>119</v>
      </c>
      <c r="C18" s="38" t="s">
        <v>120</v>
      </c>
      <c r="D18" s="39" t="s">
        <v>56</v>
      </c>
      <c r="E18" s="39" t="s">
        <v>1213</v>
      </c>
      <c r="F18" s="40">
        <v>145200</v>
      </c>
      <c r="G18" s="41" t="s">
        <v>122</v>
      </c>
      <c r="H18" s="41" t="s">
        <v>123</v>
      </c>
      <c r="J18" s="47" t="s">
        <v>1230</v>
      </c>
      <c r="K18" s="1">
        <v>1400000</v>
      </c>
      <c r="L18"/>
    </row>
    <row r="19" spans="1:12" ht="27.6" x14ac:dyDescent="0.3">
      <c r="A19" s="38" t="s">
        <v>22</v>
      </c>
      <c r="B19" s="38" t="s">
        <v>119</v>
      </c>
      <c r="C19" s="38" t="s">
        <v>49</v>
      </c>
      <c r="D19" s="39" t="s">
        <v>7</v>
      </c>
      <c r="E19" s="39" t="s">
        <v>1231</v>
      </c>
      <c r="F19" s="40">
        <v>420000</v>
      </c>
      <c r="G19" s="41" t="s">
        <v>125</v>
      </c>
      <c r="H19" s="41" t="s">
        <v>126</v>
      </c>
      <c r="J19" s="47" t="s">
        <v>1253</v>
      </c>
      <c r="K19" s="1">
        <v>449250</v>
      </c>
    </row>
    <row r="20" spans="1:12" ht="27.6" x14ac:dyDescent="0.3">
      <c r="A20" s="38" t="s">
        <v>53</v>
      </c>
      <c r="B20" s="38" t="s">
        <v>127</v>
      </c>
      <c r="C20" s="38" t="s">
        <v>128</v>
      </c>
      <c r="D20" s="39" t="s">
        <v>56</v>
      </c>
      <c r="E20" s="39" t="s">
        <v>1221</v>
      </c>
      <c r="F20" s="40">
        <v>11360</v>
      </c>
      <c r="G20" s="41" t="s">
        <v>130</v>
      </c>
      <c r="H20" s="41" t="s">
        <v>63</v>
      </c>
      <c r="J20" s="47" t="s">
        <v>1182</v>
      </c>
      <c r="K20" s="1">
        <v>172750</v>
      </c>
    </row>
    <row r="21" spans="1:12" ht="41.4" x14ac:dyDescent="0.3">
      <c r="A21" s="38" t="s">
        <v>53</v>
      </c>
      <c r="B21" s="38" t="s">
        <v>127</v>
      </c>
      <c r="C21" s="38" t="s">
        <v>131</v>
      </c>
      <c r="D21" s="39" t="s">
        <v>87</v>
      </c>
      <c r="E21" s="39" t="s">
        <v>1225</v>
      </c>
      <c r="F21" s="40">
        <v>22374</v>
      </c>
      <c r="G21" s="41" t="s">
        <v>133</v>
      </c>
      <c r="H21" s="41" t="s">
        <v>67</v>
      </c>
      <c r="J21" s="47" t="s">
        <v>1255</v>
      </c>
      <c r="K21" s="1">
        <v>1369048</v>
      </c>
    </row>
    <row r="22" spans="1:12" ht="27.6" x14ac:dyDescent="0.3">
      <c r="A22" s="38" t="s">
        <v>53</v>
      </c>
      <c r="B22" s="38" t="s">
        <v>127</v>
      </c>
      <c r="C22" s="38" t="s">
        <v>134</v>
      </c>
      <c r="D22" s="39" t="s">
        <v>56</v>
      </c>
      <c r="E22" s="39" t="s">
        <v>1206</v>
      </c>
      <c r="F22" s="40">
        <v>79735</v>
      </c>
      <c r="G22" s="41" t="s">
        <v>136</v>
      </c>
      <c r="H22" s="41" t="s">
        <v>90</v>
      </c>
      <c r="J22" s="47" t="s">
        <v>1202</v>
      </c>
      <c r="K22" s="1">
        <v>1390500</v>
      </c>
    </row>
    <row r="23" spans="1:12" ht="27.6" x14ac:dyDescent="0.3">
      <c r="A23" s="38" t="s">
        <v>53</v>
      </c>
      <c r="B23" s="38" t="s">
        <v>137</v>
      </c>
      <c r="C23" s="38" t="s">
        <v>138</v>
      </c>
      <c r="D23" s="39" t="s">
        <v>56</v>
      </c>
      <c r="E23" s="39" t="s">
        <v>1201</v>
      </c>
      <c r="F23" s="40">
        <v>1400000</v>
      </c>
      <c r="G23" s="41" t="s">
        <v>140</v>
      </c>
      <c r="H23" s="41" t="s">
        <v>141</v>
      </c>
      <c r="J23" s="47" t="s">
        <v>90</v>
      </c>
      <c r="K23" s="1">
        <v>635434</v>
      </c>
    </row>
    <row r="24" spans="1:12" ht="27.6" x14ac:dyDescent="0.3">
      <c r="A24" s="38" t="s">
        <v>53</v>
      </c>
      <c r="B24" s="38" t="s">
        <v>137</v>
      </c>
      <c r="C24" s="38" t="s">
        <v>142</v>
      </c>
      <c r="D24" s="39" t="s">
        <v>56</v>
      </c>
      <c r="E24" s="39" t="s">
        <v>1192</v>
      </c>
      <c r="F24" s="40">
        <v>149800</v>
      </c>
      <c r="G24" s="41" t="s">
        <v>144</v>
      </c>
      <c r="H24" s="41" t="s">
        <v>145</v>
      </c>
      <c r="J24" s="47" t="s">
        <v>1189</v>
      </c>
      <c r="K24" s="1">
        <v>350000</v>
      </c>
    </row>
    <row r="25" spans="1:12" ht="27.6" x14ac:dyDescent="0.3">
      <c r="A25" s="38" t="s">
        <v>53</v>
      </c>
      <c r="B25" s="38" t="s">
        <v>137</v>
      </c>
      <c r="C25" s="38" t="s">
        <v>146</v>
      </c>
      <c r="D25" s="39" t="s">
        <v>56</v>
      </c>
      <c r="E25" s="39" t="s">
        <v>1205</v>
      </c>
      <c r="F25" s="40">
        <v>143557</v>
      </c>
      <c r="G25" s="41" t="s">
        <v>148</v>
      </c>
      <c r="H25" s="41" t="s">
        <v>109</v>
      </c>
      <c r="J25" s="47" t="s">
        <v>1236</v>
      </c>
      <c r="K25" s="1">
        <v>89402</v>
      </c>
    </row>
    <row r="26" spans="1:12" ht="27.6" x14ac:dyDescent="0.3">
      <c r="A26" s="38" t="s">
        <v>53</v>
      </c>
      <c r="B26" s="38" t="s">
        <v>137</v>
      </c>
      <c r="C26" s="38" t="s">
        <v>149</v>
      </c>
      <c r="D26" s="39" t="s">
        <v>95</v>
      </c>
      <c r="E26" s="39" t="s">
        <v>1248</v>
      </c>
      <c r="F26" s="40">
        <v>385579</v>
      </c>
      <c r="G26" s="41" t="s">
        <v>151</v>
      </c>
      <c r="H26" s="41" t="s">
        <v>59</v>
      </c>
      <c r="J26" s="47" t="s">
        <v>1210</v>
      </c>
      <c r="K26" s="1">
        <v>418480</v>
      </c>
    </row>
    <row r="27" spans="1:12" ht="27.6" x14ac:dyDescent="0.3">
      <c r="A27" s="38" t="s">
        <v>53</v>
      </c>
      <c r="B27" s="38" t="s">
        <v>137</v>
      </c>
      <c r="C27" s="38" t="s">
        <v>152</v>
      </c>
      <c r="D27" s="39" t="s">
        <v>56</v>
      </c>
      <c r="E27" s="39" t="s">
        <v>1196</v>
      </c>
      <c r="F27" s="40">
        <v>234545</v>
      </c>
      <c r="G27" s="41" t="s">
        <v>154</v>
      </c>
      <c r="H27" s="41" t="s">
        <v>155</v>
      </c>
      <c r="J27" s="47" t="s">
        <v>1200</v>
      </c>
      <c r="K27" s="1">
        <v>1400000</v>
      </c>
    </row>
    <row r="28" spans="1:12" ht="16.2" x14ac:dyDescent="0.3">
      <c r="A28" s="38" t="s">
        <v>156</v>
      </c>
      <c r="B28" s="38" t="s">
        <v>157</v>
      </c>
      <c r="C28" s="38" t="s">
        <v>158</v>
      </c>
      <c r="D28" s="39" t="s">
        <v>7</v>
      </c>
      <c r="E28" s="39" t="s">
        <v>1185</v>
      </c>
      <c r="F28" s="40">
        <v>100000</v>
      </c>
      <c r="G28" s="41" t="s">
        <v>160</v>
      </c>
      <c r="H28" s="41" t="s">
        <v>161</v>
      </c>
      <c r="J28" s="47" t="s">
        <v>1212</v>
      </c>
      <c r="K28" s="1">
        <v>440911</v>
      </c>
    </row>
    <row r="29" spans="1:12" ht="27.6" x14ac:dyDescent="0.3">
      <c r="A29" s="38" t="s">
        <v>156</v>
      </c>
      <c r="B29" s="38" t="s">
        <v>162</v>
      </c>
      <c r="C29" s="38" t="s">
        <v>158</v>
      </c>
      <c r="D29" s="39" t="s">
        <v>7</v>
      </c>
      <c r="E29" s="39" t="s">
        <v>1185</v>
      </c>
      <c r="F29" s="40">
        <v>50000</v>
      </c>
      <c r="G29" s="41" t="s">
        <v>164</v>
      </c>
      <c r="H29" s="41" t="s">
        <v>161</v>
      </c>
      <c r="J29" s="47" t="s">
        <v>1195</v>
      </c>
      <c r="K29" s="1">
        <v>775674</v>
      </c>
    </row>
    <row r="30" spans="1:12" ht="27.6" x14ac:dyDescent="0.3">
      <c r="A30" s="38" t="s">
        <v>53</v>
      </c>
      <c r="B30" s="38" t="s">
        <v>165</v>
      </c>
      <c r="C30" s="38" t="s">
        <v>166</v>
      </c>
      <c r="D30" s="39" t="s">
        <v>56</v>
      </c>
      <c r="E30" s="39" t="s">
        <v>1196</v>
      </c>
      <c r="F30" s="40">
        <v>50000</v>
      </c>
      <c r="G30" s="41" t="s">
        <v>168</v>
      </c>
      <c r="H30" s="41" t="s">
        <v>169</v>
      </c>
      <c r="J30" s="47" t="s">
        <v>105</v>
      </c>
      <c r="K30" s="1">
        <v>339500</v>
      </c>
    </row>
    <row r="31" spans="1:12" ht="27.6" x14ac:dyDescent="0.3">
      <c r="A31" s="38" t="s">
        <v>22</v>
      </c>
      <c r="B31" s="38" t="s">
        <v>165</v>
      </c>
      <c r="C31" s="38" t="s">
        <v>49</v>
      </c>
      <c r="D31" s="39" t="s">
        <v>7</v>
      </c>
      <c r="E31" s="39" t="s">
        <v>1241</v>
      </c>
      <c r="F31" s="40">
        <v>1400000</v>
      </c>
      <c r="G31" s="41" t="s">
        <v>171</v>
      </c>
      <c r="H31" s="41" t="s">
        <v>172</v>
      </c>
      <c r="J31" s="47" t="s">
        <v>1257</v>
      </c>
      <c r="K31" s="1">
        <v>277345</v>
      </c>
    </row>
    <row r="32" spans="1:12" ht="16.2" x14ac:dyDescent="0.3">
      <c r="A32" s="38" t="s">
        <v>156</v>
      </c>
      <c r="B32" s="38" t="s">
        <v>165</v>
      </c>
      <c r="C32" s="38" t="s">
        <v>49</v>
      </c>
      <c r="D32" s="39" t="s">
        <v>7</v>
      </c>
      <c r="E32" s="39" t="s">
        <v>1211</v>
      </c>
      <c r="F32" s="40">
        <v>28199</v>
      </c>
      <c r="G32" s="41" t="s">
        <v>174</v>
      </c>
      <c r="H32" s="41" t="s">
        <v>175</v>
      </c>
      <c r="J32" s="47" t="s">
        <v>1187</v>
      </c>
      <c r="K32" s="1">
        <v>618000</v>
      </c>
    </row>
    <row r="33" spans="1:11" ht="27.6" x14ac:dyDescent="0.3">
      <c r="A33" s="38" t="s">
        <v>53</v>
      </c>
      <c r="B33" s="38" t="s">
        <v>176</v>
      </c>
      <c r="C33" s="38" t="s">
        <v>177</v>
      </c>
      <c r="D33" s="39" t="s">
        <v>95</v>
      </c>
      <c r="E33" s="39" t="s">
        <v>1221</v>
      </c>
      <c r="F33" s="40">
        <v>12400</v>
      </c>
      <c r="G33" s="41" t="s">
        <v>97</v>
      </c>
      <c r="H33" s="41" t="s">
        <v>63</v>
      </c>
      <c r="J33" s="47" t="s">
        <v>1191</v>
      </c>
      <c r="K33" s="1">
        <v>1400000</v>
      </c>
    </row>
    <row r="34" spans="1:11" ht="41.4" x14ac:dyDescent="0.3">
      <c r="A34" s="38" t="s">
        <v>53</v>
      </c>
      <c r="B34" s="38" t="s">
        <v>176</v>
      </c>
      <c r="C34" s="38" t="s">
        <v>179</v>
      </c>
      <c r="D34" s="39" t="s">
        <v>180</v>
      </c>
      <c r="E34" s="39" t="s">
        <v>1254</v>
      </c>
      <c r="F34" s="40">
        <v>147000</v>
      </c>
      <c r="G34" s="41" t="s">
        <v>182</v>
      </c>
      <c r="H34" s="41" t="s">
        <v>183</v>
      </c>
      <c r="J34" s="47" t="s">
        <v>1242</v>
      </c>
      <c r="K34" s="1">
        <v>1355000</v>
      </c>
    </row>
    <row r="35" spans="1:11" ht="27.6" x14ac:dyDescent="0.3">
      <c r="A35" s="38" t="s">
        <v>53</v>
      </c>
      <c r="B35" s="38" t="s">
        <v>184</v>
      </c>
      <c r="C35" s="38" t="s">
        <v>185</v>
      </c>
      <c r="D35" s="39" t="s">
        <v>87</v>
      </c>
      <c r="E35" s="39" t="s">
        <v>1205</v>
      </c>
      <c r="F35" s="40">
        <v>210000</v>
      </c>
      <c r="G35" s="41" t="s">
        <v>187</v>
      </c>
      <c r="H35" s="41" t="s">
        <v>109</v>
      </c>
      <c r="J35" s="47" t="s">
        <v>1216</v>
      </c>
      <c r="K35" s="1">
        <v>900834</v>
      </c>
    </row>
    <row r="36" spans="1:11" ht="41.4" x14ac:dyDescent="0.3">
      <c r="A36" s="38" t="s">
        <v>22</v>
      </c>
      <c r="B36" s="38" t="s">
        <v>184</v>
      </c>
      <c r="C36" s="38" t="s">
        <v>49</v>
      </c>
      <c r="D36" s="39" t="s">
        <v>7</v>
      </c>
      <c r="E36" s="39" t="s">
        <v>1250</v>
      </c>
      <c r="F36" s="40">
        <v>1400000</v>
      </c>
      <c r="G36" s="41" t="s">
        <v>189</v>
      </c>
      <c r="H36" s="41" t="s">
        <v>190</v>
      </c>
      <c r="J36" s="47" t="s">
        <v>1218</v>
      </c>
      <c r="K36" s="1">
        <v>1355150</v>
      </c>
    </row>
    <row r="37" spans="1:11" ht="27.6" x14ac:dyDescent="0.3">
      <c r="A37" s="38" t="s">
        <v>53</v>
      </c>
      <c r="B37" s="38" t="s">
        <v>191</v>
      </c>
      <c r="C37" s="38" t="s">
        <v>192</v>
      </c>
      <c r="D37" s="39" t="s">
        <v>56</v>
      </c>
      <c r="E37" s="39" t="s">
        <v>1231</v>
      </c>
      <c r="F37" s="40">
        <v>33612</v>
      </c>
      <c r="G37" s="41" t="s">
        <v>194</v>
      </c>
      <c r="H37" s="41" t="s">
        <v>126</v>
      </c>
      <c r="J37" s="47" t="s">
        <v>1249</v>
      </c>
      <c r="K37" s="1">
        <v>1400000</v>
      </c>
    </row>
    <row r="38" spans="1:11" ht="27.6" x14ac:dyDescent="0.3">
      <c r="A38" s="38" t="s">
        <v>53</v>
      </c>
      <c r="B38" s="38" t="s">
        <v>191</v>
      </c>
      <c r="C38" s="38" t="s">
        <v>195</v>
      </c>
      <c r="D38" s="39" t="s">
        <v>56</v>
      </c>
      <c r="E38" s="39" t="s">
        <v>1231</v>
      </c>
      <c r="F38" s="40">
        <v>122256</v>
      </c>
      <c r="G38" s="41" t="s">
        <v>197</v>
      </c>
      <c r="H38" s="41" t="s">
        <v>126</v>
      </c>
      <c r="J38" s="47" t="s">
        <v>1214</v>
      </c>
      <c r="K38" s="1">
        <v>920000</v>
      </c>
    </row>
    <row r="39" spans="1:11" ht="16.2" x14ac:dyDescent="0.3">
      <c r="A39" s="38" t="s">
        <v>22</v>
      </c>
      <c r="B39" s="38" t="s">
        <v>191</v>
      </c>
      <c r="C39" s="38" t="s">
        <v>158</v>
      </c>
      <c r="D39" s="39" t="s">
        <v>7</v>
      </c>
      <c r="E39" s="39" t="s">
        <v>1223</v>
      </c>
      <c r="F39" s="40">
        <v>800000</v>
      </c>
      <c r="G39" s="41" t="s">
        <v>199</v>
      </c>
      <c r="H39" s="41" t="s">
        <v>200</v>
      </c>
      <c r="J39" s="47" t="s">
        <v>1245</v>
      </c>
      <c r="K39" s="1">
        <v>2000000</v>
      </c>
    </row>
    <row r="40" spans="1:11" ht="27.6" x14ac:dyDescent="0.3">
      <c r="A40" s="38" t="s">
        <v>22</v>
      </c>
      <c r="B40" s="38" t="s">
        <v>201</v>
      </c>
      <c r="C40" s="38" t="s">
        <v>49</v>
      </c>
      <c r="D40" s="39" t="s">
        <v>7</v>
      </c>
      <c r="E40" s="39" t="s">
        <v>1231</v>
      </c>
      <c r="F40" s="40">
        <v>332114</v>
      </c>
      <c r="G40" s="41" t="s">
        <v>203</v>
      </c>
      <c r="H40" s="41" t="s">
        <v>126</v>
      </c>
      <c r="J40" s="47" t="s">
        <v>63</v>
      </c>
      <c r="K40" s="1">
        <v>151660</v>
      </c>
    </row>
    <row r="41" spans="1:11" ht="16.2" x14ac:dyDescent="0.3">
      <c r="A41" s="38" t="s">
        <v>156</v>
      </c>
      <c r="B41" s="38" t="s">
        <v>204</v>
      </c>
      <c r="C41" s="38" t="s">
        <v>49</v>
      </c>
      <c r="D41" s="39" t="s">
        <v>7</v>
      </c>
      <c r="E41" s="39" t="s">
        <v>1185</v>
      </c>
      <c r="F41" s="40">
        <v>12286</v>
      </c>
      <c r="G41" s="41" t="s">
        <v>206</v>
      </c>
      <c r="H41" s="41" t="s">
        <v>207</v>
      </c>
      <c r="J41" s="47" t="s">
        <v>1239</v>
      </c>
      <c r="K41" s="1">
        <v>32343005</v>
      </c>
    </row>
    <row r="42" spans="1:11" ht="27.6" x14ac:dyDescent="0.3">
      <c r="A42" s="38" t="s">
        <v>53</v>
      </c>
      <c r="B42" s="38" t="s">
        <v>208</v>
      </c>
      <c r="C42" s="38" t="s">
        <v>209</v>
      </c>
      <c r="D42" s="39" t="s">
        <v>56</v>
      </c>
      <c r="E42" s="39" t="s">
        <v>1233</v>
      </c>
      <c r="F42" s="40">
        <v>1400000</v>
      </c>
      <c r="G42" s="41" t="s">
        <v>211</v>
      </c>
      <c r="H42" s="41" t="s">
        <v>212</v>
      </c>
    </row>
    <row r="43" spans="1:11" ht="27.6" x14ac:dyDescent="0.3">
      <c r="A43" s="38" t="s">
        <v>53</v>
      </c>
      <c r="B43" s="38" t="s">
        <v>213</v>
      </c>
      <c r="C43" s="38" t="s">
        <v>214</v>
      </c>
      <c r="D43" s="39" t="s">
        <v>95</v>
      </c>
      <c r="E43" s="39" t="s">
        <v>1206</v>
      </c>
      <c r="F43" s="40">
        <v>47407</v>
      </c>
      <c r="G43" s="41" t="s">
        <v>216</v>
      </c>
      <c r="H43" s="41" t="s">
        <v>90</v>
      </c>
    </row>
    <row r="44" spans="1:11" ht="27.6" x14ac:dyDescent="0.3">
      <c r="A44" s="38" t="s">
        <v>22</v>
      </c>
      <c r="B44" s="38" t="s">
        <v>217</v>
      </c>
      <c r="C44" s="38" t="s">
        <v>158</v>
      </c>
      <c r="D44" s="39" t="s">
        <v>7</v>
      </c>
      <c r="E44" s="39" t="s">
        <v>1229</v>
      </c>
      <c r="F44" s="40">
        <v>160164</v>
      </c>
      <c r="G44" s="41" t="s">
        <v>219</v>
      </c>
      <c r="H44" s="41" t="s">
        <v>220</v>
      </c>
    </row>
    <row r="45" spans="1:11" x14ac:dyDescent="0.3">
      <c r="A45" s="38" t="s">
        <v>22</v>
      </c>
      <c r="B45" s="38" t="s">
        <v>217</v>
      </c>
      <c r="C45" s="38" t="s">
        <v>49</v>
      </c>
      <c r="D45" s="39" t="s">
        <v>7</v>
      </c>
      <c r="E45" s="39" t="s">
        <v>1188</v>
      </c>
      <c r="F45" s="40">
        <v>470000</v>
      </c>
      <c r="G45" s="41" t="s">
        <v>222</v>
      </c>
      <c r="H45" s="41" t="s">
        <v>223</v>
      </c>
    </row>
    <row r="46" spans="1:11" ht="27.6" x14ac:dyDescent="0.3">
      <c r="A46" s="38" t="s">
        <v>156</v>
      </c>
      <c r="B46" s="38" t="s">
        <v>217</v>
      </c>
      <c r="C46" s="38" t="s">
        <v>49</v>
      </c>
      <c r="D46" s="39" t="s">
        <v>7</v>
      </c>
      <c r="E46" s="39" t="s">
        <v>1196</v>
      </c>
      <c r="F46" s="40">
        <v>72034</v>
      </c>
      <c r="G46" s="41" t="s">
        <v>225</v>
      </c>
      <c r="H46" s="41" t="s">
        <v>155</v>
      </c>
    </row>
    <row r="47" spans="1:11" ht="27.6" x14ac:dyDescent="0.3">
      <c r="A47" s="38" t="s">
        <v>53</v>
      </c>
      <c r="B47" s="38" t="s">
        <v>226</v>
      </c>
      <c r="C47" s="38" t="s">
        <v>227</v>
      </c>
      <c r="D47" s="39" t="s">
        <v>56</v>
      </c>
      <c r="E47" s="39" t="s">
        <v>1211</v>
      </c>
      <c r="F47" s="40">
        <v>40000</v>
      </c>
      <c r="G47" s="41" t="s">
        <v>229</v>
      </c>
      <c r="H47" s="41" t="s">
        <v>230</v>
      </c>
    </row>
    <row r="48" spans="1:11" x14ac:dyDescent="0.3">
      <c r="A48" s="38" t="s">
        <v>156</v>
      </c>
      <c r="B48" s="38" t="s">
        <v>226</v>
      </c>
      <c r="C48" s="38" t="s">
        <v>49</v>
      </c>
      <c r="D48" s="39" t="s">
        <v>7</v>
      </c>
      <c r="E48" s="39" t="s">
        <v>1211</v>
      </c>
      <c r="F48" s="40">
        <v>16680</v>
      </c>
      <c r="G48" s="41" t="s">
        <v>232</v>
      </c>
      <c r="H48" s="41" t="s">
        <v>233</v>
      </c>
    </row>
    <row r="49" spans="1:8" x14ac:dyDescent="0.3">
      <c r="A49" s="38" t="s">
        <v>156</v>
      </c>
      <c r="B49" s="38" t="s">
        <v>226</v>
      </c>
      <c r="C49" s="38" t="s">
        <v>49</v>
      </c>
      <c r="D49" s="39" t="s">
        <v>7</v>
      </c>
      <c r="E49" s="39" t="s">
        <v>1211</v>
      </c>
      <c r="F49" s="40">
        <v>149800</v>
      </c>
      <c r="G49" s="41" t="s">
        <v>235</v>
      </c>
      <c r="H49" s="41" t="s">
        <v>233</v>
      </c>
    </row>
    <row r="50" spans="1:8" ht="27.6" x14ac:dyDescent="0.3">
      <c r="A50" s="38" t="s">
        <v>53</v>
      </c>
      <c r="B50" s="38" t="s">
        <v>236</v>
      </c>
      <c r="C50" s="38" t="s">
        <v>237</v>
      </c>
      <c r="D50" s="39" t="s">
        <v>56</v>
      </c>
      <c r="E50" s="39" t="s">
        <v>1244</v>
      </c>
      <c r="F50" s="40">
        <v>11940</v>
      </c>
      <c r="G50" s="41" t="s">
        <v>239</v>
      </c>
      <c r="H50" s="41" t="s">
        <v>240</v>
      </c>
    </row>
    <row r="51" spans="1:8" ht="27.6" x14ac:dyDescent="0.3">
      <c r="A51" s="38" t="s">
        <v>53</v>
      </c>
      <c r="B51" s="38" t="s">
        <v>236</v>
      </c>
      <c r="C51" s="38" t="s">
        <v>241</v>
      </c>
      <c r="D51" s="39" t="s">
        <v>95</v>
      </c>
      <c r="E51" s="39" t="s">
        <v>1258</v>
      </c>
      <c r="F51" s="40">
        <v>35000</v>
      </c>
      <c r="G51" s="41" t="s">
        <v>243</v>
      </c>
      <c r="H51" s="41" t="s">
        <v>101</v>
      </c>
    </row>
    <row r="52" spans="1:8" ht="41.4" x14ac:dyDescent="0.3">
      <c r="A52" s="38" t="s">
        <v>53</v>
      </c>
      <c r="B52" s="38" t="s">
        <v>236</v>
      </c>
      <c r="C52" s="38" t="s">
        <v>244</v>
      </c>
      <c r="D52" s="39" t="s">
        <v>56</v>
      </c>
      <c r="E52" s="39" t="s">
        <v>1225</v>
      </c>
      <c r="F52" s="40">
        <v>149993</v>
      </c>
      <c r="G52" s="41" t="s">
        <v>246</v>
      </c>
      <c r="H52" s="41" t="s">
        <v>67</v>
      </c>
    </row>
    <row r="53" spans="1:8" x14ac:dyDescent="0.3">
      <c r="A53" s="38" t="s">
        <v>22</v>
      </c>
      <c r="B53" s="38" t="s">
        <v>247</v>
      </c>
      <c r="C53" s="38" t="s">
        <v>49</v>
      </c>
      <c r="D53" s="39" t="s">
        <v>7</v>
      </c>
      <c r="E53" s="39" t="s">
        <v>1213</v>
      </c>
      <c r="F53" s="40">
        <v>41000</v>
      </c>
      <c r="G53" s="41" t="s">
        <v>249</v>
      </c>
      <c r="H53" s="41" t="s">
        <v>123</v>
      </c>
    </row>
    <row r="54" spans="1:8" x14ac:dyDescent="0.3">
      <c r="A54" s="38" t="s">
        <v>22</v>
      </c>
      <c r="B54" s="38" t="s">
        <v>247</v>
      </c>
      <c r="C54" s="38" t="s">
        <v>158</v>
      </c>
      <c r="D54" s="39" t="s">
        <v>7</v>
      </c>
      <c r="E54" s="39" t="s">
        <v>1213</v>
      </c>
      <c r="F54" s="40">
        <v>61741</v>
      </c>
      <c r="G54" s="41" t="s">
        <v>251</v>
      </c>
      <c r="H54" s="41" t="s">
        <v>123</v>
      </c>
    </row>
    <row r="55" spans="1:8" ht="27.6" x14ac:dyDescent="0.3">
      <c r="A55" s="38" t="s">
        <v>22</v>
      </c>
      <c r="B55" s="38" t="s">
        <v>247</v>
      </c>
      <c r="C55" s="38" t="s">
        <v>158</v>
      </c>
      <c r="D55" s="39" t="s">
        <v>7</v>
      </c>
      <c r="E55" s="39" t="s">
        <v>1229</v>
      </c>
      <c r="F55" s="40">
        <v>91136</v>
      </c>
      <c r="G55" s="41" t="s">
        <v>253</v>
      </c>
      <c r="H55" s="41" t="s">
        <v>254</v>
      </c>
    </row>
    <row r="56" spans="1:8" x14ac:dyDescent="0.3">
      <c r="A56" s="38" t="s">
        <v>22</v>
      </c>
      <c r="B56" s="38" t="s">
        <v>247</v>
      </c>
      <c r="C56" s="38" t="s">
        <v>49</v>
      </c>
      <c r="D56" s="39" t="s">
        <v>7</v>
      </c>
      <c r="E56" s="39" t="s">
        <v>1229</v>
      </c>
      <c r="F56" s="40">
        <v>378864</v>
      </c>
      <c r="G56" s="41" t="s">
        <v>256</v>
      </c>
      <c r="H56" s="41" t="s">
        <v>254</v>
      </c>
    </row>
    <row r="57" spans="1:8" ht="55.2" x14ac:dyDescent="0.3">
      <c r="A57" s="38" t="s">
        <v>22</v>
      </c>
      <c r="B57" s="38" t="s">
        <v>257</v>
      </c>
      <c r="C57" s="38" t="s">
        <v>49</v>
      </c>
      <c r="D57" s="39" t="s">
        <v>7</v>
      </c>
      <c r="E57" s="39" t="s">
        <v>1219</v>
      </c>
      <c r="F57" s="40">
        <v>1355150</v>
      </c>
      <c r="G57" s="41" t="s">
        <v>259</v>
      </c>
      <c r="H57" s="41" t="s">
        <v>260</v>
      </c>
    </row>
    <row r="58" spans="1:8" ht="27.6" x14ac:dyDescent="0.3">
      <c r="A58" s="38" t="s">
        <v>156</v>
      </c>
      <c r="B58" s="38" t="s">
        <v>257</v>
      </c>
      <c r="C58" s="38" t="s">
        <v>158</v>
      </c>
      <c r="D58" s="39" t="s">
        <v>7</v>
      </c>
      <c r="E58" s="39" t="s">
        <v>1196</v>
      </c>
      <c r="F58" s="40">
        <v>75165</v>
      </c>
      <c r="G58" s="41" t="s">
        <v>262</v>
      </c>
      <c r="H58" s="41" t="s">
        <v>263</v>
      </c>
    </row>
    <row r="59" spans="1:8" x14ac:dyDescent="0.3">
      <c r="A59" s="38" t="s">
        <v>156</v>
      </c>
      <c r="B59" s="38" t="s">
        <v>257</v>
      </c>
      <c r="C59" s="38" t="s">
        <v>158</v>
      </c>
      <c r="D59" s="39" t="s">
        <v>7</v>
      </c>
      <c r="E59" s="39" t="s">
        <v>1244</v>
      </c>
      <c r="F59" s="40">
        <v>35000</v>
      </c>
      <c r="G59" s="41" t="s">
        <v>7</v>
      </c>
      <c r="H59" s="41" t="s">
        <v>265</v>
      </c>
    </row>
    <row r="60" spans="1:8" ht="27.6" x14ac:dyDescent="0.3">
      <c r="A60" s="38" t="s">
        <v>156</v>
      </c>
      <c r="B60" s="38" t="s">
        <v>257</v>
      </c>
      <c r="C60" s="38" t="s">
        <v>158</v>
      </c>
      <c r="D60" s="39" t="s">
        <v>7</v>
      </c>
      <c r="E60" s="39" t="s">
        <v>1190</v>
      </c>
      <c r="F60" s="40">
        <v>44725</v>
      </c>
      <c r="G60" s="41" t="s">
        <v>267</v>
      </c>
      <c r="H60" s="41" t="s">
        <v>268</v>
      </c>
    </row>
    <row r="61" spans="1:8" x14ac:dyDescent="0.3">
      <c r="A61" s="38" t="s">
        <v>22</v>
      </c>
      <c r="B61" s="38" t="s">
        <v>269</v>
      </c>
      <c r="C61" s="38" t="s">
        <v>49</v>
      </c>
      <c r="D61" s="39" t="s">
        <v>7</v>
      </c>
      <c r="E61" s="39" t="s">
        <v>1243</v>
      </c>
      <c r="F61" s="40">
        <v>500000</v>
      </c>
      <c r="G61" s="41" t="s">
        <v>271</v>
      </c>
      <c r="H61" s="41" t="s">
        <v>272</v>
      </c>
    </row>
    <row r="62" spans="1:8" ht="27.6" x14ac:dyDescent="0.3">
      <c r="A62" s="38" t="s">
        <v>22</v>
      </c>
      <c r="B62" s="38" t="s">
        <v>273</v>
      </c>
      <c r="C62" s="38" t="s">
        <v>49</v>
      </c>
      <c r="D62" s="39" t="s">
        <v>7</v>
      </c>
      <c r="E62" s="39" t="s">
        <v>1178</v>
      </c>
      <c r="F62" s="40">
        <v>522000</v>
      </c>
      <c r="G62" s="41" t="s">
        <v>275</v>
      </c>
      <c r="H62" s="41" t="s">
        <v>114</v>
      </c>
    </row>
    <row r="63" spans="1:8" x14ac:dyDescent="0.3">
      <c r="A63" s="38" t="s">
        <v>156</v>
      </c>
      <c r="B63" s="38" t="s">
        <v>273</v>
      </c>
      <c r="C63" s="38" t="s">
        <v>49</v>
      </c>
      <c r="D63" s="39" t="s">
        <v>7</v>
      </c>
      <c r="E63" s="39" t="s">
        <v>1206</v>
      </c>
      <c r="F63" s="40">
        <v>13417</v>
      </c>
      <c r="G63" s="41" t="s">
        <v>277</v>
      </c>
      <c r="H63" s="41" t="s">
        <v>90</v>
      </c>
    </row>
    <row r="64" spans="1:8" x14ac:dyDescent="0.3">
      <c r="A64" s="38" t="s">
        <v>156</v>
      </c>
      <c r="B64" s="38" t="s">
        <v>273</v>
      </c>
      <c r="C64" s="38" t="s">
        <v>49</v>
      </c>
      <c r="D64" s="39" t="s">
        <v>7</v>
      </c>
      <c r="E64" s="39" t="s">
        <v>1196</v>
      </c>
      <c r="F64" s="40">
        <v>27950</v>
      </c>
      <c r="G64" s="41" t="s">
        <v>279</v>
      </c>
      <c r="H64" s="41" t="s">
        <v>280</v>
      </c>
    </row>
    <row r="65" spans="1:8" ht="27.6" x14ac:dyDescent="0.3">
      <c r="A65" s="38" t="s">
        <v>156</v>
      </c>
      <c r="B65" s="38" t="s">
        <v>273</v>
      </c>
      <c r="C65" s="38" t="s">
        <v>158</v>
      </c>
      <c r="D65" s="39" t="s">
        <v>7</v>
      </c>
      <c r="E65" s="39" t="s">
        <v>1231</v>
      </c>
      <c r="F65" s="40">
        <v>184770</v>
      </c>
      <c r="G65" s="41" t="s">
        <v>282</v>
      </c>
      <c r="H65" s="41" t="s">
        <v>126</v>
      </c>
    </row>
    <row r="66" spans="1:8" ht="27.6" x14ac:dyDescent="0.3">
      <c r="A66" s="38" t="s">
        <v>156</v>
      </c>
      <c r="B66" s="38" t="s">
        <v>273</v>
      </c>
      <c r="C66" s="38" t="s">
        <v>158</v>
      </c>
      <c r="D66" s="39" t="s">
        <v>7</v>
      </c>
      <c r="E66" s="39" t="s">
        <v>1192</v>
      </c>
      <c r="F66" s="40">
        <v>140000</v>
      </c>
      <c r="G66" s="41" t="s">
        <v>284</v>
      </c>
      <c r="H66" s="41" t="s">
        <v>145</v>
      </c>
    </row>
    <row r="67" spans="1:8" ht="27.6" x14ac:dyDescent="0.3">
      <c r="A67" s="38" t="s">
        <v>53</v>
      </c>
      <c r="B67" s="38" t="s">
        <v>285</v>
      </c>
      <c r="C67" s="38" t="s">
        <v>286</v>
      </c>
      <c r="D67" s="39" t="s">
        <v>56</v>
      </c>
      <c r="E67" s="39" t="s">
        <v>1227</v>
      </c>
      <c r="F67" s="40">
        <v>139500</v>
      </c>
      <c r="G67" s="41" t="s">
        <v>288</v>
      </c>
      <c r="H67" s="41" t="s">
        <v>289</v>
      </c>
    </row>
    <row r="68" spans="1:8" ht="41.4" x14ac:dyDescent="0.3">
      <c r="A68" s="38" t="s">
        <v>53</v>
      </c>
      <c r="B68" s="38" t="s">
        <v>285</v>
      </c>
      <c r="C68" s="38" t="s">
        <v>290</v>
      </c>
      <c r="D68" s="39" t="s">
        <v>56</v>
      </c>
      <c r="E68" s="39" t="s">
        <v>1225</v>
      </c>
      <c r="F68" s="40">
        <v>209572</v>
      </c>
      <c r="G68" s="41" t="s">
        <v>292</v>
      </c>
      <c r="H68" s="41" t="s">
        <v>67</v>
      </c>
    </row>
    <row r="69" spans="1:8" ht="41.4" x14ac:dyDescent="0.3">
      <c r="A69" s="38" t="s">
        <v>22</v>
      </c>
      <c r="B69" s="38" t="s">
        <v>285</v>
      </c>
      <c r="C69" s="38" t="s">
        <v>158</v>
      </c>
      <c r="D69" s="39" t="s">
        <v>7</v>
      </c>
      <c r="E69" s="39" t="s">
        <v>1192</v>
      </c>
      <c r="F69" s="40">
        <v>480000</v>
      </c>
      <c r="G69" s="41" t="s">
        <v>294</v>
      </c>
      <c r="H69" s="41" t="s">
        <v>145</v>
      </c>
    </row>
    <row r="70" spans="1:8" x14ac:dyDescent="0.3">
      <c r="A70" s="38" t="s">
        <v>156</v>
      </c>
      <c r="B70" s="38" t="s">
        <v>285</v>
      </c>
      <c r="C70" s="38" t="s">
        <v>49</v>
      </c>
      <c r="D70" s="39" t="s">
        <v>7</v>
      </c>
      <c r="E70" s="39" t="s">
        <v>1211</v>
      </c>
      <c r="F70" s="40">
        <v>40000</v>
      </c>
      <c r="G70" s="41" t="s">
        <v>296</v>
      </c>
      <c r="H70" s="41" t="s">
        <v>297</v>
      </c>
    </row>
    <row r="71" spans="1:8" ht="27.6" x14ac:dyDescent="0.3">
      <c r="A71" s="38" t="s">
        <v>156</v>
      </c>
      <c r="B71" s="38" t="s">
        <v>285</v>
      </c>
      <c r="C71" s="38" t="s">
        <v>158</v>
      </c>
      <c r="D71" s="39" t="s">
        <v>7</v>
      </c>
      <c r="E71" s="39" t="s">
        <v>1192</v>
      </c>
      <c r="F71" s="40">
        <v>227720</v>
      </c>
      <c r="G71" s="41" t="s">
        <v>299</v>
      </c>
      <c r="H71" s="41" t="s">
        <v>145</v>
      </c>
    </row>
    <row r="72" spans="1:8" ht="27.6" x14ac:dyDescent="0.3">
      <c r="A72" s="38" t="s">
        <v>53</v>
      </c>
      <c r="B72" s="38" t="s">
        <v>300</v>
      </c>
      <c r="C72" s="38" t="s">
        <v>301</v>
      </c>
      <c r="D72" s="39" t="s">
        <v>56</v>
      </c>
      <c r="E72" s="39" t="s">
        <v>1190</v>
      </c>
      <c r="F72" s="40">
        <v>305275</v>
      </c>
      <c r="G72" s="41" t="s">
        <v>303</v>
      </c>
      <c r="H72" s="41" t="s">
        <v>268</v>
      </c>
    </row>
    <row r="73" spans="1:8" ht="27.6" x14ac:dyDescent="0.3">
      <c r="A73" s="38" t="s">
        <v>53</v>
      </c>
      <c r="B73" s="38" t="s">
        <v>300</v>
      </c>
      <c r="C73" s="38" t="s">
        <v>304</v>
      </c>
      <c r="D73" s="39" t="s">
        <v>56</v>
      </c>
      <c r="E73" s="39" t="s">
        <v>1206</v>
      </c>
      <c r="F73" s="40">
        <v>34875</v>
      </c>
      <c r="G73" s="41" t="s">
        <v>306</v>
      </c>
      <c r="H73" s="41" t="s">
        <v>90</v>
      </c>
    </row>
    <row r="74" spans="1:8" ht="41.4" x14ac:dyDescent="0.3">
      <c r="A74" s="38" t="s">
        <v>53</v>
      </c>
      <c r="B74" s="38" t="s">
        <v>307</v>
      </c>
      <c r="C74" s="38" t="s">
        <v>308</v>
      </c>
      <c r="D74" s="39" t="s">
        <v>56</v>
      </c>
      <c r="E74" s="39" t="s">
        <v>1229</v>
      </c>
      <c r="F74" s="40">
        <v>26000</v>
      </c>
      <c r="G74" s="41" t="s">
        <v>310</v>
      </c>
      <c r="H74" s="41" t="s">
        <v>311</v>
      </c>
    </row>
    <row r="75" spans="1:8" ht="27.6" x14ac:dyDescent="0.3">
      <c r="A75" s="38" t="s">
        <v>53</v>
      </c>
      <c r="B75" s="38" t="s">
        <v>307</v>
      </c>
      <c r="C75" s="38" t="s">
        <v>312</v>
      </c>
      <c r="D75" s="39" t="s">
        <v>56</v>
      </c>
      <c r="E75" s="39" t="s">
        <v>1185</v>
      </c>
      <c r="F75" s="40">
        <v>33640</v>
      </c>
      <c r="G75" s="41" t="s">
        <v>314</v>
      </c>
      <c r="H75" s="41" t="s">
        <v>315</v>
      </c>
    </row>
    <row r="76" spans="1:8" ht="27.6" x14ac:dyDescent="0.3">
      <c r="A76" s="38" t="s">
        <v>53</v>
      </c>
      <c r="B76" s="38" t="s">
        <v>307</v>
      </c>
      <c r="C76" s="38" t="s">
        <v>316</v>
      </c>
      <c r="D76" s="39" t="s">
        <v>95</v>
      </c>
      <c r="E76" s="39" t="s">
        <v>1178</v>
      </c>
      <c r="F76" s="40">
        <v>47617</v>
      </c>
      <c r="G76" s="41" t="s">
        <v>318</v>
      </c>
      <c r="H76" s="41" t="s">
        <v>114</v>
      </c>
    </row>
    <row r="77" spans="1:8" ht="41.4" x14ac:dyDescent="0.3">
      <c r="A77" s="38" t="s">
        <v>156</v>
      </c>
      <c r="B77" s="38" t="s">
        <v>307</v>
      </c>
      <c r="C77" s="38" t="s">
        <v>49</v>
      </c>
      <c r="D77" s="39" t="s">
        <v>7</v>
      </c>
      <c r="E77" s="39" t="s">
        <v>1244</v>
      </c>
      <c r="F77" s="40">
        <v>50000</v>
      </c>
      <c r="G77" s="41" t="s">
        <v>320</v>
      </c>
      <c r="H77" s="41" t="s">
        <v>321</v>
      </c>
    </row>
    <row r="78" spans="1:8" ht="27.6" x14ac:dyDescent="0.3">
      <c r="A78" s="38" t="s">
        <v>53</v>
      </c>
      <c r="B78" s="38" t="s">
        <v>322</v>
      </c>
      <c r="C78" s="38" t="s">
        <v>323</v>
      </c>
      <c r="D78" s="39" t="s">
        <v>95</v>
      </c>
      <c r="E78" s="39" t="s">
        <v>1231</v>
      </c>
      <c r="F78" s="40">
        <v>39447</v>
      </c>
      <c r="G78" s="41" t="s">
        <v>325</v>
      </c>
      <c r="H78" s="41" t="s">
        <v>126</v>
      </c>
    </row>
    <row r="79" spans="1:8" ht="41.4" x14ac:dyDescent="0.3">
      <c r="A79" s="38" t="s">
        <v>53</v>
      </c>
      <c r="B79" s="38" t="s">
        <v>322</v>
      </c>
      <c r="C79" s="38" t="s">
        <v>326</v>
      </c>
      <c r="D79" s="39" t="s">
        <v>56</v>
      </c>
      <c r="E79" s="39" t="s">
        <v>1225</v>
      </c>
      <c r="F79" s="40">
        <v>130007</v>
      </c>
      <c r="G79" s="41" t="s">
        <v>328</v>
      </c>
      <c r="H79" s="41" t="s">
        <v>67</v>
      </c>
    </row>
    <row r="80" spans="1:8" ht="41.4" x14ac:dyDescent="0.3">
      <c r="A80" s="38" t="s">
        <v>53</v>
      </c>
      <c r="B80" s="38" t="s">
        <v>322</v>
      </c>
      <c r="C80" s="38" t="s">
        <v>329</v>
      </c>
      <c r="D80" s="39" t="s">
        <v>95</v>
      </c>
      <c r="E80" s="39" t="s">
        <v>1254</v>
      </c>
      <c r="F80" s="40">
        <v>24200</v>
      </c>
      <c r="G80" s="41" t="s">
        <v>331</v>
      </c>
      <c r="H80" s="41" t="s">
        <v>183</v>
      </c>
    </row>
    <row r="81" spans="1:8" ht="41.4" x14ac:dyDescent="0.3">
      <c r="A81" s="38" t="s">
        <v>53</v>
      </c>
      <c r="B81" s="38" t="s">
        <v>322</v>
      </c>
      <c r="C81" s="38" t="s">
        <v>332</v>
      </c>
      <c r="D81" s="39" t="s">
        <v>180</v>
      </c>
      <c r="E81" s="39" t="s">
        <v>1254</v>
      </c>
      <c r="F81" s="40">
        <v>42000</v>
      </c>
      <c r="G81" s="41" t="s">
        <v>334</v>
      </c>
      <c r="H81" s="41" t="s">
        <v>183</v>
      </c>
    </row>
    <row r="82" spans="1:8" ht="27.6" x14ac:dyDescent="0.3">
      <c r="A82" s="38" t="s">
        <v>53</v>
      </c>
      <c r="B82" s="38" t="s">
        <v>322</v>
      </c>
      <c r="C82" s="38" t="s">
        <v>335</v>
      </c>
      <c r="D82" s="39" t="s">
        <v>56</v>
      </c>
      <c r="E82" s="39" t="s">
        <v>1223</v>
      </c>
      <c r="F82" s="40">
        <v>42000</v>
      </c>
      <c r="G82" s="41" t="s">
        <v>337</v>
      </c>
      <c r="H82" s="41" t="s">
        <v>200</v>
      </c>
    </row>
    <row r="83" spans="1:8" ht="27.6" x14ac:dyDescent="0.3">
      <c r="A83" s="38" t="s">
        <v>53</v>
      </c>
      <c r="B83" s="38" t="s">
        <v>322</v>
      </c>
      <c r="C83" s="38" t="s">
        <v>338</v>
      </c>
      <c r="D83" s="39" t="s">
        <v>56</v>
      </c>
      <c r="E83" s="39" t="s">
        <v>1223</v>
      </c>
      <c r="F83" s="40">
        <v>36460</v>
      </c>
      <c r="G83" s="41" t="s">
        <v>340</v>
      </c>
      <c r="H83" s="41" t="s">
        <v>200</v>
      </c>
    </row>
    <row r="84" spans="1:8" ht="27.6" x14ac:dyDescent="0.3">
      <c r="A84" s="38" t="s">
        <v>53</v>
      </c>
      <c r="B84" s="38" t="s">
        <v>322</v>
      </c>
      <c r="C84" s="38" t="s">
        <v>341</v>
      </c>
      <c r="D84" s="39" t="s">
        <v>56</v>
      </c>
      <c r="E84" s="39" t="s">
        <v>1258</v>
      </c>
      <c r="F84" s="40">
        <v>107700</v>
      </c>
      <c r="G84" s="41" t="s">
        <v>343</v>
      </c>
      <c r="H84" s="41" t="s">
        <v>101</v>
      </c>
    </row>
    <row r="85" spans="1:8" ht="27.6" x14ac:dyDescent="0.3">
      <c r="A85" s="38" t="s">
        <v>53</v>
      </c>
      <c r="B85" s="38" t="s">
        <v>322</v>
      </c>
      <c r="C85" s="38" t="s">
        <v>344</v>
      </c>
      <c r="D85" s="39" t="s">
        <v>56</v>
      </c>
      <c r="E85" s="39" t="s">
        <v>1179</v>
      </c>
      <c r="F85" s="40">
        <v>83290</v>
      </c>
      <c r="G85" s="41" t="s">
        <v>346</v>
      </c>
      <c r="H85" s="41" t="s">
        <v>347</v>
      </c>
    </row>
    <row r="86" spans="1:8" ht="55.2" x14ac:dyDescent="0.3">
      <c r="A86" s="38" t="s">
        <v>22</v>
      </c>
      <c r="B86" s="38" t="s">
        <v>322</v>
      </c>
      <c r="C86" s="38" t="s">
        <v>49</v>
      </c>
      <c r="D86" s="39" t="s">
        <v>7</v>
      </c>
      <c r="E86" s="39" t="s">
        <v>1199</v>
      </c>
      <c r="F86" s="40">
        <v>158102</v>
      </c>
      <c r="G86" s="41" t="s">
        <v>349</v>
      </c>
      <c r="H86" s="41" t="s">
        <v>72</v>
      </c>
    </row>
    <row r="87" spans="1:8" ht="27.6" x14ac:dyDescent="0.3">
      <c r="A87" s="38" t="s">
        <v>53</v>
      </c>
      <c r="B87" s="38" t="s">
        <v>350</v>
      </c>
      <c r="C87" s="38" t="s">
        <v>351</v>
      </c>
      <c r="D87" s="39" t="s">
        <v>56</v>
      </c>
      <c r="E87" s="39" t="s">
        <v>1183</v>
      </c>
      <c r="F87" s="40">
        <v>135000</v>
      </c>
      <c r="G87" s="41" t="s">
        <v>353</v>
      </c>
      <c r="H87" s="41" t="s">
        <v>354</v>
      </c>
    </row>
    <row r="88" spans="1:8" ht="27.6" x14ac:dyDescent="0.3">
      <c r="A88" s="38" t="s">
        <v>53</v>
      </c>
      <c r="B88" s="38" t="s">
        <v>355</v>
      </c>
      <c r="C88" s="38" t="s">
        <v>356</v>
      </c>
      <c r="D88" s="39" t="s">
        <v>56</v>
      </c>
      <c r="E88" s="39" t="s">
        <v>1237</v>
      </c>
      <c r="F88" s="40">
        <v>34875</v>
      </c>
      <c r="G88" s="41" t="s">
        <v>358</v>
      </c>
      <c r="H88" s="41" t="s">
        <v>359</v>
      </c>
    </row>
    <row r="89" spans="1:8" ht="27.6" x14ac:dyDescent="0.3">
      <c r="A89" s="38" t="s">
        <v>22</v>
      </c>
      <c r="B89" s="38" t="s">
        <v>355</v>
      </c>
      <c r="C89" s="38" t="s">
        <v>49</v>
      </c>
      <c r="D89" s="39" t="s">
        <v>7</v>
      </c>
      <c r="E89" s="39" t="s">
        <v>1237</v>
      </c>
      <c r="F89" s="40">
        <v>54527</v>
      </c>
      <c r="G89" s="41" t="s">
        <v>361</v>
      </c>
      <c r="H89" s="41" t="s">
        <v>359</v>
      </c>
    </row>
    <row r="90" spans="1:8" ht="27.6" x14ac:dyDescent="0.3">
      <c r="A90" s="38" t="s">
        <v>22</v>
      </c>
      <c r="B90" s="38" t="s">
        <v>355</v>
      </c>
      <c r="C90" s="38" t="s">
        <v>158</v>
      </c>
      <c r="D90" s="39" t="s">
        <v>7</v>
      </c>
      <c r="E90" s="39" t="s">
        <v>1235</v>
      </c>
      <c r="F90" s="40">
        <v>1400000</v>
      </c>
      <c r="G90" s="41" t="s">
        <v>363</v>
      </c>
      <c r="H90" s="41" t="s">
        <v>364</v>
      </c>
    </row>
    <row r="91" spans="1:8" x14ac:dyDescent="0.3">
      <c r="A91" s="38" t="s">
        <v>156</v>
      </c>
      <c r="B91" s="38" t="s">
        <v>355</v>
      </c>
      <c r="C91" s="38" t="s">
        <v>158</v>
      </c>
      <c r="D91" s="39" t="s">
        <v>7</v>
      </c>
      <c r="E91" s="39" t="s">
        <v>1213</v>
      </c>
      <c r="F91" s="40">
        <v>35000</v>
      </c>
      <c r="G91" s="41" t="s">
        <v>366</v>
      </c>
      <c r="H91" s="41" t="s">
        <v>123</v>
      </c>
    </row>
    <row r="92" spans="1:8" ht="41.4" x14ac:dyDescent="0.3">
      <c r="A92" s="38" t="s">
        <v>53</v>
      </c>
      <c r="B92" s="38" t="s">
        <v>367</v>
      </c>
      <c r="C92" s="38" t="s">
        <v>368</v>
      </c>
      <c r="D92" s="39" t="s">
        <v>95</v>
      </c>
      <c r="E92" s="39" t="s">
        <v>1254</v>
      </c>
      <c r="F92" s="40">
        <v>103500</v>
      </c>
      <c r="G92" s="41" t="s">
        <v>370</v>
      </c>
      <c r="H92" s="41" t="s">
        <v>183</v>
      </c>
    </row>
    <row r="93" spans="1:8" ht="41.4" x14ac:dyDescent="0.3">
      <c r="A93" s="38" t="s">
        <v>53</v>
      </c>
      <c r="B93" s="38" t="s">
        <v>367</v>
      </c>
      <c r="C93" s="38" t="s">
        <v>368</v>
      </c>
      <c r="D93" s="39" t="s">
        <v>56</v>
      </c>
      <c r="E93" s="39" t="s">
        <v>1254</v>
      </c>
      <c r="F93" s="40">
        <v>37250</v>
      </c>
      <c r="G93" s="41" t="s">
        <v>370</v>
      </c>
      <c r="H93" s="41" t="s">
        <v>183</v>
      </c>
    </row>
    <row r="94" spans="1:8" ht="27.6" x14ac:dyDescent="0.3">
      <c r="A94" s="38" t="s">
        <v>53</v>
      </c>
      <c r="B94" s="38" t="s">
        <v>367</v>
      </c>
      <c r="C94" s="38" t="s">
        <v>371</v>
      </c>
      <c r="D94" s="39" t="s">
        <v>56</v>
      </c>
      <c r="E94" s="39" t="s">
        <v>1185</v>
      </c>
      <c r="F94" s="40">
        <v>32056</v>
      </c>
      <c r="G94" s="41" t="s">
        <v>373</v>
      </c>
      <c r="H94" s="41" t="s">
        <v>315</v>
      </c>
    </row>
    <row r="95" spans="1:8" ht="27.6" x14ac:dyDescent="0.3">
      <c r="A95" s="38" t="s">
        <v>53</v>
      </c>
      <c r="B95" s="38" t="s">
        <v>367</v>
      </c>
      <c r="C95" s="38" t="s">
        <v>374</v>
      </c>
      <c r="D95" s="39" t="s">
        <v>95</v>
      </c>
      <c r="E95" s="39" t="s">
        <v>1229</v>
      </c>
      <c r="F95" s="40">
        <v>103094</v>
      </c>
      <c r="G95" s="41" t="s">
        <v>376</v>
      </c>
      <c r="H95" s="41" t="s">
        <v>377</v>
      </c>
    </row>
    <row r="96" spans="1:8" x14ac:dyDescent="0.3">
      <c r="A96" s="38" t="s">
        <v>156</v>
      </c>
      <c r="B96" s="38" t="s">
        <v>367</v>
      </c>
      <c r="C96" s="38" t="s">
        <v>49</v>
      </c>
      <c r="D96" s="39" t="s">
        <v>7</v>
      </c>
      <c r="E96" s="39" t="s">
        <v>1206</v>
      </c>
      <c r="F96" s="40">
        <v>442410</v>
      </c>
      <c r="G96" s="41" t="s">
        <v>379</v>
      </c>
      <c r="H96" s="41" t="s">
        <v>7</v>
      </c>
    </row>
    <row r="97" spans="1:8" x14ac:dyDescent="0.3">
      <c r="A97" s="38" t="s">
        <v>156</v>
      </c>
      <c r="B97" s="38" t="s">
        <v>367</v>
      </c>
      <c r="C97" s="38" t="s">
        <v>49</v>
      </c>
      <c r="D97" s="39" t="s">
        <v>7</v>
      </c>
      <c r="E97" s="39" t="s">
        <v>1213</v>
      </c>
      <c r="F97" s="40">
        <v>77970</v>
      </c>
      <c r="G97" s="41" t="s">
        <v>381</v>
      </c>
      <c r="H97" s="41" t="s">
        <v>123</v>
      </c>
    </row>
    <row r="98" spans="1:8" ht="27.6" x14ac:dyDescent="0.3">
      <c r="A98" s="38" t="s">
        <v>156</v>
      </c>
      <c r="B98" s="38" t="s">
        <v>367</v>
      </c>
      <c r="C98" s="38" t="s">
        <v>158</v>
      </c>
      <c r="D98" s="39" t="s">
        <v>7</v>
      </c>
      <c r="E98" s="39" t="s">
        <v>1229</v>
      </c>
      <c r="F98" s="40">
        <v>55200</v>
      </c>
      <c r="G98" s="41" t="s">
        <v>383</v>
      </c>
      <c r="H98" s="41" t="s">
        <v>311</v>
      </c>
    </row>
    <row r="99" spans="1:8" ht="27.6" x14ac:dyDescent="0.3">
      <c r="A99" s="38" t="s">
        <v>156</v>
      </c>
      <c r="B99" s="38" t="s">
        <v>367</v>
      </c>
      <c r="C99" s="38" t="s">
        <v>158</v>
      </c>
      <c r="D99" s="39" t="s">
        <v>7</v>
      </c>
      <c r="E99" s="39" t="s">
        <v>1183</v>
      </c>
      <c r="F99" s="40">
        <v>37750</v>
      </c>
      <c r="G99" s="41" t="s">
        <v>385</v>
      </c>
      <c r="H99" s="41" t="s">
        <v>354</v>
      </c>
    </row>
    <row r="100" spans="1:8" ht="27.6" x14ac:dyDescent="0.3">
      <c r="A100" s="38" t="s">
        <v>53</v>
      </c>
      <c r="B100" s="38" t="s">
        <v>386</v>
      </c>
      <c r="C100" s="38" t="s">
        <v>387</v>
      </c>
      <c r="D100" s="39" t="s">
        <v>56</v>
      </c>
      <c r="E100" s="39" t="s">
        <v>1256</v>
      </c>
      <c r="F100" s="40">
        <v>40000</v>
      </c>
      <c r="G100" s="41" t="s">
        <v>389</v>
      </c>
      <c r="H100" s="41" t="s">
        <v>390</v>
      </c>
    </row>
    <row r="101" spans="1:8" ht="27.6" x14ac:dyDescent="0.3">
      <c r="A101" s="38" t="s">
        <v>53</v>
      </c>
      <c r="B101" s="38" t="s">
        <v>386</v>
      </c>
      <c r="C101" s="38" t="s">
        <v>391</v>
      </c>
      <c r="D101" s="39" t="s">
        <v>56</v>
      </c>
      <c r="E101" s="39" t="s">
        <v>1196</v>
      </c>
      <c r="F101" s="40">
        <v>91145</v>
      </c>
      <c r="G101" s="41" t="s">
        <v>393</v>
      </c>
      <c r="H101" s="41" t="s">
        <v>394</v>
      </c>
    </row>
    <row r="102" spans="1:8" ht="27.6" x14ac:dyDescent="0.3">
      <c r="A102" s="38" t="s">
        <v>53</v>
      </c>
      <c r="B102" s="38" t="s">
        <v>386</v>
      </c>
      <c r="C102" s="38" t="s">
        <v>395</v>
      </c>
      <c r="D102" s="39" t="s">
        <v>56</v>
      </c>
      <c r="E102" s="39" t="s">
        <v>1213</v>
      </c>
      <c r="F102" s="40">
        <v>80000</v>
      </c>
      <c r="G102" s="41" t="s">
        <v>397</v>
      </c>
      <c r="H102" s="41" t="s">
        <v>123</v>
      </c>
    </row>
    <row r="103" spans="1:8" ht="27.6" x14ac:dyDescent="0.3">
      <c r="A103" s="38" t="s">
        <v>53</v>
      </c>
      <c r="B103" s="38" t="s">
        <v>386</v>
      </c>
      <c r="C103" s="38" t="s">
        <v>398</v>
      </c>
      <c r="D103" s="39" t="s">
        <v>56</v>
      </c>
      <c r="E103" s="39" t="s">
        <v>1244</v>
      </c>
      <c r="F103" s="40">
        <v>20000</v>
      </c>
      <c r="G103" s="41" t="s">
        <v>400</v>
      </c>
      <c r="H103" s="41" t="s">
        <v>401</v>
      </c>
    </row>
    <row r="104" spans="1:8" ht="27.6" x14ac:dyDescent="0.3">
      <c r="A104" s="38" t="s">
        <v>156</v>
      </c>
      <c r="B104" s="38" t="s">
        <v>386</v>
      </c>
      <c r="C104" s="38" t="s">
        <v>158</v>
      </c>
      <c r="D104" s="39" t="s">
        <v>7</v>
      </c>
      <c r="E104" s="39" t="s">
        <v>1227</v>
      </c>
      <c r="F104" s="40">
        <v>147000</v>
      </c>
      <c r="G104" s="41" t="s">
        <v>403</v>
      </c>
      <c r="H104" s="41" t="s">
        <v>289</v>
      </c>
    </row>
    <row r="105" spans="1:8" ht="27.6" x14ac:dyDescent="0.3">
      <c r="A105" s="38" t="s">
        <v>156</v>
      </c>
      <c r="B105" s="38" t="s">
        <v>386</v>
      </c>
      <c r="C105" s="38" t="s">
        <v>158</v>
      </c>
      <c r="D105" s="39" t="s">
        <v>7</v>
      </c>
      <c r="E105" s="39" t="s">
        <v>1192</v>
      </c>
      <c r="F105" s="40">
        <v>144000</v>
      </c>
      <c r="G105" s="41" t="s">
        <v>405</v>
      </c>
      <c r="H105" s="41" t="s">
        <v>145</v>
      </c>
    </row>
    <row r="106" spans="1:8" ht="27.6" x14ac:dyDescent="0.3">
      <c r="A106" s="38" t="s">
        <v>53</v>
      </c>
      <c r="B106" s="38" t="s">
        <v>406</v>
      </c>
      <c r="C106" s="38" t="s">
        <v>407</v>
      </c>
      <c r="D106" s="39" t="s">
        <v>95</v>
      </c>
      <c r="E106" s="39" t="s">
        <v>1231</v>
      </c>
      <c r="F106" s="40">
        <v>98409</v>
      </c>
      <c r="G106" s="41" t="s">
        <v>409</v>
      </c>
      <c r="H106" s="41" t="s">
        <v>126</v>
      </c>
    </row>
    <row r="107" spans="1:8" ht="41.4" x14ac:dyDescent="0.3">
      <c r="A107" s="38" t="s">
        <v>53</v>
      </c>
      <c r="B107" s="38" t="s">
        <v>406</v>
      </c>
      <c r="C107" s="38" t="s">
        <v>410</v>
      </c>
      <c r="D107" s="39" t="s">
        <v>56</v>
      </c>
      <c r="E107" s="39" t="s">
        <v>1225</v>
      </c>
      <c r="F107" s="40">
        <v>99000</v>
      </c>
      <c r="G107" s="41" t="s">
        <v>412</v>
      </c>
      <c r="H107" s="41" t="s">
        <v>67</v>
      </c>
    </row>
    <row r="108" spans="1:8" ht="27.6" x14ac:dyDescent="0.3">
      <c r="A108" s="38" t="s">
        <v>22</v>
      </c>
      <c r="B108" s="38" t="s">
        <v>406</v>
      </c>
      <c r="C108" s="38" t="s">
        <v>49</v>
      </c>
      <c r="D108" s="39" t="s">
        <v>7</v>
      </c>
      <c r="E108" s="39" t="s">
        <v>1229</v>
      </c>
      <c r="F108" s="40">
        <v>35913</v>
      </c>
      <c r="G108" s="41" t="s">
        <v>414</v>
      </c>
      <c r="H108" s="41" t="s">
        <v>377</v>
      </c>
    </row>
    <row r="109" spans="1:8" ht="27.6" x14ac:dyDescent="0.3">
      <c r="A109" s="38" t="s">
        <v>156</v>
      </c>
      <c r="B109" s="38" t="s">
        <v>406</v>
      </c>
      <c r="C109" s="38" t="s">
        <v>158</v>
      </c>
      <c r="D109" s="39" t="s">
        <v>7</v>
      </c>
      <c r="E109" s="39" t="s">
        <v>1244</v>
      </c>
      <c r="F109" s="40">
        <v>15000</v>
      </c>
      <c r="G109" s="41" t="s">
        <v>416</v>
      </c>
      <c r="H109" s="41" t="s">
        <v>417</v>
      </c>
    </row>
    <row r="110" spans="1:8" x14ac:dyDescent="0.3">
      <c r="A110" s="38" t="s">
        <v>156</v>
      </c>
      <c r="B110" s="38" t="s">
        <v>406</v>
      </c>
      <c r="C110" s="38" t="s">
        <v>158</v>
      </c>
      <c r="D110" s="39" t="s">
        <v>7</v>
      </c>
      <c r="E110" s="39" t="s">
        <v>1244</v>
      </c>
      <c r="F110" s="40">
        <v>8060</v>
      </c>
      <c r="G110" s="41" t="s">
        <v>419</v>
      </c>
      <c r="H110" s="41" t="s">
        <v>240</v>
      </c>
    </row>
    <row r="111" spans="1:8" ht="27.6" x14ac:dyDescent="0.3">
      <c r="A111" s="38" t="s">
        <v>53</v>
      </c>
      <c r="B111" s="38" t="s">
        <v>420</v>
      </c>
      <c r="C111" s="38" t="s">
        <v>421</v>
      </c>
      <c r="D111" s="39" t="s">
        <v>56</v>
      </c>
      <c r="E111" s="39" t="s">
        <v>1192</v>
      </c>
      <c r="F111" s="40">
        <v>148480</v>
      </c>
      <c r="G111" s="41" t="s">
        <v>423</v>
      </c>
      <c r="H111" s="41" t="s">
        <v>145</v>
      </c>
    </row>
    <row r="112" spans="1:8" ht="27.6" x14ac:dyDescent="0.3">
      <c r="A112" s="38" t="s">
        <v>22</v>
      </c>
      <c r="B112" s="38" t="s">
        <v>424</v>
      </c>
      <c r="C112" s="38" t="s">
        <v>158</v>
      </c>
      <c r="D112" s="39" t="s">
        <v>7</v>
      </c>
      <c r="E112" s="39" t="s">
        <v>1248</v>
      </c>
      <c r="F112" s="40">
        <v>211740</v>
      </c>
      <c r="G112" s="41" t="s">
        <v>426</v>
      </c>
      <c r="H112" s="41" t="s">
        <v>59</v>
      </c>
    </row>
    <row r="113" spans="1:8" x14ac:dyDescent="0.3">
      <c r="A113" s="38" t="s">
        <v>156</v>
      </c>
      <c r="B113" s="38" t="s">
        <v>427</v>
      </c>
      <c r="C113" s="38" t="s">
        <v>158</v>
      </c>
      <c r="D113" s="39" t="s">
        <v>7</v>
      </c>
      <c r="E113" s="39" t="s">
        <v>1196</v>
      </c>
      <c r="F113" s="40">
        <v>100000</v>
      </c>
      <c r="G113" s="41" t="s">
        <v>429</v>
      </c>
      <c r="H113" s="41" t="s">
        <v>430</v>
      </c>
    </row>
    <row r="114" spans="1:8" ht="55.2" x14ac:dyDescent="0.3">
      <c r="A114" s="38" t="s">
        <v>53</v>
      </c>
      <c r="B114" s="38" t="s">
        <v>431</v>
      </c>
      <c r="C114" s="38" t="s">
        <v>432</v>
      </c>
      <c r="D114" s="39" t="s">
        <v>95</v>
      </c>
      <c r="E114" s="39" t="s">
        <v>1199</v>
      </c>
      <c r="F114" s="40">
        <v>39000</v>
      </c>
      <c r="G114" s="41" t="s">
        <v>434</v>
      </c>
      <c r="H114" s="41" t="s">
        <v>72</v>
      </c>
    </row>
    <row r="115" spans="1:8" ht="55.2" x14ac:dyDescent="0.3">
      <c r="A115" s="38" t="s">
        <v>53</v>
      </c>
      <c r="B115" s="38" t="s">
        <v>431</v>
      </c>
      <c r="C115" s="38" t="s">
        <v>432</v>
      </c>
      <c r="D115" s="39" t="s">
        <v>56</v>
      </c>
      <c r="E115" s="39" t="s">
        <v>1199</v>
      </c>
      <c r="F115" s="40">
        <v>106500</v>
      </c>
      <c r="G115" s="41" t="s">
        <v>434</v>
      </c>
      <c r="H115" s="41" t="s">
        <v>72</v>
      </c>
    </row>
    <row r="116" spans="1:8" ht="27.6" x14ac:dyDescent="0.3">
      <c r="A116" s="38" t="s">
        <v>53</v>
      </c>
      <c r="B116" s="38" t="s">
        <v>431</v>
      </c>
      <c r="C116" s="38" t="s">
        <v>435</v>
      </c>
      <c r="D116" s="39" t="s">
        <v>56</v>
      </c>
      <c r="E116" s="39" t="s">
        <v>1185</v>
      </c>
      <c r="F116" s="40">
        <v>65000</v>
      </c>
      <c r="G116" s="41" t="s">
        <v>437</v>
      </c>
      <c r="H116" s="41" t="s">
        <v>315</v>
      </c>
    </row>
    <row r="117" spans="1:8" x14ac:dyDescent="0.3">
      <c r="A117" s="38" t="s">
        <v>156</v>
      </c>
      <c r="B117" s="38" t="s">
        <v>431</v>
      </c>
      <c r="C117" s="38" t="s">
        <v>49</v>
      </c>
      <c r="D117" s="39" t="s">
        <v>7</v>
      </c>
      <c r="E117" s="39" t="s">
        <v>1186</v>
      </c>
      <c r="F117" s="40">
        <v>45400</v>
      </c>
      <c r="G117" s="41" t="s">
        <v>439</v>
      </c>
      <c r="H117" s="41" t="s">
        <v>440</v>
      </c>
    </row>
    <row r="118" spans="1:8" ht="27.6" x14ac:dyDescent="0.3">
      <c r="A118" s="38" t="s">
        <v>53</v>
      </c>
      <c r="B118" s="38" t="s">
        <v>441</v>
      </c>
      <c r="C118" s="38" t="s">
        <v>442</v>
      </c>
      <c r="D118" s="39" t="s">
        <v>56</v>
      </c>
      <c r="E118" s="39" t="s">
        <v>1185</v>
      </c>
      <c r="F118" s="40">
        <v>24500</v>
      </c>
      <c r="G118" s="41" t="s">
        <v>444</v>
      </c>
      <c r="H118" s="41" t="s">
        <v>161</v>
      </c>
    </row>
    <row r="119" spans="1:8" ht="27.6" x14ac:dyDescent="0.3">
      <c r="A119" s="38" t="s">
        <v>53</v>
      </c>
      <c r="B119" s="38" t="s">
        <v>441</v>
      </c>
      <c r="C119" s="38" t="s">
        <v>445</v>
      </c>
      <c r="D119" s="39" t="s">
        <v>95</v>
      </c>
      <c r="E119" s="39" t="s">
        <v>1229</v>
      </c>
      <c r="F119" s="40">
        <v>45000</v>
      </c>
      <c r="G119" s="41" t="s">
        <v>447</v>
      </c>
      <c r="H119" s="41" t="s">
        <v>377</v>
      </c>
    </row>
    <row r="120" spans="1:8" x14ac:dyDescent="0.3">
      <c r="A120" s="38" t="s">
        <v>156</v>
      </c>
      <c r="B120" s="38" t="s">
        <v>441</v>
      </c>
      <c r="C120" s="38" t="s">
        <v>49</v>
      </c>
      <c r="D120" s="39" t="s">
        <v>7</v>
      </c>
      <c r="E120" s="39" t="s">
        <v>1256</v>
      </c>
      <c r="F120" s="40">
        <v>1149095</v>
      </c>
      <c r="G120" s="41" t="s">
        <v>449</v>
      </c>
      <c r="H120" s="41" t="s">
        <v>7</v>
      </c>
    </row>
    <row r="121" spans="1:8" x14ac:dyDescent="0.3">
      <c r="A121" s="38" t="s">
        <v>156</v>
      </c>
      <c r="B121" s="38" t="s">
        <v>441</v>
      </c>
      <c r="C121" s="38" t="s">
        <v>49</v>
      </c>
      <c r="D121" s="39" t="s">
        <v>7</v>
      </c>
      <c r="E121" s="39" t="s">
        <v>1256</v>
      </c>
      <c r="F121" s="40">
        <v>72000</v>
      </c>
      <c r="G121" s="41" t="s">
        <v>449</v>
      </c>
      <c r="H121" s="41" t="s">
        <v>7</v>
      </c>
    </row>
    <row r="122" spans="1:8" ht="27.6" x14ac:dyDescent="0.3">
      <c r="A122" s="38" t="s">
        <v>53</v>
      </c>
      <c r="B122" s="38" t="s">
        <v>450</v>
      </c>
      <c r="C122" s="38" t="s">
        <v>451</v>
      </c>
      <c r="D122" s="39" t="s">
        <v>95</v>
      </c>
      <c r="E122" s="39" t="s">
        <v>1231</v>
      </c>
      <c r="F122" s="40">
        <v>158070</v>
      </c>
      <c r="G122" s="41" t="s">
        <v>453</v>
      </c>
      <c r="H122" s="41" t="s">
        <v>126</v>
      </c>
    </row>
    <row r="123" spans="1:8" ht="27.6" x14ac:dyDescent="0.3">
      <c r="A123" s="38" t="s">
        <v>156</v>
      </c>
      <c r="B123" s="38" t="s">
        <v>450</v>
      </c>
      <c r="C123" s="38" t="s">
        <v>158</v>
      </c>
      <c r="D123" s="39" t="s">
        <v>7</v>
      </c>
      <c r="E123" s="39" t="s">
        <v>1215</v>
      </c>
      <c r="F123" s="40">
        <v>920000</v>
      </c>
      <c r="G123" s="41" t="s">
        <v>455</v>
      </c>
      <c r="H123" s="41" t="s">
        <v>456</v>
      </c>
    </row>
    <row r="124" spans="1:8" x14ac:dyDescent="0.3">
      <c r="A124" s="38" t="s">
        <v>156</v>
      </c>
      <c r="B124" s="38" t="s">
        <v>457</v>
      </c>
      <c r="C124" s="38" t="s">
        <v>158</v>
      </c>
      <c r="D124" s="39" t="s">
        <v>7</v>
      </c>
      <c r="E124" s="39" t="s">
        <v>1196</v>
      </c>
      <c r="F124" s="40">
        <v>100000</v>
      </c>
      <c r="G124" s="41" t="s">
        <v>459</v>
      </c>
      <c r="H124" s="41" t="s">
        <v>460</v>
      </c>
    </row>
    <row r="125" spans="1:8" ht="27.6" x14ac:dyDescent="0.3">
      <c r="A125" s="38" t="s">
        <v>156</v>
      </c>
      <c r="B125" s="38" t="s">
        <v>457</v>
      </c>
      <c r="C125" s="38" t="s">
        <v>158</v>
      </c>
      <c r="D125" s="39" t="s">
        <v>7</v>
      </c>
      <c r="E125" s="39" t="s">
        <v>1248</v>
      </c>
      <c r="F125" s="40">
        <v>26280</v>
      </c>
      <c r="G125" s="41" t="s">
        <v>462</v>
      </c>
      <c r="H125" s="41" t="s">
        <v>59</v>
      </c>
    </row>
    <row r="126" spans="1:8" ht="41.4" x14ac:dyDescent="0.3">
      <c r="A126" s="38" t="s">
        <v>156</v>
      </c>
      <c r="B126" s="38" t="s">
        <v>457</v>
      </c>
      <c r="C126" s="38" t="s">
        <v>158</v>
      </c>
      <c r="D126" s="39" t="s">
        <v>7</v>
      </c>
      <c r="E126" s="39" t="s">
        <v>1252</v>
      </c>
      <c r="F126" s="40">
        <v>25990</v>
      </c>
      <c r="G126" s="41" t="s">
        <v>464</v>
      </c>
      <c r="H126" s="41" t="s">
        <v>465</v>
      </c>
    </row>
    <row r="127" spans="1:8" ht="41.4" x14ac:dyDescent="0.3">
      <c r="A127" s="38" t="s">
        <v>156</v>
      </c>
      <c r="B127" s="38" t="s">
        <v>457</v>
      </c>
      <c r="C127" s="38" t="s">
        <v>158</v>
      </c>
      <c r="D127" s="39" t="s">
        <v>7</v>
      </c>
      <c r="E127" s="39" t="s">
        <v>1199</v>
      </c>
      <c r="F127" s="40">
        <v>143000</v>
      </c>
      <c r="G127" s="41" t="s">
        <v>467</v>
      </c>
      <c r="H127" s="41" t="s">
        <v>72</v>
      </c>
    </row>
    <row r="128" spans="1:8" ht="27.6" x14ac:dyDescent="0.3">
      <c r="A128" s="38" t="s">
        <v>156</v>
      </c>
      <c r="B128" s="38" t="s">
        <v>457</v>
      </c>
      <c r="C128" s="38" t="s">
        <v>158</v>
      </c>
      <c r="D128" s="39" t="s">
        <v>7</v>
      </c>
      <c r="E128" s="39" t="s">
        <v>1256</v>
      </c>
      <c r="F128" s="40">
        <v>37953</v>
      </c>
      <c r="G128" s="41" t="s">
        <v>469</v>
      </c>
      <c r="H128" s="41" t="s">
        <v>390</v>
      </c>
    </row>
    <row r="129" spans="1:8" ht="27.6" x14ac:dyDescent="0.3">
      <c r="A129" s="38" t="s">
        <v>156</v>
      </c>
      <c r="B129" s="38" t="s">
        <v>457</v>
      </c>
      <c r="C129" s="38" t="s">
        <v>158</v>
      </c>
      <c r="D129" s="39" t="s">
        <v>7</v>
      </c>
      <c r="E129" s="39" t="s">
        <v>1256</v>
      </c>
      <c r="F129" s="40">
        <v>70000</v>
      </c>
      <c r="G129" s="41" t="s">
        <v>471</v>
      </c>
      <c r="H129" s="41" t="s">
        <v>390</v>
      </c>
    </row>
    <row r="130" spans="1:8" x14ac:dyDescent="0.3">
      <c r="A130" s="38" t="s">
        <v>156</v>
      </c>
      <c r="B130" s="38" t="s">
        <v>472</v>
      </c>
      <c r="C130" s="38" t="s">
        <v>158</v>
      </c>
      <c r="D130" s="39" t="s">
        <v>7</v>
      </c>
      <c r="E130" s="39" t="s">
        <v>1185</v>
      </c>
      <c r="F130" s="40">
        <v>65000</v>
      </c>
      <c r="G130" s="41" t="s">
        <v>474</v>
      </c>
      <c r="H130" s="41" t="s">
        <v>315</v>
      </c>
    </row>
    <row r="131" spans="1:8" x14ac:dyDescent="0.3">
      <c r="A131" s="38" t="s">
        <v>156</v>
      </c>
      <c r="B131" s="38" t="s">
        <v>472</v>
      </c>
      <c r="C131" s="38" t="s">
        <v>158</v>
      </c>
      <c r="D131" s="39" t="s">
        <v>7</v>
      </c>
      <c r="E131" s="39" t="s">
        <v>1185</v>
      </c>
      <c r="F131" s="40">
        <v>76141</v>
      </c>
      <c r="G131" s="41" t="s">
        <v>476</v>
      </c>
      <c r="H131" s="41" t="s">
        <v>315</v>
      </c>
    </row>
    <row r="132" spans="1:8" ht="27.6" x14ac:dyDescent="0.3">
      <c r="A132" s="38" t="s">
        <v>53</v>
      </c>
      <c r="B132" s="38" t="s">
        <v>477</v>
      </c>
      <c r="C132" s="38" t="s">
        <v>478</v>
      </c>
      <c r="D132" s="39" t="s">
        <v>56</v>
      </c>
      <c r="E132" s="39" t="s">
        <v>1211</v>
      </c>
      <c r="F132" s="40">
        <v>143801</v>
      </c>
      <c r="G132" s="41" t="s">
        <v>480</v>
      </c>
      <c r="H132" s="41" t="s">
        <v>175</v>
      </c>
    </row>
    <row r="133" spans="1:8" ht="27.6" x14ac:dyDescent="0.3">
      <c r="A133" s="38" t="s">
        <v>53</v>
      </c>
      <c r="B133" s="38" t="s">
        <v>477</v>
      </c>
      <c r="C133" s="38" t="s">
        <v>481</v>
      </c>
      <c r="D133" s="39" t="s">
        <v>95</v>
      </c>
      <c r="E133" s="39" t="s">
        <v>1227</v>
      </c>
      <c r="F133" s="40">
        <v>50300</v>
      </c>
      <c r="G133" s="41" t="s">
        <v>483</v>
      </c>
      <c r="H133" s="41" t="s">
        <v>289</v>
      </c>
    </row>
    <row r="134" spans="1:8" ht="27.6" x14ac:dyDescent="0.3">
      <c r="A134" s="38" t="s">
        <v>53</v>
      </c>
      <c r="B134" s="38" t="s">
        <v>477</v>
      </c>
      <c r="C134" s="38" t="s">
        <v>484</v>
      </c>
      <c r="D134" s="39" t="s">
        <v>95</v>
      </c>
      <c r="E134" s="39" t="s">
        <v>1178</v>
      </c>
      <c r="F134" s="40">
        <v>131352</v>
      </c>
      <c r="G134" s="41" t="s">
        <v>486</v>
      </c>
      <c r="H134" s="41" t="s">
        <v>114</v>
      </c>
    </row>
    <row r="135" spans="1:8" ht="27.6" x14ac:dyDescent="0.3">
      <c r="A135" s="38" t="s">
        <v>53</v>
      </c>
      <c r="B135" s="38" t="s">
        <v>477</v>
      </c>
      <c r="C135" s="38" t="s">
        <v>487</v>
      </c>
      <c r="D135" s="39" t="s">
        <v>95</v>
      </c>
      <c r="E135" s="39" t="s">
        <v>1221</v>
      </c>
      <c r="F135" s="40">
        <v>56000</v>
      </c>
      <c r="G135" s="41" t="s">
        <v>489</v>
      </c>
      <c r="H135" s="41" t="s">
        <v>63</v>
      </c>
    </row>
    <row r="136" spans="1:8" ht="41.4" x14ac:dyDescent="0.3">
      <c r="A136" s="38" t="s">
        <v>53</v>
      </c>
      <c r="B136" s="38" t="s">
        <v>477</v>
      </c>
      <c r="C136" s="38" t="s">
        <v>490</v>
      </c>
      <c r="D136" s="39" t="s">
        <v>95</v>
      </c>
      <c r="E136" s="39" t="s">
        <v>1252</v>
      </c>
      <c r="F136" s="40">
        <v>73103</v>
      </c>
      <c r="G136" s="41" t="s">
        <v>492</v>
      </c>
      <c r="H136" s="41" t="s">
        <v>465</v>
      </c>
    </row>
    <row r="137" spans="1:8" ht="27.6" x14ac:dyDescent="0.3">
      <c r="A137" s="38" t="s">
        <v>53</v>
      </c>
      <c r="B137" s="38" t="s">
        <v>477</v>
      </c>
      <c r="C137" s="38" t="s">
        <v>493</v>
      </c>
      <c r="D137" s="39" t="s">
        <v>56</v>
      </c>
      <c r="E137" s="39" t="s">
        <v>1217</v>
      </c>
      <c r="F137" s="40">
        <v>900834</v>
      </c>
      <c r="G137" s="41" t="s">
        <v>495</v>
      </c>
      <c r="H137" s="41" t="s">
        <v>496</v>
      </c>
    </row>
    <row r="138" spans="1:8" ht="27.6" x14ac:dyDescent="0.3">
      <c r="A138" s="38" t="s">
        <v>53</v>
      </c>
      <c r="B138" s="38" t="s">
        <v>477</v>
      </c>
      <c r="C138" s="38" t="s">
        <v>497</v>
      </c>
      <c r="D138" s="39" t="s">
        <v>56</v>
      </c>
      <c r="E138" s="39" t="s">
        <v>1231</v>
      </c>
      <c r="F138" s="40">
        <v>11322</v>
      </c>
      <c r="G138" s="41" t="s">
        <v>499</v>
      </c>
      <c r="H138" s="41" t="s">
        <v>126</v>
      </c>
    </row>
    <row r="139" spans="1:8" x14ac:dyDescent="0.3">
      <c r="A139" s="38" t="s">
        <v>156</v>
      </c>
      <c r="B139" s="38" t="s">
        <v>477</v>
      </c>
      <c r="C139" s="38" t="s">
        <v>158</v>
      </c>
      <c r="D139" s="39" t="s">
        <v>7</v>
      </c>
      <c r="E139" s="39" t="s">
        <v>1188</v>
      </c>
      <c r="F139" s="40">
        <v>148000</v>
      </c>
      <c r="G139" s="41" t="s">
        <v>501</v>
      </c>
      <c r="H139" s="41" t="s">
        <v>502</v>
      </c>
    </row>
    <row r="140" spans="1:8" ht="41.4" x14ac:dyDescent="0.3">
      <c r="A140" s="38" t="s">
        <v>156</v>
      </c>
      <c r="B140" s="38" t="s">
        <v>477</v>
      </c>
      <c r="C140" s="38" t="s">
        <v>158</v>
      </c>
      <c r="D140" s="39" t="s">
        <v>7</v>
      </c>
      <c r="E140" s="39" t="s">
        <v>1254</v>
      </c>
      <c r="F140" s="40">
        <v>95300</v>
      </c>
      <c r="G140" s="41" t="s">
        <v>504</v>
      </c>
      <c r="H140" s="41" t="s">
        <v>183</v>
      </c>
    </row>
    <row r="141" spans="1:8" x14ac:dyDescent="0.3">
      <c r="A141" s="38" t="s">
        <v>156</v>
      </c>
      <c r="B141" s="38" t="s">
        <v>477</v>
      </c>
      <c r="C141" s="38" t="s">
        <v>158</v>
      </c>
      <c r="D141" s="39" t="s">
        <v>7</v>
      </c>
      <c r="E141" s="39" t="s">
        <v>1229</v>
      </c>
      <c r="F141" s="40">
        <v>10500</v>
      </c>
      <c r="G141" s="41" t="s">
        <v>506</v>
      </c>
      <c r="H141" s="41" t="s">
        <v>507</v>
      </c>
    </row>
    <row r="142" spans="1:8" ht="27.6" x14ac:dyDescent="0.3">
      <c r="A142" s="38" t="s">
        <v>53</v>
      </c>
      <c r="B142" s="38" t="s">
        <v>508</v>
      </c>
      <c r="C142" s="38" t="s">
        <v>509</v>
      </c>
      <c r="D142" s="39" t="s">
        <v>56</v>
      </c>
      <c r="E142" s="39" t="s">
        <v>1185</v>
      </c>
      <c r="F142" s="40">
        <v>100000</v>
      </c>
      <c r="G142" s="41" t="s">
        <v>511</v>
      </c>
      <c r="H142" s="41" t="s">
        <v>161</v>
      </c>
    </row>
    <row r="143" spans="1:8" ht="55.2" x14ac:dyDescent="0.3">
      <c r="A143" s="38" t="s">
        <v>53</v>
      </c>
      <c r="B143" s="38" t="s">
        <v>508</v>
      </c>
      <c r="C143" s="38" t="s">
        <v>512</v>
      </c>
      <c r="D143" s="39" t="s">
        <v>56</v>
      </c>
      <c r="E143" s="39" t="s">
        <v>1185</v>
      </c>
      <c r="F143" s="40">
        <v>15750</v>
      </c>
      <c r="G143" s="41" t="s">
        <v>514</v>
      </c>
      <c r="H143" s="41" t="s">
        <v>161</v>
      </c>
    </row>
    <row r="144" spans="1:8" x14ac:dyDescent="0.3">
      <c r="A144" s="38" t="s">
        <v>22</v>
      </c>
      <c r="B144" s="38" t="s">
        <v>508</v>
      </c>
      <c r="C144" s="38" t="s">
        <v>158</v>
      </c>
      <c r="D144" s="39" t="s">
        <v>7</v>
      </c>
      <c r="E144" s="39" t="s">
        <v>1243</v>
      </c>
      <c r="F144" s="40">
        <v>495000</v>
      </c>
      <c r="G144" s="41" t="s">
        <v>516</v>
      </c>
      <c r="H144" s="41" t="s">
        <v>517</v>
      </c>
    </row>
    <row r="145" spans="1:8" x14ac:dyDescent="0.3">
      <c r="A145" s="38" t="s">
        <v>156</v>
      </c>
      <c r="B145" s="38" t="s">
        <v>508</v>
      </c>
      <c r="C145" s="38" t="s">
        <v>49</v>
      </c>
      <c r="D145" s="39" t="s">
        <v>7</v>
      </c>
      <c r="E145" s="39" t="s">
        <v>1186</v>
      </c>
      <c r="F145" s="40">
        <v>337620</v>
      </c>
      <c r="G145" s="41" t="s">
        <v>519</v>
      </c>
      <c r="H145" s="41" t="s">
        <v>7</v>
      </c>
    </row>
    <row r="146" spans="1:8" ht="27.6" x14ac:dyDescent="0.3">
      <c r="A146" s="38" t="s">
        <v>156</v>
      </c>
      <c r="B146" s="38" t="s">
        <v>508</v>
      </c>
      <c r="C146" s="38" t="s">
        <v>158</v>
      </c>
      <c r="D146" s="39" t="s">
        <v>7</v>
      </c>
      <c r="E146" s="39" t="s">
        <v>1248</v>
      </c>
      <c r="F146" s="40">
        <v>141750</v>
      </c>
      <c r="G146" s="41" t="s">
        <v>521</v>
      </c>
      <c r="H146" s="41" t="s">
        <v>59</v>
      </c>
    </row>
    <row r="147" spans="1:8" ht="27.6" x14ac:dyDescent="0.3">
      <c r="A147" s="38" t="s">
        <v>156</v>
      </c>
      <c r="B147" s="38" t="s">
        <v>508</v>
      </c>
      <c r="C147" s="38" t="s">
        <v>158</v>
      </c>
      <c r="D147" s="39" t="s">
        <v>7</v>
      </c>
      <c r="E147" s="39" t="s">
        <v>1192</v>
      </c>
      <c r="F147" s="40">
        <v>110000</v>
      </c>
      <c r="G147" s="41" t="s">
        <v>523</v>
      </c>
      <c r="H147" s="41" t="s">
        <v>145</v>
      </c>
    </row>
    <row r="148" spans="1:8" ht="41.4" x14ac:dyDescent="0.3">
      <c r="A148" s="38" t="s">
        <v>156</v>
      </c>
      <c r="B148" s="38" t="s">
        <v>524</v>
      </c>
      <c r="C148" s="38" t="s">
        <v>158</v>
      </c>
      <c r="D148" s="39" t="s">
        <v>7</v>
      </c>
      <c r="E148" s="39" t="s">
        <v>1196</v>
      </c>
      <c r="F148" s="40">
        <v>11600</v>
      </c>
      <c r="G148" s="41" t="s">
        <v>526</v>
      </c>
      <c r="H148" s="41" t="s">
        <v>263</v>
      </c>
    </row>
    <row r="149" spans="1:8" ht="55.2" x14ac:dyDescent="0.3">
      <c r="A149" s="38" t="s">
        <v>156</v>
      </c>
      <c r="B149" s="38" t="s">
        <v>524</v>
      </c>
      <c r="C149" s="38" t="s">
        <v>158</v>
      </c>
      <c r="D149" s="39" t="s">
        <v>7</v>
      </c>
      <c r="E149" s="39" t="s">
        <v>1196</v>
      </c>
      <c r="F149" s="40">
        <v>13235</v>
      </c>
      <c r="G149" s="41" t="s">
        <v>528</v>
      </c>
      <c r="H149" s="41" t="s">
        <v>263</v>
      </c>
    </row>
    <row r="150" spans="1:8" x14ac:dyDescent="0.3">
      <c r="A150" s="38" t="s">
        <v>156</v>
      </c>
      <c r="B150" s="38" t="s">
        <v>524</v>
      </c>
      <c r="C150" s="38" t="s">
        <v>158</v>
      </c>
      <c r="D150" s="39" t="s">
        <v>7</v>
      </c>
      <c r="E150" s="39" t="s">
        <v>1221</v>
      </c>
      <c r="F150" s="40">
        <v>26600</v>
      </c>
      <c r="G150" s="41" t="s">
        <v>530</v>
      </c>
      <c r="H150" s="41" t="s">
        <v>63</v>
      </c>
    </row>
    <row r="151" spans="1:8" ht="27.6" x14ac:dyDescent="0.3">
      <c r="A151" s="38" t="s">
        <v>156</v>
      </c>
      <c r="B151" s="38" t="s">
        <v>531</v>
      </c>
      <c r="C151" s="38" t="s">
        <v>158</v>
      </c>
      <c r="D151" s="39" t="s">
        <v>7</v>
      </c>
      <c r="E151" s="39" t="s">
        <v>1248</v>
      </c>
      <c r="F151" s="40">
        <v>83500</v>
      </c>
      <c r="G151" s="41" t="s">
        <v>533</v>
      </c>
      <c r="H151" s="41" t="s">
        <v>59</v>
      </c>
    </row>
  </sheetData>
  <autoFilter ref="A1:H1" xr:uid="{64D886CB-3F98-430D-88AF-99EB349A5152}"/>
  <phoneticPr fontId="5" type="noConversion"/>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5</vt:i4>
      </vt:variant>
      <vt:variant>
        <vt:lpstr>具名範圍</vt:lpstr>
      </vt:variant>
      <vt:variant>
        <vt:i4>1</vt:i4>
      </vt:variant>
    </vt:vector>
  </HeadingPairs>
  <TitlesOfParts>
    <vt:vector size="6" baseType="lpstr">
      <vt:lpstr>工作表1</vt:lpstr>
      <vt:lpstr>業務費</vt:lpstr>
      <vt:lpstr>國外旅費</vt:lpstr>
      <vt:lpstr>無形資產</vt:lpstr>
      <vt:lpstr>設備費</vt:lpstr>
      <vt:lpstr>工作表1!Print_Titles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會計</dc:title>
  <dc:creator>艾富資訊</dc:creator>
  <cp:lastModifiedBy>于欣 趙</cp:lastModifiedBy>
  <cp:lastPrinted>2019-11-27T07:41:44Z</cp:lastPrinted>
  <dcterms:created xsi:type="dcterms:W3CDTF">2019-11-19T07:34:42Z</dcterms:created>
  <dcterms:modified xsi:type="dcterms:W3CDTF">2026-05-29T07:34:31Z</dcterms:modified>
</cp:coreProperties>
</file>