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R大數據分析組\IR-躍升相關\經費收支明細\"/>
    </mc:Choice>
  </mc:AlternateContent>
  <xr:revisionPtr revIDLastSave="0" documentId="13_ncr:1_{814583A1-E610-4FEB-8DAC-A99CC782E202}" xr6:coauthVersionLast="47" xr6:coauthVersionMax="47" xr10:uidLastSave="{00000000-0000-0000-0000-000000000000}"/>
  <bookViews>
    <workbookView xWindow="28680" yWindow="-120" windowWidth="29040" windowHeight="15840" xr2:uid="{DEB7F6D8-750E-40F3-B511-66BA571B0662}"/>
  </bookViews>
  <sheets>
    <sheet name="115經費撥付與調整表-以此為主" sheetId="1" r:id="rId1"/>
  </sheets>
  <definedNames>
    <definedName name="_xlnm._FilterDatabase" localSheetId="0" hidden="1">'115經費撥付與調整表-以此為主'!$A$2:$P$51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1" l="1"/>
  <c r="J16" i="1"/>
  <c r="K25" i="1"/>
  <c r="J25" i="1"/>
  <c r="K37" i="1"/>
  <c r="O37" i="1" s="1"/>
  <c r="N12" i="1"/>
  <c r="N37" i="1"/>
  <c r="K12" i="1"/>
  <c r="O12" i="1" s="1"/>
  <c r="J13" i="1"/>
  <c r="J26" i="1"/>
  <c r="O26" i="1" s="1"/>
  <c r="F3" i="1"/>
  <c r="H3" i="1"/>
  <c r="I3" i="1"/>
  <c r="O3" i="1" s="1"/>
  <c r="F4" i="1"/>
  <c r="H4" i="1"/>
  <c r="I4" i="1"/>
  <c r="I50" i="1" s="1"/>
  <c r="F5" i="1"/>
  <c r="H5" i="1"/>
  <c r="I5" i="1"/>
  <c r="O5" i="1"/>
  <c r="F6" i="1"/>
  <c r="H6" i="1"/>
  <c r="I6" i="1"/>
  <c r="J6" i="1"/>
  <c r="M6" i="1"/>
  <c r="M50" i="1" s="1"/>
  <c r="O6" i="1"/>
  <c r="F7" i="1"/>
  <c r="H7" i="1"/>
  <c r="I7" i="1"/>
  <c r="O7" i="1"/>
  <c r="F8" i="1"/>
  <c r="H8" i="1"/>
  <c r="I8" i="1"/>
  <c r="O8" i="1" s="1"/>
  <c r="F9" i="1"/>
  <c r="H9" i="1"/>
  <c r="I9" i="1"/>
  <c r="O9" i="1"/>
  <c r="F10" i="1"/>
  <c r="H10" i="1"/>
  <c r="I10" i="1"/>
  <c r="O10" i="1"/>
  <c r="F11" i="1"/>
  <c r="H11" i="1"/>
  <c r="I11" i="1"/>
  <c r="O11" i="1"/>
  <c r="F12" i="1"/>
  <c r="H12" i="1"/>
  <c r="I12" i="1"/>
  <c r="F13" i="1"/>
  <c r="H13" i="1"/>
  <c r="I13" i="1"/>
  <c r="N13" i="1"/>
  <c r="N50" i="1" s="1"/>
  <c r="O13" i="1"/>
  <c r="F14" i="1"/>
  <c r="H14" i="1"/>
  <c r="I14" i="1"/>
  <c r="O14" i="1" s="1"/>
  <c r="F15" i="1"/>
  <c r="H15" i="1"/>
  <c r="I15" i="1"/>
  <c r="J15" i="1"/>
  <c r="K15" i="1"/>
  <c r="O15" i="1"/>
  <c r="F16" i="1"/>
  <c r="H16" i="1"/>
  <c r="I16" i="1"/>
  <c r="N16" i="1"/>
  <c r="O16" i="1"/>
  <c r="F17" i="1"/>
  <c r="H17" i="1"/>
  <c r="I17" i="1"/>
  <c r="O17" i="1"/>
  <c r="F18" i="1"/>
  <c r="H18" i="1"/>
  <c r="I18" i="1"/>
  <c r="O18" i="1"/>
  <c r="F19" i="1"/>
  <c r="H19" i="1"/>
  <c r="I19" i="1"/>
  <c r="O19" i="1" s="1"/>
  <c r="F20" i="1"/>
  <c r="H20" i="1"/>
  <c r="I20" i="1"/>
  <c r="O20" i="1"/>
  <c r="F21" i="1"/>
  <c r="H21" i="1"/>
  <c r="I21" i="1"/>
  <c r="O21" i="1"/>
  <c r="F22" i="1"/>
  <c r="H22" i="1"/>
  <c r="I22" i="1"/>
  <c r="O22" i="1"/>
  <c r="F23" i="1"/>
  <c r="H23" i="1"/>
  <c r="I23" i="1"/>
  <c r="O23" i="1"/>
  <c r="F24" i="1"/>
  <c r="H24" i="1"/>
  <c r="I24" i="1"/>
  <c r="O24" i="1"/>
  <c r="F25" i="1"/>
  <c r="H25" i="1"/>
  <c r="I25" i="1"/>
  <c r="F26" i="1"/>
  <c r="H26" i="1"/>
  <c r="I26" i="1"/>
  <c r="K26" i="1"/>
  <c r="N26" i="1"/>
  <c r="F27" i="1"/>
  <c r="H27" i="1"/>
  <c r="I27" i="1"/>
  <c r="O27" i="1"/>
  <c r="F28" i="1"/>
  <c r="H28" i="1"/>
  <c r="I28" i="1"/>
  <c r="O28" i="1"/>
  <c r="F29" i="1"/>
  <c r="H29" i="1"/>
  <c r="I29" i="1"/>
  <c r="J29" i="1"/>
  <c r="M29" i="1"/>
  <c r="O29" i="1"/>
  <c r="F30" i="1"/>
  <c r="H30" i="1"/>
  <c r="I30" i="1"/>
  <c r="O30" i="1" s="1"/>
  <c r="F31" i="1"/>
  <c r="H31" i="1"/>
  <c r="I31" i="1"/>
  <c r="O31" i="1"/>
  <c r="F32" i="1"/>
  <c r="H32" i="1"/>
  <c r="I32" i="1"/>
  <c r="O32" i="1" s="1"/>
  <c r="F33" i="1"/>
  <c r="H33" i="1"/>
  <c r="I33" i="1"/>
  <c r="O33" i="1"/>
  <c r="F34" i="1"/>
  <c r="H34" i="1"/>
  <c r="I34" i="1"/>
  <c r="O34" i="1"/>
  <c r="F35" i="1"/>
  <c r="H35" i="1"/>
  <c r="I35" i="1"/>
  <c r="O35" i="1"/>
  <c r="F36" i="1"/>
  <c r="H36" i="1"/>
  <c r="I36" i="1"/>
  <c r="O36" i="1" s="1"/>
  <c r="F37" i="1"/>
  <c r="H37" i="1"/>
  <c r="I37" i="1"/>
  <c r="F38" i="1"/>
  <c r="H38" i="1"/>
  <c r="I38" i="1"/>
  <c r="O38" i="1"/>
  <c r="F39" i="1"/>
  <c r="H39" i="1"/>
  <c r="I39" i="1"/>
  <c r="O39" i="1"/>
  <c r="F40" i="1"/>
  <c r="H40" i="1"/>
  <c r="I40" i="1"/>
  <c r="O40" i="1"/>
  <c r="F41" i="1"/>
  <c r="H41" i="1"/>
  <c r="I41" i="1"/>
  <c r="O41" i="1"/>
  <c r="F42" i="1"/>
  <c r="H42" i="1"/>
  <c r="I42" i="1"/>
  <c r="O42" i="1" s="1"/>
  <c r="F43" i="1"/>
  <c r="H43" i="1"/>
  <c r="I43" i="1"/>
  <c r="O43" i="1"/>
  <c r="F44" i="1"/>
  <c r="H44" i="1"/>
  <c r="I44" i="1"/>
  <c r="O44" i="1"/>
  <c r="F45" i="1"/>
  <c r="H45" i="1"/>
  <c r="I45" i="1"/>
  <c r="O45" i="1"/>
  <c r="F46" i="1"/>
  <c r="H46" i="1"/>
  <c r="I46" i="1"/>
  <c r="O46" i="1"/>
  <c r="F47" i="1"/>
  <c r="H47" i="1"/>
  <c r="I47" i="1"/>
  <c r="O47" i="1"/>
  <c r="F48" i="1"/>
  <c r="H48" i="1"/>
  <c r="I48" i="1"/>
  <c r="O48" i="1" s="1"/>
  <c r="O49" i="1"/>
  <c r="D50" i="1"/>
  <c r="E50" i="1"/>
  <c r="F50" i="1"/>
  <c r="G50" i="1"/>
  <c r="H50" i="1"/>
  <c r="L50" i="1"/>
  <c r="O25" i="1" l="1"/>
  <c r="K50" i="1"/>
  <c r="J50" i="1"/>
  <c r="O4" i="1"/>
  <c r="O50" i="1" l="1"/>
  <c r="N51" i="1"/>
</calcChain>
</file>

<file path=xl/sharedStrings.xml><?xml version="1.0" encoding="utf-8"?>
<sst xmlns="http://schemas.openxmlformats.org/spreadsheetml/2006/main" count="171" uniqueCount="134">
  <si>
    <t>總計</t>
    <phoneticPr fontId="2" type="noConversion"/>
  </si>
  <si>
    <t>UF02</t>
    <phoneticPr fontId="2" type="noConversion"/>
  </si>
  <si>
    <r>
      <rPr>
        <sz val="12"/>
        <color theme="1"/>
        <rFont val="標楷體"/>
        <family val="4"/>
        <charset val="136"/>
      </rPr>
      <t>環境與安全衛生工程系</t>
    </r>
  </si>
  <si>
    <r>
      <rPr>
        <sz val="12"/>
        <color theme="1"/>
        <rFont val="標楷體"/>
        <family val="4"/>
        <charset val="136"/>
      </rPr>
      <t>工學院</t>
    </r>
  </si>
  <si>
    <t>UM76</t>
    <phoneticPr fontId="2" type="noConversion"/>
  </si>
  <si>
    <r>
      <rPr>
        <sz val="12"/>
        <color theme="1"/>
        <rFont val="標楷體"/>
        <family val="4"/>
        <charset val="136"/>
      </rPr>
      <t>觀光管理系</t>
    </r>
  </si>
  <si>
    <r>
      <rPr>
        <sz val="12"/>
        <color theme="1"/>
        <rFont val="標楷體"/>
        <family val="4"/>
        <charset val="136"/>
      </rPr>
      <t>商業智慧學院</t>
    </r>
  </si>
  <si>
    <t>UF01</t>
    <phoneticPr fontId="2" type="noConversion"/>
  </si>
  <si>
    <r>
      <rPr>
        <sz val="12"/>
        <color theme="1"/>
        <rFont val="標楷體"/>
        <family val="4"/>
        <charset val="136"/>
      </rPr>
      <t>營建工程系</t>
    </r>
  </si>
  <si>
    <t>UJ03</t>
    <phoneticPr fontId="2" type="noConversion"/>
  </si>
  <si>
    <r>
      <rPr>
        <sz val="12"/>
        <color theme="1"/>
        <rFont val="標楷體"/>
        <family val="4"/>
        <charset val="136"/>
      </rPr>
      <t>應用德語系</t>
    </r>
  </si>
  <si>
    <r>
      <rPr>
        <sz val="12"/>
        <color theme="1"/>
        <rFont val="標楷體"/>
        <family val="4"/>
        <charset val="136"/>
      </rPr>
      <t>外語學院</t>
    </r>
  </si>
  <si>
    <t>UJ01</t>
    <phoneticPr fontId="2" type="noConversion"/>
  </si>
  <si>
    <r>
      <rPr>
        <sz val="12"/>
        <color theme="1"/>
        <rFont val="標楷體"/>
        <family val="4"/>
        <charset val="136"/>
      </rPr>
      <t>應用英語系</t>
    </r>
  </si>
  <si>
    <t>UJ02</t>
    <phoneticPr fontId="2" type="noConversion"/>
  </si>
  <si>
    <r>
      <rPr>
        <sz val="12"/>
        <color theme="1"/>
        <rFont val="標楷體"/>
        <family val="4"/>
        <charset val="136"/>
      </rPr>
      <t>應用日語系</t>
    </r>
  </si>
  <si>
    <t>UF09</t>
    <phoneticPr fontId="2" type="noConversion"/>
  </si>
  <si>
    <r>
      <rPr>
        <sz val="12"/>
        <color theme="1"/>
        <rFont val="標楷體"/>
        <family val="4"/>
        <charset val="136"/>
      </rPr>
      <t>機電工程系</t>
    </r>
  </si>
  <si>
    <r>
      <rPr>
        <sz val="12"/>
        <color theme="1"/>
        <rFont val="標楷體"/>
        <family val="4"/>
        <charset val="136"/>
      </rPr>
      <t>智慧機電學院</t>
    </r>
  </si>
  <si>
    <t>UE25</t>
    <phoneticPr fontId="2" type="noConversion"/>
  </si>
  <si>
    <r>
      <rPr>
        <sz val="12"/>
        <color theme="1"/>
        <rFont val="標楷體"/>
        <family val="4"/>
        <charset val="136"/>
      </rPr>
      <t>機械工程系</t>
    </r>
  </si>
  <si>
    <t>US03</t>
    <phoneticPr fontId="2" type="noConversion"/>
  </si>
  <si>
    <r>
      <rPr>
        <sz val="12"/>
        <color theme="1"/>
        <rFont val="標楷體"/>
        <family val="4"/>
        <charset val="136"/>
      </rPr>
      <t>水產養殖系</t>
    </r>
  </si>
  <si>
    <r>
      <rPr>
        <sz val="12"/>
        <color theme="1"/>
        <rFont val="標楷體"/>
        <family val="4"/>
        <charset val="136"/>
      </rPr>
      <t>水圈學院</t>
    </r>
  </si>
  <si>
    <t>UR02</t>
    <phoneticPr fontId="2" type="noConversion"/>
  </si>
  <si>
    <r>
      <rPr>
        <sz val="12"/>
        <color theme="1"/>
        <rFont val="標楷體"/>
        <family val="4"/>
        <charset val="136"/>
      </rPr>
      <t>輪機工程系</t>
    </r>
  </si>
  <si>
    <r>
      <rPr>
        <sz val="12"/>
        <color theme="1"/>
        <rFont val="標楷體"/>
        <family val="4"/>
        <charset val="136"/>
      </rPr>
      <t>海事學院</t>
    </r>
  </si>
  <si>
    <t>UE31</t>
    <phoneticPr fontId="2" type="noConversion"/>
  </si>
  <si>
    <r>
      <rPr>
        <sz val="12"/>
        <color theme="1"/>
        <rFont val="標楷體"/>
        <family val="4"/>
        <charset val="136"/>
      </rPr>
      <t>模具工程系</t>
    </r>
  </si>
  <si>
    <t>US19</t>
    <phoneticPr fontId="2" type="noConversion"/>
  </si>
  <si>
    <r>
      <rPr>
        <sz val="12"/>
        <color theme="1"/>
        <rFont val="標楷體"/>
        <family val="4"/>
        <charset val="136"/>
      </rPr>
      <t>漁業科技與管理系</t>
    </r>
  </si>
  <si>
    <t>UE27</t>
    <phoneticPr fontId="2" type="noConversion"/>
  </si>
  <si>
    <r>
      <rPr>
        <sz val="12"/>
        <color theme="1"/>
        <rFont val="標楷體"/>
        <family val="4"/>
        <charset val="136"/>
      </rPr>
      <t>電機工程系</t>
    </r>
  </si>
  <si>
    <r>
      <rPr>
        <sz val="12"/>
        <color theme="1"/>
        <rFont val="標楷體"/>
        <family val="4"/>
        <charset val="136"/>
      </rPr>
      <t>電機與資訊學院</t>
    </r>
  </si>
  <si>
    <t>UD03</t>
    <phoneticPr fontId="2" type="noConversion"/>
  </si>
  <si>
    <r>
      <rPr>
        <sz val="12"/>
        <color theme="1"/>
        <rFont val="標楷體"/>
        <family val="4"/>
        <charset val="136"/>
      </rPr>
      <t>電腦與通訊工程系</t>
    </r>
  </si>
  <si>
    <t>UQ03</t>
    <phoneticPr fontId="2" type="noConversion"/>
  </si>
  <si>
    <r>
      <rPr>
        <sz val="12"/>
        <color theme="1"/>
        <rFont val="標楷體"/>
        <family val="4"/>
        <charset val="136"/>
      </rPr>
      <t>電訊工程系</t>
    </r>
  </si>
  <si>
    <t>UD02</t>
    <phoneticPr fontId="2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</si>
  <si>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第一</t>
    </r>
    <r>
      <rPr>
        <sz val="12"/>
        <color theme="1"/>
        <rFont val="Times New Roman"/>
        <family val="1"/>
      </rPr>
      <t>)</t>
    </r>
  </si>
  <si>
    <t>UE29</t>
    <phoneticPr fontId="2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</si>
  <si>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建工</t>
    </r>
    <r>
      <rPr>
        <sz val="12"/>
        <color theme="1"/>
        <rFont val="Times New Roman"/>
        <family val="1"/>
      </rPr>
      <t>)</t>
    </r>
  </si>
  <si>
    <t>UN02</t>
    <phoneticPr fontId="2" type="noConversion"/>
  </si>
  <si>
    <r>
      <rPr>
        <sz val="12"/>
        <color theme="1"/>
        <rFont val="標楷體"/>
        <family val="4"/>
        <charset val="136"/>
      </rPr>
      <t>運籌管理系</t>
    </r>
  </si>
  <si>
    <r>
      <rPr>
        <sz val="12"/>
        <color theme="1"/>
        <rFont val="標楷體"/>
        <family val="4"/>
        <charset val="136"/>
      </rPr>
      <t>管理學院</t>
    </r>
  </si>
  <si>
    <t>UN01</t>
    <phoneticPr fontId="2" type="noConversion"/>
  </si>
  <si>
    <r>
      <rPr>
        <sz val="12"/>
        <color theme="1"/>
        <rFont val="標楷體"/>
        <family val="4"/>
        <charset val="136"/>
      </rPr>
      <t>資訊管理系</t>
    </r>
  </si>
  <si>
    <t>UE15</t>
    <phoneticPr fontId="2" type="noConversion"/>
  </si>
  <si>
    <r>
      <rPr>
        <sz val="12"/>
        <color theme="1"/>
        <rFont val="標楷體"/>
        <family val="4"/>
        <charset val="136"/>
      </rPr>
      <t>資訊工程系</t>
    </r>
  </si>
  <si>
    <r>
      <rPr>
        <sz val="12"/>
        <color theme="1"/>
        <rFont val="標楷體"/>
        <family val="4"/>
        <charset val="136"/>
      </rPr>
      <t>以業務費</t>
    </r>
    <r>
      <rPr>
        <sz val="12"/>
        <color theme="1"/>
        <rFont val="Times New Roman"/>
        <family val="1"/>
      </rPr>
      <t>-173,800</t>
    </r>
    <r>
      <rPr>
        <sz val="12"/>
        <color theme="1"/>
        <rFont val="標楷體"/>
        <family val="4"/>
        <charset val="136"/>
      </rPr>
      <t>元與工管系交換無形資產</t>
    </r>
    <r>
      <rPr>
        <sz val="12"/>
        <color theme="1"/>
        <rFont val="Times New Roman"/>
        <family val="1"/>
      </rPr>
      <t>173,800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</si>
  <si>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UP04</t>
    <phoneticPr fontId="2" type="noConversion"/>
  </si>
  <si>
    <r>
      <rPr>
        <sz val="12"/>
        <color theme="1"/>
        <rFont val="標楷體"/>
        <family val="4"/>
        <charset val="136"/>
      </rPr>
      <t>會計資訊系</t>
    </r>
  </si>
  <si>
    <t>UT01</t>
    <phoneticPr fontId="2" type="noConversion"/>
  </si>
  <si>
    <r>
      <rPr>
        <sz val="12"/>
        <color theme="1"/>
        <rFont val="標楷體"/>
        <family val="4"/>
        <charset val="136"/>
      </rPr>
      <t>智慧商務系</t>
    </r>
  </si>
  <si>
    <t>UQ01</t>
    <phoneticPr fontId="2" type="noConversion"/>
  </si>
  <si>
    <r>
      <rPr>
        <sz val="12"/>
        <color theme="1"/>
        <rFont val="標楷體"/>
        <family val="4"/>
        <charset val="136"/>
      </rPr>
      <t>造船及海洋工程系</t>
    </r>
  </si>
  <si>
    <t>UC11</t>
    <phoneticPr fontId="2" type="noConversion"/>
  </si>
  <si>
    <r>
      <rPr>
        <sz val="12"/>
        <color theme="1"/>
        <rFont val="標楷體"/>
        <family val="4"/>
        <charset val="136"/>
      </rPr>
      <t>國際企業系</t>
    </r>
  </si>
  <si>
    <t>UV01</t>
    <phoneticPr fontId="2" type="noConversion"/>
  </si>
  <si>
    <r>
      <rPr>
        <sz val="12"/>
        <color theme="1"/>
        <rFont val="標楷體"/>
        <family val="4"/>
        <charset val="136"/>
      </rPr>
      <t>商務資訊應用系</t>
    </r>
  </si>
  <si>
    <r>
      <rPr>
        <sz val="12"/>
        <color theme="1"/>
        <rFont val="標楷體"/>
        <family val="4"/>
        <charset val="136"/>
      </rPr>
      <t>海洋商務學院</t>
    </r>
  </si>
  <si>
    <r>
      <t>1.(</t>
    </r>
    <r>
      <rPr>
        <sz val="12"/>
        <color theme="1"/>
        <rFont val="標楷體"/>
        <family val="4"/>
        <charset val="136"/>
      </rPr>
      <t>業務費</t>
    </r>
    <r>
      <rPr>
        <sz val="12"/>
        <color theme="1"/>
        <rFont val="Times New Roman"/>
        <family val="1"/>
      </rPr>
      <t>+103,142)</t>
    </r>
    <r>
      <rPr>
        <sz val="12"/>
        <color theme="1"/>
        <rFont val="標楷體"/>
        <family val="4"/>
        <charset val="136"/>
      </rPr>
      <t>與風管系、國企系合辦國際研討會，並統一由財管系報支，兩系授權業務費共計</t>
    </r>
    <r>
      <rPr>
        <sz val="12"/>
        <color theme="1"/>
        <rFont val="Times New Roman"/>
        <family val="1"/>
      </rPr>
      <t>103,142</t>
    </r>
    <r>
      <rPr>
        <sz val="12"/>
        <color theme="1"/>
        <rFont val="標楷體"/>
        <family val="4"/>
        <charset val="136"/>
      </rPr>
      <t>元。</t>
    </r>
    <phoneticPr fontId="2" type="noConversion"/>
  </si>
  <si>
    <t>UP03</t>
    <phoneticPr fontId="2" type="noConversion"/>
  </si>
  <si>
    <r>
      <rPr>
        <sz val="12"/>
        <color theme="1"/>
        <rFont val="標楷體"/>
        <family val="4"/>
        <charset val="136"/>
      </rPr>
      <t>財務管理系</t>
    </r>
  </si>
  <si>
    <t>UT03</t>
    <phoneticPr fontId="2" type="noConversion"/>
  </si>
  <si>
    <r>
      <rPr>
        <sz val="12"/>
        <color theme="1"/>
        <rFont val="標楷體"/>
        <family val="4"/>
        <charset val="136"/>
      </rPr>
      <t>財政稅務系</t>
    </r>
  </si>
  <si>
    <t>UO01</t>
    <phoneticPr fontId="2" type="noConversion"/>
  </si>
  <si>
    <r>
      <rPr>
        <sz val="12"/>
        <color theme="1"/>
        <rFont val="標楷體"/>
        <family val="4"/>
        <charset val="136"/>
      </rPr>
      <t>航運管理系</t>
    </r>
  </si>
  <si>
    <t>UR01</t>
    <phoneticPr fontId="2" type="noConversion"/>
  </si>
  <si>
    <r>
      <rPr>
        <sz val="12"/>
        <color theme="1"/>
        <rFont val="標楷體"/>
        <family val="4"/>
        <charset val="136"/>
      </rPr>
      <t>航運技術系</t>
    </r>
  </si>
  <si>
    <t>UQ04</t>
    <phoneticPr fontId="2" type="noConversion"/>
  </si>
  <si>
    <r>
      <rPr>
        <sz val="12"/>
        <color theme="1"/>
        <rFont val="標楷體"/>
        <family val="4"/>
        <charset val="136"/>
      </rPr>
      <t>海洋環境工程系</t>
    </r>
  </si>
  <si>
    <t>UR03</t>
    <phoneticPr fontId="2" type="noConversion"/>
  </si>
  <si>
    <r>
      <rPr>
        <sz val="12"/>
        <color theme="1"/>
        <rFont val="標楷體"/>
        <family val="4"/>
        <charset val="136"/>
      </rPr>
      <t>海事資訊科技系</t>
    </r>
  </si>
  <si>
    <t>UO04</t>
    <phoneticPr fontId="2" type="noConversion"/>
  </si>
  <si>
    <r>
      <rPr>
        <sz val="12"/>
        <color theme="1"/>
        <rFont val="標楷體"/>
        <family val="4"/>
        <charset val="136"/>
      </rPr>
      <t>海洋休閒管理系</t>
    </r>
  </si>
  <si>
    <t>US04</t>
    <phoneticPr fontId="2" type="noConversion"/>
  </si>
  <si>
    <r>
      <rPr>
        <sz val="12"/>
        <color theme="1"/>
        <rFont val="標楷體"/>
        <family val="4"/>
        <charset val="136"/>
      </rPr>
      <t>海洋生物技術系</t>
    </r>
  </si>
  <si>
    <t>UP02</t>
    <phoneticPr fontId="2" type="noConversion"/>
  </si>
  <si>
    <r>
      <rPr>
        <sz val="12"/>
        <color theme="1"/>
        <rFont val="標楷體"/>
        <family val="4"/>
        <charset val="136"/>
      </rPr>
      <t>風險管理與保險系</t>
    </r>
  </si>
  <si>
    <r>
      <t>1.</t>
    </r>
    <r>
      <rPr>
        <sz val="12"/>
        <rFont val="標楷體"/>
        <family val="4"/>
        <charset val="136"/>
      </rPr>
      <t>以國外旅費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元與國企系交換業務費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元。</t>
    </r>
    <phoneticPr fontId="2" type="noConversion"/>
  </si>
  <si>
    <t>UN03</t>
    <phoneticPr fontId="2" type="noConversion"/>
  </si>
  <si>
    <r>
      <rPr>
        <sz val="12"/>
        <color theme="1"/>
        <rFont val="標楷體"/>
        <family val="4"/>
        <charset val="136"/>
      </rPr>
      <t>科技法律研究所</t>
    </r>
  </si>
  <si>
    <t>UP01</t>
    <phoneticPr fontId="2" type="noConversion"/>
  </si>
  <si>
    <r>
      <rPr>
        <sz val="12"/>
        <color theme="1"/>
        <rFont val="標楷體"/>
        <family val="4"/>
        <charset val="136"/>
      </rPr>
      <t>金融系</t>
    </r>
  </si>
  <si>
    <t>UC45</t>
    <phoneticPr fontId="2" type="noConversion"/>
  </si>
  <si>
    <r>
      <rPr>
        <sz val="12"/>
        <color theme="1"/>
        <rFont val="標楷體"/>
        <family val="4"/>
        <charset val="136"/>
      </rPr>
      <t>金融資訊系</t>
    </r>
  </si>
  <si>
    <t>UO03</t>
    <phoneticPr fontId="2" type="noConversion"/>
  </si>
  <si>
    <r>
      <rPr>
        <sz val="12"/>
        <color theme="1"/>
        <rFont val="標楷體"/>
        <family val="4"/>
        <charset val="136"/>
      </rPr>
      <t>供應鏈管理系</t>
    </r>
  </si>
  <si>
    <t>UN04</t>
    <phoneticPr fontId="2" type="noConversion"/>
  </si>
  <si>
    <r>
      <rPr>
        <sz val="12"/>
        <color theme="1"/>
        <rFont val="標楷體"/>
        <family val="4"/>
        <charset val="136"/>
      </rPr>
      <t>行銷與流通管理系</t>
    </r>
  </si>
  <si>
    <t>UM74</t>
    <phoneticPr fontId="2" type="noConversion"/>
  </si>
  <si>
    <r>
      <rPr>
        <sz val="12"/>
        <color theme="1"/>
        <rFont val="標楷體"/>
        <family val="4"/>
        <charset val="136"/>
      </rPr>
      <t>企業管理系</t>
    </r>
  </si>
  <si>
    <t>UB03</t>
    <phoneticPr fontId="2" type="noConversion"/>
  </si>
  <si>
    <r>
      <rPr>
        <sz val="12"/>
        <color theme="1"/>
        <rFont val="標楷體"/>
        <family val="4"/>
        <charset val="136"/>
      </rPr>
      <t>半導體工程系</t>
    </r>
  </si>
  <si>
    <t>US02</t>
    <phoneticPr fontId="2" type="noConversion"/>
  </si>
  <si>
    <r>
      <rPr>
        <sz val="12"/>
        <color theme="1"/>
        <rFont val="標楷體"/>
        <family val="4"/>
        <charset val="136"/>
      </rPr>
      <t>水產食品科學系</t>
    </r>
  </si>
  <si>
    <t>UE16</t>
    <phoneticPr fontId="2" type="noConversion"/>
  </si>
  <si>
    <r>
      <rPr>
        <sz val="12"/>
        <color theme="1"/>
        <rFont val="標楷體"/>
        <family val="4"/>
        <charset val="136"/>
      </rPr>
      <t>化學工程與材料工程系</t>
    </r>
  </si>
  <si>
    <r>
      <t>1.</t>
    </r>
    <r>
      <rPr>
        <sz val="12"/>
        <color theme="1"/>
        <rFont val="標楷體"/>
        <family val="4"/>
        <charset val="136"/>
      </rPr>
      <t>以無形資產</t>
    </r>
    <r>
      <rPr>
        <sz val="12"/>
        <color theme="1"/>
        <rFont val="Times New Roman"/>
        <family val="1"/>
      </rPr>
      <t>-173,800</t>
    </r>
    <r>
      <rPr>
        <sz val="12"/>
        <color theme="1"/>
        <rFont val="標楷體"/>
        <family val="4"/>
        <charset val="136"/>
      </rPr>
      <t>元與會資系交換業務費</t>
    </r>
    <r>
      <rPr>
        <sz val="12"/>
        <color theme="1"/>
        <rFont val="Times New Roman"/>
        <family val="1"/>
      </rPr>
      <t>173,800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</si>
  <si>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UE72</t>
    <phoneticPr fontId="2" type="noConversion"/>
  </si>
  <si>
    <r>
      <rPr>
        <sz val="12"/>
        <color theme="1"/>
        <rFont val="標楷體"/>
        <family val="4"/>
        <charset val="136"/>
      </rPr>
      <t>工業工程與管理系</t>
    </r>
  </si>
  <si>
    <t>工學院</t>
    <phoneticPr fontId="2" type="noConversion"/>
  </si>
  <si>
    <t>UF08</t>
    <phoneticPr fontId="2" type="noConversion"/>
  </si>
  <si>
    <r>
      <rPr>
        <sz val="12"/>
        <color theme="1"/>
        <rFont val="標楷體"/>
        <family val="4"/>
        <charset val="136"/>
      </rPr>
      <t>工業設計系</t>
    </r>
  </si>
  <si>
    <r>
      <rPr>
        <sz val="12"/>
        <color theme="1"/>
        <rFont val="標楷體"/>
        <family val="4"/>
        <charset val="136"/>
      </rPr>
      <t>創新設計學院</t>
    </r>
  </si>
  <si>
    <t>UE23</t>
    <phoneticPr fontId="2" type="noConversion"/>
  </si>
  <si>
    <r>
      <rPr>
        <sz val="12"/>
        <color theme="1"/>
        <rFont val="標楷體"/>
        <family val="4"/>
        <charset val="136"/>
      </rPr>
      <t>土木工程系</t>
    </r>
  </si>
  <si>
    <t>UH53</t>
    <phoneticPr fontId="2" type="noConversion"/>
  </si>
  <si>
    <r>
      <rPr>
        <sz val="12"/>
        <color theme="1"/>
        <rFont val="標楷體"/>
        <family val="4"/>
        <charset val="136"/>
      </rPr>
      <t>人力資源發展系</t>
    </r>
  </si>
  <si>
    <r>
      <rPr>
        <sz val="12"/>
        <color theme="1"/>
        <rFont val="標楷體"/>
        <family val="4"/>
        <charset val="136"/>
      </rPr>
      <t>設備費</t>
    </r>
  </si>
  <si>
    <r>
      <rPr>
        <sz val="12"/>
        <color theme="1"/>
        <rFont val="標楷體"/>
        <family val="4"/>
        <charset val="136"/>
      </rPr>
      <t>無形資產</t>
    </r>
  </si>
  <si>
    <r>
      <rPr>
        <sz val="12"/>
        <color theme="1"/>
        <rFont val="標楷體"/>
        <family val="4"/>
        <charset val="136"/>
      </rPr>
      <t>大陸地區旅費</t>
    </r>
  </si>
  <si>
    <r>
      <rPr>
        <sz val="12"/>
        <color theme="1"/>
        <rFont val="標楷體"/>
        <family val="4"/>
        <charset val="136"/>
      </rPr>
      <t>國外旅費</t>
    </r>
  </si>
  <si>
    <r>
      <rPr>
        <sz val="12"/>
        <color theme="1"/>
        <rFont val="標楷體"/>
        <family val="4"/>
        <charset val="136"/>
      </rPr>
      <t>業務費</t>
    </r>
  </si>
  <si>
    <t>業務費餘額</t>
    <phoneticPr fontId="2" type="noConversion"/>
  </si>
  <si>
    <r>
      <rPr>
        <sz val="12"/>
        <color theme="1"/>
        <rFont val="標楷體"/>
        <family val="4"/>
        <charset val="136"/>
      </rPr>
      <t>實支率</t>
    </r>
    <phoneticPr fontId="2" type="noConversion"/>
  </si>
  <si>
    <r>
      <rPr>
        <sz val="12"/>
        <color theme="1"/>
        <rFont val="標楷體"/>
        <family val="4"/>
        <charset val="136"/>
      </rPr>
      <t>實支數</t>
    </r>
    <phoneticPr fontId="2" type="noConversion"/>
  </si>
  <si>
    <r>
      <rPr>
        <sz val="12"/>
        <color theme="1"/>
        <rFont val="標楷體"/>
        <family val="4"/>
        <charset val="136"/>
      </rPr>
      <t>動支率</t>
    </r>
    <phoneticPr fontId="2" type="noConversion"/>
  </si>
  <si>
    <r>
      <rPr>
        <sz val="12"/>
        <color theme="1"/>
        <rFont val="標楷體"/>
        <family val="4"/>
        <charset val="136"/>
      </rPr>
      <t>動支數</t>
    </r>
    <phoneticPr fontId="2" type="noConversion"/>
  </si>
  <si>
    <t>調整說明</t>
    <phoneticPr fontId="2" type="noConversion"/>
  </si>
  <si>
    <r>
      <rPr>
        <sz val="12"/>
        <color theme="1"/>
        <rFont val="標楷體"/>
        <family val="4"/>
        <charset val="136"/>
      </rPr>
      <t>兩期合計</t>
    </r>
  </si>
  <si>
    <r>
      <rPr>
        <sz val="12"/>
        <color theme="1"/>
        <rFont val="標楷體"/>
        <family val="4"/>
        <charset val="136"/>
      </rPr>
      <t>第二期</t>
    </r>
    <r>
      <rPr>
        <sz val="12"/>
        <color theme="1"/>
        <rFont val="Times New Roman"/>
        <family val="1"/>
      </rPr>
      <t>(115TSD00-8)</t>
    </r>
    <r>
      <rPr>
        <sz val="12"/>
        <color theme="1"/>
        <rFont val="標楷體"/>
        <family val="4"/>
        <charset val="136"/>
      </rPr>
      <t>撥付</t>
    </r>
    <phoneticPr fontId="2" type="noConversion"/>
  </si>
  <si>
    <r>
      <rPr>
        <sz val="12"/>
        <color theme="1"/>
        <rFont val="標楷體"/>
        <family val="4"/>
        <charset val="136"/>
      </rPr>
      <t>第一期</t>
    </r>
    <r>
      <rPr>
        <sz val="12"/>
        <color theme="1"/>
        <rFont val="Times New Roman"/>
        <family val="1"/>
      </rPr>
      <t>(114TSD00-15)</t>
    </r>
    <phoneticPr fontId="2" type="noConversion"/>
  </si>
  <si>
    <t>帳號</t>
    <phoneticPr fontId="2" type="noConversion"/>
  </si>
  <si>
    <r>
      <rPr>
        <sz val="12"/>
        <color theme="1"/>
        <rFont val="標楷體"/>
        <family val="4"/>
        <charset val="136"/>
      </rPr>
      <t>系所</t>
    </r>
  </si>
  <si>
    <r>
      <rPr>
        <sz val="12"/>
        <color theme="1"/>
        <rFont val="標楷體"/>
        <family val="4"/>
        <charset val="136"/>
      </rPr>
      <t>學院</t>
    </r>
  </si>
  <si>
    <r>
      <t>115.06</t>
    </r>
    <r>
      <rPr>
        <sz val="12"/>
        <color theme="1"/>
        <rFont val="標楷體"/>
        <family val="4"/>
        <charset val="136"/>
      </rPr>
      <t>專簽奉准，設備費</t>
    </r>
    <r>
      <rPr>
        <sz val="12"/>
        <color theme="1"/>
        <rFont val="Times New Roman"/>
        <family val="1"/>
      </rPr>
      <t>140</t>
    </r>
    <r>
      <rPr>
        <sz val="12"/>
        <color theme="1"/>
        <rFont val="標楷體"/>
        <family val="4"/>
        <charset val="136"/>
      </rPr>
      <t>萬調整為設備費</t>
    </r>
    <r>
      <rPr>
        <sz val="12"/>
        <color theme="1"/>
        <rFont val="Times New Roman"/>
        <family val="1"/>
      </rPr>
      <t>92</t>
    </r>
    <r>
      <rPr>
        <sz val="12"/>
        <color theme="1"/>
        <rFont val="標楷體"/>
        <family val="4"/>
        <charset val="136"/>
      </rPr>
      <t>萬與無形資產</t>
    </r>
    <r>
      <rPr>
        <sz val="12"/>
        <color theme="1"/>
        <rFont val="Times New Roman"/>
        <family val="1"/>
      </rPr>
      <t>48</t>
    </r>
    <r>
      <rPr>
        <sz val="12"/>
        <color theme="1"/>
        <rFont val="標楷體"/>
        <family val="4"/>
        <charset val="136"/>
      </rPr>
      <t>萬。</t>
    </r>
    <phoneticPr fontId="2" type="noConversion"/>
  </si>
  <si>
    <r>
      <t>1</t>
    </r>
    <r>
      <rPr>
        <sz val="12"/>
        <color theme="1"/>
        <rFont val="標楷體"/>
        <family val="4"/>
        <charset val="136"/>
      </rPr>
      <t>.</t>
    </r>
    <r>
      <rPr>
        <sz val="12"/>
        <color theme="1"/>
        <rFont val="Times New Roman"/>
        <family val="1"/>
      </rPr>
      <t>6</t>
    </r>
    <r>
      <rPr>
        <sz val="12"/>
        <color theme="1"/>
        <rFont val="標楷體"/>
        <family val="4"/>
        <charset val="136"/>
      </rPr>
      <t>月國企系授權設備費$</t>
    </r>
    <r>
      <rPr>
        <sz val="12"/>
        <color theme="1"/>
        <rFont val="Times New Roman"/>
        <family val="1"/>
      </rPr>
      <t>26,415</t>
    </r>
    <r>
      <rPr>
        <sz val="12"/>
        <color theme="1"/>
        <rFont val="標楷體"/>
        <family val="4"/>
        <charset val="136"/>
      </rPr>
      <t>與金資系合購設備</t>
    </r>
    <r>
      <rPr>
        <sz val="12"/>
        <color theme="1"/>
        <rFont val="Times New Roman"/>
        <family val="1"/>
      </rPr>
      <t xml:space="preserve">
2.6</t>
    </r>
    <r>
      <rPr>
        <sz val="12"/>
        <color theme="1"/>
        <rFont val="標楷體"/>
        <family val="1"/>
        <charset val="136"/>
      </rPr>
      <t>月授權328元給國企系</t>
    </r>
    <phoneticPr fontId="2" type="noConversion"/>
  </si>
  <si>
    <r>
      <t>7月以國外旅費-</t>
    </r>
    <r>
      <rPr>
        <sz val="12"/>
        <color theme="1"/>
        <rFont val="標楷體"/>
        <family val="1"/>
        <charset val="136"/>
      </rPr>
      <t>70,000</t>
    </r>
    <r>
      <rPr>
        <sz val="12"/>
        <color theme="1"/>
        <rFont val="標楷體"/>
        <family val="4"/>
        <charset val="136"/>
      </rPr>
      <t>元與電機系交換設備費</t>
    </r>
    <r>
      <rPr>
        <sz val="12"/>
        <color theme="1"/>
        <rFont val="標楷體"/>
        <family val="1"/>
        <charset val="136"/>
      </rPr>
      <t>70,000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</si>
  <si>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7月以設備費-70,000元與供應鏈系交換國外旅費70,000元</t>
    <phoneticPr fontId="2" type="noConversion"/>
  </si>
  <si>
    <r>
      <rPr>
        <sz val="12"/>
        <color theme="1"/>
        <rFont val="標楷體"/>
        <family val="4"/>
        <charset val="136"/>
      </rPr>
      <t>1.商資系用國外旅費</t>
    </r>
    <r>
      <rPr>
        <sz val="12"/>
        <color theme="1"/>
        <rFont val="Times New Roman"/>
        <family val="1"/>
      </rPr>
      <t>$16,995</t>
    </r>
    <r>
      <rPr>
        <sz val="12"/>
        <color theme="1"/>
        <rFont val="標楷體"/>
        <family val="4"/>
        <charset val="136"/>
      </rPr>
      <t>與風管系交換業務費</t>
    </r>
    <phoneticPr fontId="2" type="noConversion"/>
  </si>
  <si>
    <r>
      <t>1.(</t>
    </r>
    <r>
      <rPr>
        <sz val="12"/>
        <color theme="1"/>
        <rFont val="標楷體"/>
        <family val="4"/>
        <charset val="136"/>
      </rPr>
      <t>設備費</t>
    </r>
    <r>
      <rPr>
        <sz val="12"/>
        <color theme="1"/>
        <rFont val="Times New Roman"/>
        <family val="1"/>
      </rPr>
      <t>+5723)114</t>
    </r>
    <r>
      <rPr>
        <sz val="12"/>
        <color theme="1"/>
        <rFont val="標楷體"/>
        <family val="4"/>
        <charset val="136"/>
      </rPr>
      <t>年國企系設備費超支</t>
    </r>
    <r>
      <rPr>
        <sz val="12"/>
        <color theme="1"/>
        <rFont val="Times New Roman"/>
        <family val="1"/>
      </rPr>
      <t>$5723</t>
    </r>
    <r>
      <rPr>
        <sz val="12"/>
        <color theme="1"/>
        <rFont val="標楷體"/>
        <family val="4"/>
        <charset val="136"/>
      </rPr>
      <t>，向風管系借，</t>
    </r>
    <r>
      <rPr>
        <sz val="12"/>
        <color theme="1"/>
        <rFont val="Times New Roman"/>
        <family val="1"/>
      </rPr>
      <t>115</t>
    </r>
    <r>
      <rPr>
        <sz val="12"/>
        <color theme="1"/>
        <rFont val="標楷體"/>
        <family val="4"/>
        <charset val="136"/>
      </rPr>
      <t>年國企系還</t>
    </r>
    <r>
      <rPr>
        <sz val="12"/>
        <color theme="1"/>
        <rFont val="Times New Roman"/>
        <family val="1"/>
      </rPr>
      <t>$5723
2.(</t>
    </r>
    <r>
      <rPr>
        <sz val="12"/>
        <color theme="1"/>
        <rFont val="標楷體"/>
        <family val="4"/>
        <charset val="136"/>
      </rPr>
      <t>業務費</t>
    </r>
    <r>
      <rPr>
        <sz val="12"/>
        <color theme="1"/>
        <rFont val="Times New Roman"/>
        <family val="1"/>
      </rPr>
      <t>-51,571)</t>
    </r>
    <r>
      <rPr>
        <sz val="12"/>
        <color theme="1"/>
        <rFont val="標楷體"/>
        <family val="4"/>
        <charset val="136"/>
      </rPr>
      <t>與財管系合辦國際研討會，並統一由財管系報支，授權業務費</t>
    </r>
    <r>
      <rPr>
        <sz val="12"/>
        <color theme="1"/>
        <rFont val="Times New Roman"/>
        <family val="1"/>
      </rPr>
      <t>51,571</t>
    </r>
    <r>
      <rPr>
        <sz val="12"/>
        <color theme="1"/>
        <rFont val="標楷體"/>
        <family val="4"/>
        <charset val="136"/>
      </rPr>
      <t>給財管系。</t>
    </r>
    <r>
      <rPr>
        <sz val="12"/>
        <color theme="1"/>
        <rFont val="Times New Roman"/>
        <family val="1"/>
      </rPr>
      <t xml:space="preserve">
3.</t>
    </r>
    <r>
      <rPr>
        <sz val="12"/>
        <color theme="1"/>
        <rFont val="標楷體"/>
        <family val="4"/>
        <charset val="136"/>
      </rPr>
      <t>商資系用國外旅費</t>
    </r>
    <r>
      <rPr>
        <sz val="12"/>
        <color theme="1"/>
        <rFont val="Times New Roman"/>
        <family val="1"/>
      </rPr>
      <t>$16,995</t>
    </r>
    <r>
      <rPr>
        <sz val="12"/>
        <color theme="1"/>
        <rFont val="標楷體"/>
        <family val="4"/>
        <charset val="136"/>
      </rPr>
      <t>與風管系交換業務費</t>
    </r>
    <phoneticPr fontId="2" type="noConversion"/>
  </si>
  <si>
    <r>
      <t>1.(</t>
    </r>
    <r>
      <rPr>
        <sz val="12"/>
        <rFont val="標楷體"/>
        <family val="4"/>
        <charset val="136"/>
      </rPr>
      <t>設備費</t>
    </r>
    <r>
      <rPr>
        <sz val="12"/>
        <rFont val="Times New Roman"/>
        <family val="1"/>
      </rPr>
      <t>-5723)114</t>
    </r>
    <r>
      <rPr>
        <sz val="12"/>
        <rFont val="標楷體"/>
        <family val="4"/>
        <charset val="136"/>
      </rPr>
      <t>年設備費超支</t>
    </r>
    <r>
      <rPr>
        <sz val="12"/>
        <rFont val="Times New Roman"/>
        <family val="1"/>
      </rPr>
      <t>$5723</t>
    </r>
    <r>
      <rPr>
        <sz val="12"/>
        <rFont val="標楷體"/>
        <family val="4"/>
        <charset val="136"/>
      </rPr>
      <t>，向風管系借，</t>
    </r>
    <r>
      <rPr>
        <sz val="12"/>
        <rFont val="Times New Roman"/>
        <family val="1"/>
      </rPr>
      <t>115</t>
    </r>
    <r>
      <rPr>
        <sz val="12"/>
        <rFont val="標楷體"/>
        <family val="4"/>
        <charset val="136"/>
      </rPr>
      <t>年還</t>
    </r>
    <r>
      <rPr>
        <sz val="12"/>
        <rFont val="Times New Roman"/>
        <family val="1"/>
      </rPr>
      <t>$5723
2.</t>
    </r>
    <r>
      <rPr>
        <sz val="12"/>
        <rFont val="標楷體"/>
        <family val="4"/>
        <charset val="136"/>
      </rPr>
      <t>以業務費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元與科法所交換國外旅費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 xml:space="preserve">元。
</t>
    </r>
    <r>
      <rPr>
        <sz val="12"/>
        <rFont val="Times New Roman"/>
        <family val="1"/>
      </rPr>
      <t>3.(</t>
    </r>
    <r>
      <rPr>
        <sz val="12"/>
        <rFont val="標楷體"/>
        <family val="4"/>
        <charset val="136"/>
      </rPr>
      <t>業務費</t>
    </r>
    <r>
      <rPr>
        <sz val="12"/>
        <rFont val="Times New Roman"/>
        <family val="1"/>
      </rPr>
      <t>-51,571)</t>
    </r>
    <r>
      <rPr>
        <sz val="12"/>
        <rFont val="標楷體"/>
        <family val="4"/>
        <charset val="136"/>
      </rPr>
      <t>與財管系合辦國際研討會，並統一由財管系報支，授權業務費</t>
    </r>
    <r>
      <rPr>
        <sz val="12"/>
        <rFont val="Times New Roman"/>
        <family val="1"/>
      </rPr>
      <t>51,571</t>
    </r>
    <r>
      <rPr>
        <sz val="12"/>
        <rFont val="標楷體"/>
        <family val="4"/>
        <charset val="136"/>
      </rPr>
      <t>給財管系。</t>
    </r>
    <r>
      <rPr>
        <sz val="12"/>
        <rFont val="Times New Roman"/>
        <family val="1"/>
      </rPr>
      <t xml:space="preserve">
4.6</t>
    </r>
    <r>
      <rPr>
        <sz val="12"/>
        <rFont val="標楷體"/>
        <family val="1"/>
        <charset val="136"/>
      </rPr>
      <t>月份與金資系合購設備，授權設備費</t>
    </r>
    <r>
      <rPr>
        <sz val="12"/>
        <rFont val="Times New Roman"/>
        <family val="1"/>
      </rPr>
      <t>$26,415</t>
    </r>
    <r>
      <rPr>
        <sz val="12"/>
        <rFont val="標楷體"/>
        <family val="1"/>
        <charset val="136"/>
      </rPr>
      <t>給金資系。</t>
    </r>
    <r>
      <rPr>
        <sz val="12"/>
        <rFont val="Times New Roman"/>
        <family val="1"/>
      </rPr>
      <t xml:space="preserve">
5.6</t>
    </r>
    <r>
      <rPr>
        <sz val="12"/>
        <rFont val="標楷體"/>
        <family val="1"/>
        <charset val="136"/>
      </rPr>
      <t>月</t>
    </r>
    <r>
      <rPr>
        <sz val="12"/>
        <rFont val="Times New Roman"/>
        <family val="1"/>
      </rPr>
      <t>30</t>
    </r>
    <r>
      <rPr>
        <sz val="12"/>
        <rFont val="標楷體"/>
        <family val="1"/>
        <charset val="136"/>
      </rPr>
      <t>日，從金資系授權</t>
    </r>
    <r>
      <rPr>
        <sz val="12"/>
        <rFont val="Times New Roman"/>
        <family val="1"/>
      </rPr>
      <t>$328</t>
    </r>
    <r>
      <rPr>
        <sz val="12"/>
        <rFont val="標楷體"/>
        <family val="1"/>
        <charset val="136"/>
      </rPr>
      <t>業務費到國企系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</si>
</sst>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12"/>
      <color theme="1"/>
      <name val="Times New Roman"/>
      <family val="4"/>
    </font>
    <font>
      <sz val="12"/>
      <name val="Times New Roman"/>
      <family val="1"/>
    </font>
    <font>
      <sz val="12"/>
      <name val="標楷體"/>
      <family val="4"/>
      <charset val="136"/>
    </font>
    <font>
      <sz val="12"/>
      <name val="標楷體"/>
      <family val="1"/>
      <charset val="136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0070C0"/>
      <name val="Times New Roman"/>
      <family val="1"/>
    </font>
    <font>
      <sz val="12"/>
      <color theme="1"/>
      <name val="Times New Roman"/>
      <family val="4"/>
      <charset val="136"/>
    </font>
    <font>
      <sz val="12"/>
      <color theme="1"/>
      <name val="標楷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3" fillId="2" borderId="2" xfId="0" applyNumberFormat="1" applyFont="1" applyFill="1" applyBorder="1">
      <alignment vertical="center"/>
    </xf>
    <xf numFmtId="176" fontId="3" fillId="2" borderId="3" xfId="0" applyNumberFormat="1" applyFont="1" applyFill="1" applyBorder="1">
      <alignment vertical="center"/>
    </xf>
    <xf numFmtId="176" fontId="3" fillId="2" borderId="4" xfId="0" applyNumberFormat="1" applyFont="1" applyFill="1" applyBorder="1">
      <alignment vertical="center"/>
    </xf>
    <xf numFmtId="10" fontId="3" fillId="2" borderId="4" xfId="2" applyNumberFormat="1" applyFont="1" applyFill="1" applyBorder="1">
      <alignment vertical="center"/>
    </xf>
    <xf numFmtId="0" fontId="0" fillId="0" borderId="8" xfId="0" applyBorder="1">
      <alignment vertical="center"/>
    </xf>
    <xf numFmtId="176" fontId="3" fillId="0" borderId="9" xfId="1" applyNumberFormat="1" applyFont="1" applyBorder="1">
      <alignment vertical="center"/>
    </xf>
    <xf numFmtId="176" fontId="3" fillId="0" borderId="10" xfId="1" applyNumberFormat="1" applyFont="1" applyBorder="1">
      <alignment vertical="center"/>
    </xf>
    <xf numFmtId="176" fontId="3" fillId="0" borderId="11" xfId="1" applyNumberFormat="1" applyFont="1" applyBorder="1">
      <alignment vertical="center"/>
    </xf>
    <xf numFmtId="176" fontId="3" fillId="0" borderId="12" xfId="1" applyNumberFormat="1" applyFont="1" applyBorder="1">
      <alignment vertical="center"/>
    </xf>
    <xf numFmtId="176" fontId="3" fillId="0" borderId="10" xfId="1" applyNumberFormat="1" applyFont="1" applyBorder="1" applyAlignment="1">
      <alignment horizontal="center" vertical="center"/>
    </xf>
    <xf numFmtId="10" fontId="3" fillId="0" borderId="11" xfId="2" applyNumberFormat="1" applyFont="1" applyBorder="1" applyAlignment="1">
      <alignment horizontal="center" vertical="center"/>
    </xf>
    <xf numFmtId="176" fontId="3" fillId="0" borderId="11" xfId="1" applyNumberFormat="1" applyFont="1" applyBorder="1" applyAlignment="1">
      <alignment horizontal="center" vertical="center"/>
    </xf>
    <xf numFmtId="176" fontId="3" fillId="0" borderId="13" xfId="1" applyNumberFormat="1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176" fontId="3" fillId="0" borderId="15" xfId="1" applyNumberFormat="1" applyFont="1" applyBorder="1">
      <alignment vertical="center"/>
    </xf>
    <xf numFmtId="176" fontId="3" fillId="0" borderId="16" xfId="1" applyNumberFormat="1" applyFont="1" applyBorder="1">
      <alignment vertical="center"/>
    </xf>
    <xf numFmtId="176" fontId="3" fillId="0" borderId="17" xfId="1" applyNumberFormat="1" applyFont="1" applyBorder="1">
      <alignment vertical="center"/>
    </xf>
    <xf numFmtId="10" fontId="3" fillId="0" borderId="16" xfId="2" applyNumberFormat="1" applyFont="1" applyBorder="1">
      <alignment vertical="center"/>
    </xf>
    <xf numFmtId="176" fontId="3" fillId="0" borderId="18" xfId="1" applyNumberFormat="1" applyFon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6" fillId="0" borderId="14" xfId="0" applyFont="1" applyBorder="1" applyAlignment="1">
      <alignment vertical="center" wrapText="1"/>
    </xf>
    <xf numFmtId="176" fontId="9" fillId="0" borderId="15" xfId="1" applyNumberFormat="1" applyFont="1" applyBorder="1">
      <alignment vertical="center"/>
    </xf>
    <xf numFmtId="176" fontId="9" fillId="0" borderId="16" xfId="1" applyNumberFormat="1" applyFont="1" applyBorder="1">
      <alignment vertical="center"/>
    </xf>
    <xf numFmtId="176" fontId="9" fillId="0" borderId="17" xfId="1" applyNumberFormat="1" applyFont="1" applyBorder="1">
      <alignment vertical="center"/>
    </xf>
    <xf numFmtId="0" fontId="3" fillId="0" borderId="14" xfId="0" applyFont="1" applyBorder="1" applyAlignment="1">
      <alignment vertical="center" wrapText="1"/>
    </xf>
    <xf numFmtId="0" fontId="6" fillId="0" borderId="14" xfId="0" applyFont="1" applyBorder="1">
      <alignment vertical="center"/>
    </xf>
    <xf numFmtId="176" fontId="3" fillId="0" borderId="16" xfId="1" applyNumberFormat="1" applyFont="1" applyFill="1" applyBorder="1">
      <alignment vertical="center"/>
    </xf>
    <xf numFmtId="0" fontId="4" fillId="0" borderId="18" xfId="0" applyFont="1" applyBorder="1" applyAlignment="1">
      <alignment horizontal="center" vertical="center"/>
    </xf>
    <xf numFmtId="176" fontId="10" fillId="0" borderId="16" xfId="1" applyNumberFormat="1" applyFont="1" applyBorder="1">
      <alignment vertical="center"/>
    </xf>
    <xf numFmtId="176" fontId="11" fillId="0" borderId="16" xfId="1" applyNumberFormat="1" applyFont="1" applyBorder="1">
      <alignment vertical="center"/>
    </xf>
    <xf numFmtId="0" fontId="0" fillId="0" borderId="19" xfId="0" applyBorder="1">
      <alignment vertical="center"/>
    </xf>
    <xf numFmtId="176" fontId="3" fillId="0" borderId="20" xfId="1" applyNumberFormat="1" applyFont="1" applyBorder="1">
      <alignment vertical="center"/>
    </xf>
    <xf numFmtId="176" fontId="3" fillId="0" borderId="21" xfId="1" applyNumberFormat="1" applyFont="1" applyBorder="1">
      <alignment vertical="center"/>
    </xf>
    <xf numFmtId="176" fontId="3" fillId="0" borderId="22" xfId="1" applyNumberFormat="1" applyFont="1" applyBorder="1">
      <alignment vertical="center"/>
    </xf>
    <xf numFmtId="10" fontId="3" fillId="0" borderId="21" xfId="2" applyNumberFormat="1" applyFont="1" applyBorder="1">
      <alignment vertical="center"/>
    </xf>
    <xf numFmtId="176" fontId="10" fillId="0" borderId="21" xfId="1" applyNumberFormat="1" applyFont="1" applyBorder="1">
      <alignment vertical="center"/>
    </xf>
    <xf numFmtId="176" fontId="11" fillId="0" borderId="21" xfId="1" applyNumberFormat="1" applyFont="1" applyBorder="1">
      <alignment vertical="center"/>
    </xf>
    <xf numFmtId="176" fontId="3" fillId="0" borderId="23" xfId="1" applyNumberFormat="1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12" fillId="0" borderId="14" xfId="0" applyFont="1" applyBorder="1">
      <alignment vertical="center"/>
    </xf>
    <xf numFmtId="0" fontId="4" fillId="0" borderId="14" xfId="0" applyFont="1" applyBorder="1">
      <alignment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5" xfId="0" applyFill="1" applyBorder="1">
      <alignment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C820-1DF9-448E-913D-9B871B4385CA}">
  <dimension ref="A1:P51"/>
  <sheetViews>
    <sheetView tabSelected="1" topLeftCell="C16" workbookViewId="0">
      <selection activeCell="L16" sqref="L16"/>
    </sheetView>
  </sheetViews>
  <sheetFormatPr defaultRowHeight="16.5" x14ac:dyDescent="0.25"/>
  <cols>
    <col min="1" max="1" width="17.75" bestFit="1" customWidth="1"/>
    <col min="2" max="2" width="25.125" bestFit="1" customWidth="1"/>
    <col min="3" max="3" width="6.75" bestFit="1" customWidth="1"/>
    <col min="4" max="4" width="13.5" customWidth="1"/>
    <col min="5" max="5" width="12.25" customWidth="1"/>
    <col min="6" max="6" width="8.5" customWidth="1"/>
    <col min="7" max="7" width="10.375" customWidth="1"/>
    <col min="8" max="8" width="8.25" customWidth="1"/>
    <col min="9" max="9" width="25.5" customWidth="1"/>
    <col min="10" max="11" width="12.25" customWidth="1"/>
    <col min="12" max="12" width="15.375" customWidth="1"/>
    <col min="13" max="13" width="12.25" customWidth="1"/>
    <col min="14" max="15" width="13.5" customWidth="1"/>
    <col min="16" max="16" width="60.875" customWidth="1"/>
  </cols>
  <sheetData>
    <row r="1" spans="1:16" x14ac:dyDescent="0.25">
      <c r="A1" s="63" t="s">
        <v>126</v>
      </c>
      <c r="B1" s="65" t="s">
        <v>125</v>
      </c>
      <c r="C1" s="67" t="s">
        <v>124</v>
      </c>
      <c r="D1" s="69" t="s">
        <v>123</v>
      </c>
      <c r="E1" s="70"/>
      <c r="F1" s="70"/>
      <c r="G1" s="70"/>
      <c r="H1" s="70"/>
      <c r="I1" s="71"/>
      <c r="J1" s="72" t="s">
        <v>122</v>
      </c>
      <c r="K1" s="73"/>
      <c r="L1" s="73"/>
      <c r="M1" s="73"/>
      <c r="N1" s="74"/>
      <c r="O1" s="75" t="s">
        <v>121</v>
      </c>
      <c r="P1" s="58" t="s">
        <v>120</v>
      </c>
    </row>
    <row r="2" spans="1:16" ht="17.25" thickBot="1" x14ac:dyDescent="0.3">
      <c r="A2" s="64"/>
      <c r="B2" s="66"/>
      <c r="C2" s="68"/>
      <c r="D2" s="55" t="s">
        <v>114</v>
      </c>
      <c r="E2" s="54" t="s">
        <v>119</v>
      </c>
      <c r="F2" s="54" t="s">
        <v>118</v>
      </c>
      <c r="G2" s="54" t="s">
        <v>117</v>
      </c>
      <c r="H2" s="54" t="s">
        <v>116</v>
      </c>
      <c r="I2" s="53" t="s">
        <v>115</v>
      </c>
      <c r="J2" s="52" t="s">
        <v>114</v>
      </c>
      <c r="K2" s="51" t="s">
        <v>113</v>
      </c>
      <c r="L2" s="51" t="s">
        <v>112</v>
      </c>
      <c r="M2" s="51" t="s">
        <v>111</v>
      </c>
      <c r="N2" s="50" t="s">
        <v>110</v>
      </c>
      <c r="O2" s="76"/>
      <c r="P2" s="59"/>
    </row>
    <row r="3" spans="1:16" ht="30" customHeight="1" x14ac:dyDescent="0.25">
      <c r="A3" s="49" t="s">
        <v>44</v>
      </c>
      <c r="B3" s="48" t="s">
        <v>109</v>
      </c>
      <c r="C3" s="47" t="s">
        <v>108</v>
      </c>
      <c r="D3" s="46">
        <v>400000</v>
      </c>
      <c r="E3" s="45">
        <v>189215</v>
      </c>
      <c r="F3" s="43">
        <f t="shared" ref="F3:F48" si="0">E3/D3</f>
        <v>0.4730375</v>
      </c>
      <c r="G3" s="44">
        <v>186793</v>
      </c>
      <c r="H3" s="43">
        <f t="shared" ref="H3:H48" si="1">G3/D3</f>
        <v>0.46698250000000002</v>
      </c>
      <c r="I3" s="40">
        <f t="shared" ref="I3:I15" si="2">D3-G3</f>
        <v>213207</v>
      </c>
      <c r="J3" s="42">
        <v>177800</v>
      </c>
      <c r="K3" s="41">
        <v>22200</v>
      </c>
      <c r="L3" s="41">
        <v>0</v>
      </c>
      <c r="M3" s="41">
        <v>800000</v>
      </c>
      <c r="N3" s="40">
        <v>600000</v>
      </c>
      <c r="O3" s="8">
        <f t="shared" ref="O3:O49" si="3">G3+I3+J3+K3+L3+M3+N3</f>
        <v>2000000</v>
      </c>
      <c r="P3" s="39"/>
    </row>
    <row r="4" spans="1:16" ht="30" customHeight="1" x14ac:dyDescent="0.25">
      <c r="A4" s="27" t="s">
        <v>3</v>
      </c>
      <c r="B4" s="26" t="s">
        <v>107</v>
      </c>
      <c r="C4" s="25" t="s">
        <v>106</v>
      </c>
      <c r="D4" s="24">
        <v>400000</v>
      </c>
      <c r="E4" s="38">
        <v>304255</v>
      </c>
      <c r="F4" s="23">
        <f t="shared" si="0"/>
        <v>0.76063749999999997</v>
      </c>
      <c r="G4" s="37">
        <v>264697</v>
      </c>
      <c r="H4" s="23">
        <f t="shared" si="1"/>
        <v>0.66174250000000001</v>
      </c>
      <c r="I4" s="20">
        <f t="shared" si="2"/>
        <v>135303</v>
      </c>
      <c r="J4" s="22">
        <v>26000</v>
      </c>
      <c r="K4" s="21">
        <v>74000</v>
      </c>
      <c r="L4" s="21">
        <v>0</v>
      </c>
      <c r="M4" s="21">
        <v>0</v>
      </c>
      <c r="N4" s="20">
        <v>1500000</v>
      </c>
      <c r="O4" s="8">
        <f t="shared" si="3"/>
        <v>2000000</v>
      </c>
      <c r="P4" s="19"/>
    </row>
    <row r="5" spans="1:16" ht="30" customHeight="1" x14ac:dyDescent="0.25">
      <c r="A5" s="27" t="s">
        <v>105</v>
      </c>
      <c r="B5" s="26" t="s">
        <v>104</v>
      </c>
      <c r="C5" s="25" t="s">
        <v>103</v>
      </c>
      <c r="D5" s="24">
        <v>400000</v>
      </c>
      <c r="E5" s="38">
        <v>262160</v>
      </c>
      <c r="F5" s="23">
        <f t="shared" si="0"/>
        <v>0.65539999999999998</v>
      </c>
      <c r="G5" s="37">
        <v>177025</v>
      </c>
      <c r="H5" s="23">
        <f t="shared" si="1"/>
        <v>0.44256250000000003</v>
      </c>
      <c r="I5" s="20">
        <f t="shared" si="2"/>
        <v>222975</v>
      </c>
      <c r="J5" s="22">
        <v>126000</v>
      </c>
      <c r="K5" s="21">
        <v>74000</v>
      </c>
      <c r="L5" s="21">
        <v>0</v>
      </c>
      <c r="M5" s="21">
        <v>0</v>
      </c>
      <c r="N5" s="20">
        <v>1400000</v>
      </c>
      <c r="O5" s="8">
        <f t="shared" si="3"/>
        <v>2000000</v>
      </c>
      <c r="P5" s="19"/>
    </row>
    <row r="6" spans="1:16" ht="30" customHeight="1" x14ac:dyDescent="0.25">
      <c r="A6" s="36" t="s">
        <v>102</v>
      </c>
      <c r="B6" s="26" t="s">
        <v>101</v>
      </c>
      <c r="C6" s="25" t="s">
        <v>100</v>
      </c>
      <c r="D6" s="24">
        <v>400000</v>
      </c>
      <c r="E6" s="21"/>
      <c r="F6" s="23">
        <f t="shared" si="0"/>
        <v>0</v>
      </c>
      <c r="G6" s="21"/>
      <c r="H6" s="23">
        <f t="shared" si="1"/>
        <v>0</v>
      </c>
      <c r="I6" s="20">
        <f t="shared" si="2"/>
        <v>400000</v>
      </c>
      <c r="J6" s="22">
        <f>200000+173800</f>
        <v>373800</v>
      </c>
      <c r="K6" s="21">
        <v>0</v>
      </c>
      <c r="L6" s="21">
        <v>0</v>
      </c>
      <c r="M6" s="21">
        <f>700000-173800</f>
        <v>526200</v>
      </c>
      <c r="N6" s="20">
        <v>700000</v>
      </c>
      <c r="O6" s="8">
        <f t="shared" si="3"/>
        <v>2000000</v>
      </c>
      <c r="P6" s="33" t="s">
        <v>99</v>
      </c>
    </row>
    <row r="7" spans="1:16" ht="30" customHeight="1" x14ac:dyDescent="0.25">
      <c r="A7" s="27" t="s">
        <v>3</v>
      </c>
      <c r="B7" s="26" t="s">
        <v>98</v>
      </c>
      <c r="C7" s="25" t="s">
        <v>97</v>
      </c>
      <c r="D7" s="24">
        <v>400000</v>
      </c>
      <c r="E7" s="21"/>
      <c r="F7" s="23">
        <f t="shared" si="0"/>
        <v>0</v>
      </c>
      <c r="G7" s="21"/>
      <c r="H7" s="23">
        <f t="shared" si="1"/>
        <v>0</v>
      </c>
      <c r="I7" s="20">
        <f t="shared" si="2"/>
        <v>400000</v>
      </c>
      <c r="J7" s="22">
        <v>200000</v>
      </c>
      <c r="K7" s="21">
        <v>0</v>
      </c>
      <c r="L7" s="21">
        <v>0</v>
      </c>
      <c r="M7" s="21">
        <v>0</v>
      </c>
      <c r="N7" s="20">
        <v>1400000</v>
      </c>
      <c r="O7" s="8">
        <f t="shared" si="3"/>
        <v>2000000</v>
      </c>
      <c r="P7" s="19"/>
    </row>
    <row r="8" spans="1:16" ht="30" customHeight="1" x14ac:dyDescent="0.25">
      <c r="A8" s="27" t="s">
        <v>23</v>
      </c>
      <c r="B8" s="26" t="s">
        <v>96</v>
      </c>
      <c r="C8" s="25" t="s">
        <v>95</v>
      </c>
      <c r="D8" s="24">
        <v>400000</v>
      </c>
      <c r="E8" s="21"/>
      <c r="F8" s="23">
        <f t="shared" si="0"/>
        <v>0</v>
      </c>
      <c r="G8" s="21"/>
      <c r="H8" s="23">
        <f t="shared" si="1"/>
        <v>0</v>
      </c>
      <c r="I8" s="20">
        <f t="shared" si="2"/>
        <v>400000</v>
      </c>
      <c r="J8" s="22">
        <v>200000</v>
      </c>
      <c r="K8" s="21">
        <v>0</v>
      </c>
      <c r="L8" s="21">
        <v>0</v>
      </c>
      <c r="M8" s="21">
        <v>0</v>
      </c>
      <c r="N8" s="20">
        <v>1400000</v>
      </c>
      <c r="O8" s="8">
        <f t="shared" si="3"/>
        <v>2000000</v>
      </c>
      <c r="P8" s="19"/>
    </row>
    <row r="9" spans="1:16" ht="30" customHeight="1" x14ac:dyDescent="0.25">
      <c r="A9" s="27" t="s">
        <v>33</v>
      </c>
      <c r="B9" s="26" t="s">
        <v>94</v>
      </c>
      <c r="C9" s="25" t="s">
        <v>93</v>
      </c>
      <c r="D9" s="24">
        <v>400000</v>
      </c>
      <c r="E9" s="21">
        <v>42658</v>
      </c>
      <c r="F9" s="23">
        <f t="shared" si="0"/>
        <v>0.106645</v>
      </c>
      <c r="G9" s="35">
        <v>42658</v>
      </c>
      <c r="H9" s="23">
        <f t="shared" si="1"/>
        <v>0.106645</v>
      </c>
      <c r="I9" s="20">
        <f t="shared" si="2"/>
        <v>357342</v>
      </c>
      <c r="J9" s="22">
        <v>200000</v>
      </c>
      <c r="K9" s="21">
        <v>0</v>
      </c>
      <c r="L9" s="21">
        <v>0</v>
      </c>
      <c r="M9" s="21">
        <v>0</v>
      </c>
      <c r="N9" s="20">
        <v>1400000</v>
      </c>
      <c r="O9" s="8">
        <f t="shared" si="3"/>
        <v>2000000</v>
      </c>
      <c r="P9" s="28"/>
    </row>
    <row r="10" spans="1:16" ht="30" customHeight="1" x14ac:dyDescent="0.25">
      <c r="A10" s="27" t="s">
        <v>44</v>
      </c>
      <c r="B10" s="26" t="s">
        <v>92</v>
      </c>
      <c r="C10" s="25" t="s">
        <v>91</v>
      </c>
      <c r="D10" s="24">
        <v>400000</v>
      </c>
      <c r="E10" s="21">
        <v>76687</v>
      </c>
      <c r="F10" s="23">
        <f t="shared" si="0"/>
        <v>0.19171750000000001</v>
      </c>
      <c r="G10" s="21">
        <v>76687</v>
      </c>
      <c r="H10" s="23">
        <f t="shared" si="1"/>
        <v>0.19171750000000001</v>
      </c>
      <c r="I10" s="20">
        <f t="shared" si="2"/>
        <v>323313</v>
      </c>
      <c r="J10" s="22">
        <v>111200</v>
      </c>
      <c r="K10" s="21">
        <v>88800</v>
      </c>
      <c r="L10" s="21">
        <v>0</v>
      </c>
      <c r="M10" s="21">
        <v>210000</v>
      </c>
      <c r="N10" s="20">
        <v>1190000</v>
      </c>
      <c r="O10" s="8">
        <f t="shared" si="3"/>
        <v>2000000</v>
      </c>
      <c r="P10" s="28"/>
    </row>
    <row r="11" spans="1:16" ht="30" customHeight="1" x14ac:dyDescent="0.25">
      <c r="A11" s="27" t="s">
        <v>44</v>
      </c>
      <c r="B11" s="26" t="s">
        <v>90</v>
      </c>
      <c r="C11" s="25" t="s">
        <v>89</v>
      </c>
      <c r="D11" s="24">
        <v>400000</v>
      </c>
      <c r="E11" s="21">
        <v>13002</v>
      </c>
      <c r="F11" s="23">
        <f t="shared" si="0"/>
        <v>3.2504999999999999E-2</v>
      </c>
      <c r="G11" s="21">
        <v>13002</v>
      </c>
      <c r="H11" s="23">
        <f t="shared" si="1"/>
        <v>3.2504999999999999E-2</v>
      </c>
      <c r="I11" s="20">
        <f t="shared" si="2"/>
        <v>386998</v>
      </c>
      <c r="J11" s="22">
        <v>200000</v>
      </c>
      <c r="K11" s="21">
        <v>0</v>
      </c>
      <c r="L11" s="21">
        <v>0</v>
      </c>
      <c r="M11" s="21">
        <v>56500</v>
      </c>
      <c r="N11" s="20">
        <v>1343500</v>
      </c>
      <c r="O11" s="8">
        <f t="shared" si="3"/>
        <v>2000000</v>
      </c>
      <c r="P11" s="28"/>
    </row>
    <row r="12" spans="1:16" ht="30" customHeight="1" x14ac:dyDescent="0.25">
      <c r="A12" s="27" t="s">
        <v>60</v>
      </c>
      <c r="B12" s="26" t="s">
        <v>88</v>
      </c>
      <c r="C12" s="25" t="s">
        <v>87</v>
      </c>
      <c r="D12" s="24">
        <v>400000</v>
      </c>
      <c r="E12" s="21">
        <v>54977</v>
      </c>
      <c r="F12" s="23">
        <f t="shared" si="0"/>
        <v>0.1374425</v>
      </c>
      <c r="G12" s="35">
        <v>54977</v>
      </c>
      <c r="H12" s="23">
        <f t="shared" si="1"/>
        <v>0.1374425</v>
      </c>
      <c r="I12" s="20">
        <f t="shared" si="2"/>
        <v>345023</v>
      </c>
      <c r="J12" s="22">
        <v>103800</v>
      </c>
      <c r="K12" s="31">
        <f>96200-70000</f>
        <v>26200</v>
      </c>
      <c r="L12" s="21">
        <v>0</v>
      </c>
      <c r="M12" s="21">
        <v>400000</v>
      </c>
      <c r="N12" s="30">
        <f>1000000+70000</f>
        <v>1070000</v>
      </c>
      <c r="O12" s="8">
        <f t="shared" si="3"/>
        <v>2000000</v>
      </c>
      <c r="P12" s="57" t="s">
        <v>129</v>
      </c>
    </row>
    <row r="13" spans="1:16" ht="33" x14ac:dyDescent="0.25">
      <c r="A13" s="27" t="s">
        <v>6</v>
      </c>
      <c r="B13" s="26" t="s">
        <v>86</v>
      </c>
      <c r="C13" s="25" t="s">
        <v>85</v>
      </c>
      <c r="D13" s="24">
        <v>400000</v>
      </c>
      <c r="E13" s="21">
        <v>24743</v>
      </c>
      <c r="F13" s="23">
        <f t="shared" si="0"/>
        <v>6.1857500000000003E-2</v>
      </c>
      <c r="G13" s="21">
        <v>24743</v>
      </c>
      <c r="H13" s="23">
        <f t="shared" si="1"/>
        <v>6.1857500000000003E-2</v>
      </c>
      <c r="I13" s="20">
        <f t="shared" si="2"/>
        <v>375257</v>
      </c>
      <c r="J13" s="22">
        <f>200000-328</f>
        <v>199672</v>
      </c>
      <c r="K13" s="21">
        <v>0</v>
      </c>
      <c r="L13" s="21">
        <v>0</v>
      </c>
      <c r="M13" s="21">
        <v>0</v>
      </c>
      <c r="N13" s="30">
        <f>1400000+26415</f>
        <v>1426415</v>
      </c>
      <c r="O13" s="8">
        <f t="shared" si="3"/>
        <v>2026087</v>
      </c>
      <c r="P13" s="33" t="s">
        <v>128</v>
      </c>
    </row>
    <row r="14" spans="1:16" ht="30" customHeight="1" x14ac:dyDescent="0.25">
      <c r="A14" s="27" t="s">
        <v>44</v>
      </c>
      <c r="B14" s="26" t="s">
        <v>84</v>
      </c>
      <c r="C14" s="25" t="s">
        <v>83</v>
      </c>
      <c r="D14" s="24">
        <v>400000</v>
      </c>
      <c r="E14" s="21"/>
      <c r="F14" s="23">
        <f t="shared" si="0"/>
        <v>0</v>
      </c>
      <c r="G14" s="21"/>
      <c r="H14" s="23">
        <f t="shared" si="1"/>
        <v>0</v>
      </c>
      <c r="I14" s="20">
        <f t="shared" si="2"/>
        <v>400000</v>
      </c>
      <c r="J14" s="22">
        <v>126000</v>
      </c>
      <c r="K14" s="21">
        <v>74000</v>
      </c>
      <c r="L14" s="21">
        <v>0</v>
      </c>
      <c r="M14" s="21">
        <v>680000</v>
      </c>
      <c r="N14" s="20">
        <v>720000</v>
      </c>
      <c r="O14" s="8">
        <f t="shared" si="3"/>
        <v>2000000</v>
      </c>
      <c r="P14" s="28"/>
    </row>
    <row r="15" spans="1:16" ht="30" customHeight="1" x14ac:dyDescent="0.25">
      <c r="A15" s="27" t="s">
        <v>44</v>
      </c>
      <c r="B15" s="26" t="s">
        <v>82</v>
      </c>
      <c r="C15" s="25" t="s">
        <v>81</v>
      </c>
      <c r="D15" s="24">
        <v>400000</v>
      </c>
      <c r="E15" s="21"/>
      <c r="F15" s="23">
        <f t="shared" si="0"/>
        <v>0</v>
      </c>
      <c r="G15" s="21"/>
      <c r="H15" s="23">
        <f t="shared" si="1"/>
        <v>0</v>
      </c>
      <c r="I15" s="20">
        <f t="shared" si="2"/>
        <v>400000</v>
      </c>
      <c r="J15" s="32">
        <f>126000+74000</f>
        <v>200000</v>
      </c>
      <c r="K15" s="31">
        <f>74000-74000</f>
        <v>0</v>
      </c>
      <c r="L15" s="21">
        <v>0</v>
      </c>
      <c r="M15" s="21">
        <v>0</v>
      </c>
      <c r="N15" s="20">
        <v>1400000</v>
      </c>
      <c r="O15" s="8">
        <f t="shared" si="3"/>
        <v>2000000</v>
      </c>
      <c r="P15" s="34" t="s">
        <v>80</v>
      </c>
    </row>
    <row r="16" spans="1:16" ht="82.5" x14ac:dyDescent="0.25">
      <c r="A16" s="27" t="s">
        <v>44</v>
      </c>
      <c r="B16" s="26" t="s">
        <v>79</v>
      </c>
      <c r="C16" s="25" t="s">
        <v>78</v>
      </c>
      <c r="D16" s="24">
        <v>400000</v>
      </c>
      <c r="E16" s="21"/>
      <c r="F16" s="23">
        <f t="shared" si="0"/>
        <v>0</v>
      </c>
      <c r="G16" s="21"/>
      <c r="H16" s="23">
        <f t="shared" si="1"/>
        <v>0</v>
      </c>
      <c r="I16" s="30">
        <f>D16-G16-51571</f>
        <v>348429</v>
      </c>
      <c r="J16" s="32">
        <f>126000-16995</f>
        <v>109005</v>
      </c>
      <c r="K16" s="31">
        <f>74000+16995</f>
        <v>90995</v>
      </c>
      <c r="L16" s="21">
        <v>0</v>
      </c>
      <c r="M16" s="21">
        <v>300000</v>
      </c>
      <c r="N16" s="30">
        <f>1100000+5723</f>
        <v>1105723</v>
      </c>
      <c r="O16" s="8">
        <f t="shared" si="3"/>
        <v>1954152</v>
      </c>
      <c r="P16" s="33" t="s">
        <v>132</v>
      </c>
    </row>
    <row r="17" spans="1:16" ht="30" customHeight="1" x14ac:dyDescent="0.25">
      <c r="A17" s="27" t="s">
        <v>23</v>
      </c>
      <c r="B17" s="26" t="s">
        <v>77</v>
      </c>
      <c r="C17" s="25" t="s">
        <v>76</v>
      </c>
      <c r="D17" s="24">
        <v>400000</v>
      </c>
      <c r="E17" s="21"/>
      <c r="F17" s="23">
        <f t="shared" si="0"/>
        <v>0</v>
      </c>
      <c r="G17" s="21"/>
      <c r="H17" s="23">
        <f t="shared" si="1"/>
        <v>0</v>
      </c>
      <c r="I17" s="20">
        <f t="shared" ref="I17:I23" si="4">D17-G17</f>
        <v>400000</v>
      </c>
      <c r="J17" s="22">
        <v>126000</v>
      </c>
      <c r="K17" s="21">
        <v>74000</v>
      </c>
      <c r="L17" s="21">
        <v>0</v>
      </c>
      <c r="M17" s="21">
        <v>0</v>
      </c>
      <c r="N17" s="20">
        <v>1400000</v>
      </c>
      <c r="O17" s="8">
        <f t="shared" si="3"/>
        <v>2000000</v>
      </c>
      <c r="P17" s="28"/>
    </row>
    <row r="18" spans="1:16" ht="30" customHeight="1" x14ac:dyDescent="0.25">
      <c r="A18" s="27" t="s">
        <v>60</v>
      </c>
      <c r="B18" s="26" t="s">
        <v>75</v>
      </c>
      <c r="C18" s="25" t="s">
        <v>74</v>
      </c>
      <c r="D18" s="24">
        <v>400000</v>
      </c>
      <c r="E18" s="21">
        <v>14084</v>
      </c>
      <c r="F18" s="23">
        <f t="shared" si="0"/>
        <v>3.5209999999999998E-2</v>
      </c>
      <c r="G18" s="21">
        <v>14084</v>
      </c>
      <c r="H18" s="23">
        <f t="shared" si="1"/>
        <v>3.5209999999999998E-2</v>
      </c>
      <c r="I18" s="20">
        <f t="shared" si="4"/>
        <v>385916</v>
      </c>
      <c r="J18" s="22">
        <v>163000</v>
      </c>
      <c r="K18" s="21">
        <v>37000</v>
      </c>
      <c r="L18" s="21">
        <v>0</v>
      </c>
      <c r="M18" s="21">
        <v>0</v>
      </c>
      <c r="N18" s="20">
        <v>1400000</v>
      </c>
      <c r="O18" s="8">
        <f t="shared" si="3"/>
        <v>2000000</v>
      </c>
      <c r="P18" s="28"/>
    </row>
    <row r="19" spans="1:16" ht="30" customHeight="1" x14ac:dyDescent="0.25">
      <c r="A19" s="27" t="s">
        <v>26</v>
      </c>
      <c r="B19" s="26" t="s">
        <v>73</v>
      </c>
      <c r="C19" s="25" t="s">
        <v>72</v>
      </c>
      <c r="D19" s="24">
        <v>400000</v>
      </c>
      <c r="E19" s="21">
        <v>15774</v>
      </c>
      <c r="F19" s="23">
        <f t="shared" si="0"/>
        <v>3.9434999999999998E-2</v>
      </c>
      <c r="G19" s="21">
        <v>15774</v>
      </c>
      <c r="H19" s="23">
        <f t="shared" si="1"/>
        <v>3.9434999999999998E-2</v>
      </c>
      <c r="I19" s="20">
        <f t="shared" si="4"/>
        <v>384226</v>
      </c>
      <c r="J19" s="22">
        <v>200000</v>
      </c>
      <c r="K19" s="21">
        <v>0</v>
      </c>
      <c r="L19" s="21">
        <v>0</v>
      </c>
      <c r="M19" s="21">
        <v>0</v>
      </c>
      <c r="N19" s="20">
        <v>1400000</v>
      </c>
      <c r="O19" s="8">
        <f t="shared" si="3"/>
        <v>2000000</v>
      </c>
      <c r="P19" s="28"/>
    </row>
    <row r="20" spans="1:16" ht="30" customHeight="1" x14ac:dyDescent="0.25">
      <c r="A20" s="27" t="s">
        <v>23</v>
      </c>
      <c r="B20" s="26" t="s">
        <v>71</v>
      </c>
      <c r="C20" s="25" t="s">
        <v>70</v>
      </c>
      <c r="D20" s="24">
        <v>400000</v>
      </c>
      <c r="E20" s="21"/>
      <c r="F20" s="23">
        <f t="shared" si="0"/>
        <v>0</v>
      </c>
      <c r="G20" s="21"/>
      <c r="H20" s="23">
        <f t="shared" si="1"/>
        <v>0</v>
      </c>
      <c r="I20" s="20">
        <f t="shared" si="4"/>
        <v>400000</v>
      </c>
      <c r="J20" s="22">
        <v>200000</v>
      </c>
      <c r="K20" s="21">
        <v>0</v>
      </c>
      <c r="L20" s="21">
        <v>0</v>
      </c>
      <c r="M20" s="21">
        <v>0</v>
      </c>
      <c r="N20" s="20">
        <v>1400000</v>
      </c>
      <c r="O20" s="8">
        <f t="shared" si="3"/>
        <v>2000000</v>
      </c>
      <c r="P20" s="28"/>
    </row>
    <row r="21" spans="1:16" ht="30" customHeight="1" x14ac:dyDescent="0.25">
      <c r="A21" s="27" t="s">
        <v>26</v>
      </c>
      <c r="B21" s="26" t="s">
        <v>69</v>
      </c>
      <c r="C21" s="25" t="s">
        <v>68</v>
      </c>
      <c r="D21" s="24">
        <v>400000</v>
      </c>
      <c r="E21" s="21">
        <v>16290</v>
      </c>
      <c r="F21" s="23">
        <f t="shared" si="0"/>
        <v>4.0724999999999997E-2</v>
      </c>
      <c r="G21" s="21">
        <v>16290</v>
      </c>
      <c r="H21" s="23">
        <f t="shared" si="1"/>
        <v>4.0724999999999997E-2</v>
      </c>
      <c r="I21" s="20">
        <f t="shared" si="4"/>
        <v>383710</v>
      </c>
      <c r="J21" s="22">
        <v>126000</v>
      </c>
      <c r="K21" s="21">
        <v>74000</v>
      </c>
      <c r="L21" s="21">
        <v>0</v>
      </c>
      <c r="M21" s="21">
        <v>0</v>
      </c>
      <c r="N21" s="20">
        <v>1400000</v>
      </c>
      <c r="O21" s="8">
        <f t="shared" si="3"/>
        <v>2000000</v>
      </c>
      <c r="P21" s="28"/>
    </row>
    <row r="22" spans="1:16" ht="30" customHeight="1" x14ac:dyDescent="0.25">
      <c r="A22" s="27" t="s">
        <v>60</v>
      </c>
      <c r="B22" s="26" t="s">
        <v>67</v>
      </c>
      <c r="C22" s="25" t="s">
        <v>66</v>
      </c>
      <c r="D22" s="24">
        <v>400000</v>
      </c>
      <c r="E22" s="21">
        <v>31970</v>
      </c>
      <c r="F22" s="23">
        <f t="shared" si="0"/>
        <v>7.9924999999999996E-2</v>
      </c>
      <c r="G22" s="21">
        <v>31970</v>
      </c>
      <c r="H22" s="23">
        <f t="shared" si="1"/>
        <v>7.9924999999999996E-2</v>
      </c>
      <c r="I22" s="20">
        <f t="shared" si="4"/>
        <v>368030</v>
      </c>
      <c r="J22" s="22">
        <v>133400</v>
      </c>
      <c r="K22" s="21">
        <v>66600</v>
      </c>
      <c r="L22" s="21">
        <v>0</v>
      </c>
      <c r="M22" s="21">
        <v>0</v>
      </c>
      <c r="N22" s="20">
        <v>1400000</v>
      </c>
      <c r="O22" s="8">
        <f t="shared" si="3"/>
        <v>2000000</v>
      </c>
      <c r="P22" s="28"/>
    </row>
    <row r="23" spans="1:16" ht="30" customHeight="1" x14ac:dyDescent="0.25">
      <c r="A23" s="27" t="s">
        <v>6</v>
      </c>
      <c r="B23" s="26" t="s">
        <v>65</v>
      </c>
      <c r="C23" s="25" t="s">
        <v>64</v>
      </c>
      <c r="D23" s="24">
        <v>400000</v>
      </c>
      <c r="E23" s="21">
        <v>6749</v>
      </c>
      <c r="F23" s="23">
        <f t="shared" si="0"/>
        <v>1.6872499999999999E-2</v>
      </c>
      <c r="G23" s="21">
        <v>6749</v>
      </c>
      <c r="H23" s="23">
        <f t="shared" si="1"/>
        <v>1.6872499999999999E-2</v>
      </c>
      <c r="I23" s="20">
        <f t="shared" si="4"/>
        <v>393251</v>
      </c>
      <c r="J23" s="22">
        <v>148200</v>
      </c>
      <c r="K23" s="21">
        <v>51800</v>
      </c>
      <c r="L23" s="21">
        <v>0</v>
      </c>
      <c r="M23" s="21">
        <v>260000</v>
      </c>
      <c r="N23" s="20">
        <v>1140000</v>
      </c>
      <c r="O23" s="8">
        <f t="shared" si="3"/>
        <v>2000000</v>
      </c>
      <c r="P23" s="28"/>
    </row>
    <row r="24" spans="1:16" ht="33" x14ac:dyDescent="0.25">
      <c r="A24" s="27" t="s">
        <v>44</v>
      </c>
      <c r="B24" s="26" t="s">
        <v>63</v>
      </c>
      <c r="C24" s="25" t="s">
        <v>62</v>
      </c>
      <c r="D24" s="24">
        <v>400000</v>
      </c>
      <c r="E24" s="21">
        <v>78123</v>
      </c>
      <c r="F24" s="23">
        <f t="shared" si="0"/>
        <v>0.19530749999999999</v>
      </c>
      <c r="G24" s="21">
        <v>78123</v>
      </c>
      <c r="H24" s="23">
        <f t="shared" si="1"/>
        <v>0.19530749999999999</v>
      </c>
      <c r="I24" s="30">
        <f>D24-G24+103142</f>
        <v>425019</v>
      </c>
      <c r="J24" s="22">
        <v>200000</v>
      </c>
      <c r="K24" s="21">
        <v>0</v>
      </c>
      <c r="L24" s="21">
        <v>0</v>
      </c>
      <c r="M24" s="21">
        <v>0</v>
      </c>
      <c r="N24" s="20">
        <v>1400000</v>
      </c>
      <c r="O24" s="8">
        <f t="shared" si="3"/>
        <v>2103142</v>
      </c>
      <c r="P24" s="33" t="s">
        <v>61</v>
      </c>
    </row>
    <row r="25" spans="1:16" ht="30" customHeight="1" x14ac:dyDescent="0.25">
      <c r="A25" s="27" t="s">
        <v>60</v>
      </c>
      <c r="B25" s="26" t="s">
        <v>59</v>
      </c>
      <c r="C25" s="25" t="s">
        <v>58</v>
      </c>
      <c r="D25" s="24">
        <v>400000</v>
      </c>
      <c r="E25" s="21">
        <v>52879</v>
      </c>
      <c r="F25" s="23">
        <f t="shared" si="0"/>
        <v>0.1321975</v>
      </c>
      <c r="G25" s="21">
        <v>52879</v>
      </c>
      <c r="H25" s="23">
        <f t="shared" si="1"/>
        <v>0.1321975</v>
      </c>
      <c r="I25" s="20">
        <f>D25-G25</f>
        <v>347121</v>
      </c>
      <c r="J25" s="32">
        <f>155600+16995</f>
        <v>172595</v>
      </c>
      <c r="K25" s="31">
        <f>44400-16995</f>
        <v>27405</v>
      </c>
      <c r="L25" s="21">
        <v>0</v>
      </c>
      <c r="M25" s="21">
        <v>0</v>
      </c>
      <c r="N25" s="20">
        <v>1400000</v>
      </c>
      <c r="O25" s="8">
        <f t="shared" si="3"/>
        <v>2000000</v>
      </c>
      <c r="P25" s="56" t="s">
        <v>131</v>
      </c>
    </row>
    <row r="26" spans="1:16" ht="99" x14ac:dyDescent="0.25">
      <c r="A26" s="27" t="s">
        <v>44</v>
      </c>
      <c r="B26" s="26" t="s">
        <v>57</v>
      </c>
      <c r="C26" s="25" t="s">
        <v>56</v>
      </c>
      <c r="D26" s="24">
        <v>400000</v>
      </c>
      <c r="E26" s="21">
        <v>29258</v>
      </c>
      <c r="F26" s="23">
        <f t="shared" si="0"/>
        <v>7.3145000000000002E-2</v>
      </c>
      <c r="G26" s="21">
        <v>29258</v>
      </c>
      <c r="H26" s="23">
        <f t="shared" si="1"/>
        <v>7.3145000000000002E-2</v>
      </c>
      <c r="I26" s="30">
        <f>D26-G26-51571</f>
        <v>319171</v>
      </c>
      <c r="J26" s="32">
        <f>126000-74000+328</f>
        <v>52328</v>
      </c>
      <c r="K26" s="31">
        <f>74000+74000</f>
        <v>148000</v>
      </c>
      <c r="L26" s="21">
        <v>0</v>
      </c>
      <c r="M26" s="21">
        <v>700000</v>
      </c>
      <c r="N26" s="30">
        <f>700000-5723-26415</f>
        <v>667862</v>
      </c>
      <c r="O26" s="8">
        <f t="shared" si="3"/>
        <v>1916619</v>
      </c>
      <c r="P26" s="29" t="s">
        <v>133</v>
      </c>
    </row>
    <row r="27" spans="1:16" ht="30" customHeight="1" x14ac:dyDescent="0.25">
      <c r="A27" s="27" t="s">
        <v>26</v>
      </c>
      <c r="B27" s="26" t="s">
        <v>55</v>
      </c>
      <c r="C27" s="25" t="s">
        <v>54</v>
      </c>
      <c r="D27" s="24">
        <v>400000</v>
      </c>
      <c r="E27" s="21">
        <v>14295</v>
      </c>
      <c r="F27" s="23">
        <f t="shared" si="0"/>
        <v>3.5737499999999998E-2</v>
      </c>
      <c r="G27" s="21">
        <v>14295</v>
      </c>
      <c r="H27" s="23">
        <f t="shared" si="1"/>
        <v>3.5737499999999998E-2</v>
      </c>
      <c r="I27" s="20">
        <f t="shared" ref="I27:I48" si="5">D27-G27</f>
        <v>385705</v>
      </c>
      <c r="J27" s="22">
        <v>200000</v>
      </c>
      <c r="K27" s="21">
        <v>0</v>
      </c>
      <c r="L27" s="21">
        <v>0</v>
      </c>
      <c r="M27" s="21">
        <v>750000</v>
      </c>
      <c r="N27" s="20">
        <v>650000</v>
      </c>
      <c r="O27" s="8">
        <f t="shared" si="3"/>
        <v>2000000</v>
      </c>
      <c r="P27" s="28"/>
    </row>
    <row r="28" spans="1:16" ht="30" customHeight="1" x14ac:dyDescent="0.25">
      <c r="A28" s="27" t="s">
        <v>6</v>
      </c>
      <c r="B28" s="26" t="s">
        <v>53</v>
      </c>
      <c r="C28" s="25" t="s">
        <v>52</v>
      </c>
      <c r="D28" s="24">
        <v>400000</v>
      </c>
      <c r="E28" s="21">
        <v>97892</v>
      </c>
      <c r="F28" s="23">
        <f t="shared" si="0"/>
        <v>0.24473</v>
      </c>
      <c r="G28" s="21">
        <v>97892</v>
      </c>
      <c r="H28" s="23">
        <f t="shared" si="1"/>
        <v>0.24473</v>
      </c>
      <c r="I28" s="20">
        <f t="shared" si="5"/>
        <v>302108</v>
      </c>
      <c r="J28" s="22">
        <v>400000</v>
      </c>
      <c r="K28" s="21">
        <v>0</v>
      </c>
      <c r="L28" s="21">
        <v>0</v>
      </c>
      <c r="M28" s="21">
        <v>0</v>
      </c>
      <c r="N28" s="20">
        <v>1200000</v>
      </c>
      <c r="O28" s="8">
        <f t="shared" si="3"/>
        <v>2000000</v>
      </c>
      <c r="P28" s="28"/>
    </row>
    <row r="29" spans="1:16" ht="30" customHeight="1" x14ac:dyDescent="0.25">
      <c r="A29" s="27" t="s">
        <v>6</v>
      </c>
      <c r="B29" s="26" t="s">
        <v>51</v>
      </c>
      <c r="C29" s="25" t="s">
        <v>50</v>
      </c>
      <c r="D29" s="24">
        <v>400000</v>
      </c>
      <c r="E29" s="21">
        <v>16706</v>
      </c>
      <c r="F29" s="23">
        <f t="shared" si="0"/>
        <v>4.1764999999999997E-2</v>
      </c>
      <c r="G29" s="21">
        <v>16706</v>
      </c>
      <c r="H29" s="23">
        <f t="shared" si="1"/>
        <v>4.1764999999999997E-2</v>
      </c>
      <c r="I29" s="20">
        <f t="shared" si="5"/>
        <v>383294</v>
      </c>
      <c r="J29" s="22">
        <f>200000-173800</f>
        <v>26200</v>
      </c>
      <c r="K29" s="21">
        <v>0</v>
      </c>
      <c r="L29" s="21">
        <v>0</v>
      </c>
      <c r="M29" s="21">
        <f>1020000+173800</f>
        <v>1193800</v>
      </c>
      <c r="N29" s="20">
        <v>380000</v>
      </c>
      <c r="O29" s="8">
        <f t="shared" si="3"/>
        <v>2000000</v>
      </c>
      <c r="P29" s="56" t="s">
        <v>49</v>
      </c>
    </row>
    <row r="30" spans="1:16" ht="30" customHeight="1" x14ac:dyDescent="0.25">
      <c r="A30" s="27" t="s">
        <v>33</v>
      </c>
      <c r="B30" s="26" t="s">
        <v>48</v>
      </c>
      <c r="C30" s="25" t="s">
        <v>47</v>
      </c>
      <c r="D30" s="24">
        <v>400000</v>
      </c>
      <c r="E30" s="21">
        <v>40296</v>
      </c>
      <c r="F30" s="23">
        <f t="shared" si="0"/>
        <v>0.10074</v>
      </c>
      <c r="G30" s="21">
        <v>40296</v>
      </c>
      <c r="H30" s="23">
        <f t="shared" si="1"/>
        <v>0.10074</v>
      </c>
      <c r="I30" s="20">
        <f t="shared" si="5"/>
        <v>359704</v>
      </c>
      <c r="J30" s="22">
        <v>140800</v>
      </c>
      <c r="K30" s="21">
        <v>59200</v>
      </c>
      <c r="L30" s="21">
        <v>0</v>
      </c>
      <c r="M30" s="21">
        <v>0</v>
      </c>
      <c r="N30" s="20">
        <v>1400000</v>
      </c>
      <c r="O30" s="8">
        <f t="shared" si="3"/>
        <v>2000000</v>
      </c>
      <c r="P30" s="19"/>
    </row>
    <row r="31" spans="1:16" ht="30" customHeight="1" x14ac:dyDescent="0.25">
      <c r="A31" s="27" t="s">
        <v>44</v>
      </c>
      <c r="B31" s="26" t="s">
        <v>46</v>
      </c>
      <c r="C31" s="25" t="s">
        <v>45</v>
      </c>
      <c r="D31" s="24">
        <v>400000</v>
      </c>
      <c r="E31" s="21">
        <v>30123</v>
      </c>
      <c r="F31" s="23">
        <f t="shared" si="0"/>
        <v>7.5307499999999999E-2</v>
      </c>
      <c r="G31" s="21">
        <v>30123</v>
      </c>
      <c r="H31" s="23">
        <f t="shared" si="1"/>
        <v>7.5307499999999999E-2</v>
      </c>
      <c r="I31" s="20">
        <f t="shared" si="5"/>
        <v>369877</v>
      </c>
      <c r="J31" s="22">
        <v>126000</v>
      </c>
      <c r="K31" s="21">
        <v>74000</v>
      </c>
      <c r="L31" s="21">
        <v>0</v>
      </c>
      <c r="M31" s="21">
        <v>0</v>
      </c>
      <c r="N31" s="20">
        <v>1400000</v>
      </c>
      <c r="O31" s="8">
        <f t="shared" si="3"/>
        <v>2000000</v>
      </c>
      <c r="P31" s="19"/>
    </row>
    <row r="32" spans="1:16" ht="30" customHeight="1" x14ac:dyDescent="0.25">
      <c r="A32" s="27" t="s">
        <v>44</v>
      </c>
      <c r="B32" s="26" t="s">
        <v>43</v>
      </c>
      <c r="C32" s="25" t="s">
        <v>42</v>
      </c>
      <c r="D32" s="24">
        <v>400000</v>
      </c>
      <c r="E32" s="21">
        <v>29407</v>
      </c>
      <c r="F32" s="23">
        <f t="shared" si="0"/>
        <v>7.35175E-2</v>
      </c>
      <c r="G32" s="21">
        <v>29407</v>
      </c>
      <c r="H32" s="23">
        <f t="shared" si="1"/>
        <v>7.35175E-2</v>
      </c>
      <c r="I32" s="20">
        <f t="shared" si="5"/>
        <v>370593</v>
      </c>
      <c r="J32" s="22">
        <v>200000</v>
      </c>
      <c r="K32" s="21">
        <v>0</v>
      </c>
      <c r="L32" s="21">
        <v>0</v>
      </c>
      <c r="M32" s="21">
        <v>0</v>
      </c>
      <c r="N32" s="20">
        <v>1400000</v>
      </c>
      <c r="O32" s="8">
        <f t="shared" si="3"/>
        <v>2000000</v>
      </c>
      <c r="P32" s="19"/>
    </row>
    <row r="33" spans="1:16" ht="30" customHeight="1" x14ac:dyDescent="0.25">
      <c r="A33" s="27" t="s">
        <v>33</v>
      </c>
      <c r="B33" s="26" t="s">
        <v>41</v>
      </c>
      <c r="C33" s="25" t="s">
        <v>40</v>
      </c>
      <c r="D33" s="24">
        <v>400000</v>
      </c>
      <c r="E33" s="21"/>
      <c r="F33" s="23">
        <f t="shared" si="0"/>
        <v>0</v>
      </c>
      <c r="G33" s="21"/>
      <c r="H33" s="23">
        <f t="shared" si="1"/>
        <v>0</v>
      </c>
      <c r="I33" s="20">
        <f t="shared" si="5"/>
        <v>400000</v>
      </c>
      <c r="J33" s="22">
        <v>200000</v>
      </c>
      <c r="K33" s="21">
        <v>0</v>
      </c>
      <c r="L33" s="21">
        <v>0</v>
      </c>
      <c r="M33" s="21">
        <v>0</v>
      </c>
      <c r="N33" s="20">
        <v>1400000</v>
      </c>
      <c r="O33" s="8">
        <f t="shared" si="3"/>
        <v>2000000</v>
      </c>
      <c r="P33" s="19"/>
    </row>
    <row r="34" spans="1:16" ht="30" customHeight="1" x14ac:dyDescent="0.25">
      <c r="A34" s="27" t="s">
        <v>33</v>
      </c>
      <c r="B34" s="26" t="s">
        <v>39</v>
      </c>
      <c r="C34" s="25" t="s">
        <v>38</v>
      </c>
      <c r="D34" s="24">
        <v>400000</v>
      </c>
      <c r="E34" s="21"/>
      <c r="F34" s="23">
        <f t="shared" si="0"/>
        <v>0</v>
      </c>
      <c r="G34" s="21"/>
      <c r="H34" s="23">
        <f t="shared" si="1"/>
        <v>0</v>
      </c>
      <c r="I34" s="20">
        <f t="shared" si="5"/>
        <v>400000</v>
      </c>
      <c r="J34" s="22">
        <v>126000</v>
      </c>
      <c r="K34" s="21">
        <v>74000</v>
      </c>
      <c r="L34" s="21">
        <v>0</v>
      </c>
      <c r="M34" s="21">
        <v>0</v>
      </c>
      <c r="N34" s="20">
        <v>1400000</v>
      </c>
      <c r="O34" s="8">
        <f t="shared" si="3"/>
        <v>2000000</v>
      </c>
      <c r="P34" s="19"/>
    </row>
    <row r="35" spans="1:16" ht="30" customHeight="1" x14ac:dyDescent="0.25">
      <c r="A35" s="27" t="s">
        <v>26</v>
      </c>
      <c r="B35" s="26" t="s">
        <v>37</v>
      </c>
      <c r="C35" s="25" t="s">
        <v>36</v>
      </c>
      <c r="D35" s="24">
        <v>400000</v>
      </c>
      <c r="E35" s="21"/>
      <c r="F35" s="23">
        <f t="shared" si="0"/>
        <v>0</v>
      </c>
      <c r="G35" s="21"/>
      <c r="H35" s="23">
        <f t="shared" si="1"/>
        <v>0</v>
      </c>
      <c r="I35" s="20">
        <f t="shared" si="5"/>
        <v>400000</v>
      </c>
      <c r="J35" s="22">
        <v>96000</v>
      </c>
      <c r="K35" s="21">
        <v>74000</v>
      </c>
      <c r="L35" s="21">
        <v>30000</v>
      </c>
      <c r="M35" s="21">
        <v>0</v>
      </c>
      <c r="N35" s="20">
        <v>1400000</v>
      </c>
      <c r="O35" s="8">
        <f t="shared" si="3"/>
        <v>2000000</v>
      </c>
      <c r="P35" s="19"/>
    </row>
    <row r="36" spans="1:16" ht="30" customHeight="1" x14ac:dyDescent="0.25">
      <c r="A36" s="27" t="s">
        <v>33</v>
      </c>
      <c r="B36" s="26" t="s">
        <v>35</v>
      </c>
      <c r="C36" s="25" t="s">
        <v>34</v>
      </c>
      <c r="D36" s="24">
        <v>400000</v>
      </c>
      <c r="E36" s="21"/>
      <c r="F36" s="23">
        <f t="shared" si="0"/>
        <v>0</v>
      </c>
      <c r="G36" s="21"/>
      <c r="H36" s="23">
        <f t="shared" si="1"/>
        <v>0</v>
      </c>
      <c r="I36" s="20">
        <f t="shared" si="5"/>
        <v>400000</v>
      </c>
      <c r="J36" s="22">
        <v>200000</v>
      </c>
      <c r="K36" s="21">
        <v>0</v>
      </c>
      <c r="L36" s="21">
        <v>0</v>
      </c>
      <c r="M36" s="21">
        <v>0</v>
      </c>
      <c r="N36" s="20">
        <v>1400000</v>
      </c>
      <c r="O36" s="8">
        <f t="shared" si="3"/>
        <v>2000000</v>
      </c>
      <c r="P36" s="19"/>
    </row>
    <row r="37" spans="1:16" ht="30" customHeight="1" x14ac:dyDescent="0.25">
      <c r="A37" s="27" t="s">
        <v>33</v>
      </c>
      <c r="B37" s="26" t="s">
        <v>32</v>
      </c>
      <c r="C37" s="25" t="s">
        <v>31</v>
      </c>
      <c r="D37" s="24">
        <v>400000</v>
      </c>
      <c r="E37" s="21"/>
      <c r="F37" s="23">
        <f t="shared" si="0"/>
        <v>0</v>
      </c>
      <c r="G37" s="21"/>
      <c r="H37" s="23">
        <f t="shared" si="1"/>
        <v>0</v>
      </c>
      <c r="I37" s="20">
        <f t="shared" si="5"/>
        <v>400000</v>
      </c>
      <c r="J37" s="22">
        <v>177800</v>
      </c>
      <c r="K37" s="31">
        <f>22200+70000</f>
        <v>92200</v>
      </c>
      <c r="L37" s="21">
        <v>0</v>
      </c>
      <c r="M37" s="21">
        <v>0</v>
      </c>
      <c r="N37" s="30">
        <f>1400000-70000</f>
        <v>1330000</v>
      </c>
      <c r="O37" s="8">
        <f t="shared" si="3"/>
        <v>2000000</v>
      </c>
      <c r="P37" s="57" t="s">
        <v>130</v>
      </c>
    </row>
    <row r="38" spans="1:16" ht="30" customHeight="1" x14ac:dyDescent="0.25">
      <c r="A38" s="27" t="s">
        <v>23</v>
      </c>
      <c r="B38" s="26" t="s">
        <v>30</v>
      </c>
      <c r="C38" s="25" t="s">
        <v>29</v>
      </c>
      <c r="D38" s="24">
        <v>400000</v>
      </c>
      <c r="E38" s="21">
        <v>75427</v>
      </c>
      <c r="F38" s="23">
        <f t="shared" si="0"/>
        <v>0.1885675</v>
      </c>
      <c r="G38" s="21">
        <v>75427</v>
      </c>
      <c r="H38" s="23">
        <f t="shared" si="1"/>
        <v>0.1885675</v>
      </c>
      <c r="I38" s="20">
        <f t="shared" si="5"/>
        <v>324573</v>
      </c>
      <c r="J38" s="22">
        <v>200000</v>
      </c>
      <c r="K38" s="21">
        <v>0</v>
      </c>
      <c r="L38" s="21">
        <v>0</v>
      </c>
      <c r="M38" s="21">
        <v>0</v>
      </c>
      <c r="N38" s="20">
        <v>1400000</v>
      </c>
      <c r="O38" s="8">
        <f t="shared" si="3"/>
        <v>2000000</v>
      </c>
      <c r="P38" s="19"/>
    </row>
    <row r="39" spans="1:16" ht="30" customHeight="1" x14ac:dyDescent="0.25">
      <c r="A39" s="27" t="s">
        <v>18</v>
      </c>
      <c r="B39" s="26" t="s">
        <v>28</v>
      </c>
      <c r="C39" s="25" t="s">
        <v>27</v>
      </c>
      <c r="D39" s="24">
        <v>400000</v>
      </c>
      <c r="E39" s="21"/>
      <c r="F39" s="23">
        <f t="shared" si="0"/>
        <v>0</v>
      </c>
      <c r="G39" s="21"/>
      <c r="H39" s="23">
        <f t="shared" si="1"/>
        <v>0</v>
      </c>
      <c r="I39" s="20">
        <f t="shared" si="5"/>
        <v>400000</v>
      </c>
      <c r="J39" s="22">
        <v>200000</v>
      </c>
      <c r="K39" s="21">
        <v>0</v>
      </c>
      <c r="L39" s="21">
        <v>0</v>
      </c>
      <c r="M39" s="21">
        <v>300000</v>
      </c>
      <c r="N39" s="20">
        <v>1100000</v>
      </c>
      <c r="O39" s="8">
        <f t="shared" si="3"/>
        <v>2000000</v>
      </c>
      <c r="P39" s="19"/>
    </row>
    <row r="40" spans="1:16" ht="30" customHeight="1" x14ac:dyDescent="0.25">
      <c r="A40" s="27" t="s">
        <v>26</v>
      </c>
      <c r="B40" s="26" t="s">
        <v>25</v>
      </c>
      <c r="C40" s="25" t="s">
        <v>24</v>
      </c>
      <c r="D40" s="24">
        <v>400000</v>
      </c>
      <c r="E40" s="21">
        <v>41796</v>
      </c>
      <c r="F40" s="23">
        <f t="shared" si="0"/>
        <v>0.10449</v>
      </c>
      <c r="G40" s="21">
        <v>41796</v>
      </c>
      <c r="H40" s="23">
        <f t="shared" si="1"/>
        <v>0.10449</v>
      </c>
      <c r="I40" s="20">
        <f t="shared" si="5"/>
        <v>358204</v>
      </c>
      <c r="J40" s="22">
        <v>126000</v>
      </c>
      <c r="K40" s="21">
        <v>74000</v>
      </c>
      <c r="L40" s="21">
        <v>0</v>
      </c>
      <c r="M40" s="31">
        <v>48000</v>
      </c>
      <c r="N40" s="30">
        <v>92000</v>
      </c>
      <c r="O40" s="8">
        <f t="shared" si="3"/>
        <v>740000</v>
      </c>
      <c r="P40" s="28" t="s">
        <v>127</v>
      </c>
    </row>
    <row r="41" spans="1:16" ht="30" customHeight="1" x14ac:dyDescent="0.25">
      <c r="A41" s="27" t="s">
        <v>23</v>
      </c>
      <c r="B41" s="26" t="s">
        <v>22</v>
      </c>
      <c r="C41" s="25" t="s">
        <v>21</v>
      </c>
      <c r="D41" s="24">
        <v>400000</v>
      </c>
      <c r="E41" s="21"/>
      <c r="F41" s="23">
        <f t="shared" si="0"/>
        <v>0</v>
      </c>
      <c r="G41" s="21"/>
      <c r="H41" s="23">
        <f t="shared" si="1"/>
        <v>0</v>
      </c>
      <c r="I41" s="20">
        <f t="shared" si="5"/>
        <v>400000</v>
      </c>
      <c r="J41" s="22">
        <v>200000</v>
      </c>
      <c r="K41" s="21">
        <v>0</v>
      </c>
      <c r="L41" s="21">
        <v>0</v>
      </c>
      <c r="M41" s="21">
        <v>0</v>
      </c>
      <c r="N41" s="20">
        <v>1400000</v>
      </c>
      <c r="O41" s="8">
        <f t="shared" si="3"/>
        <v>2000000</v>
      </c>
      <c r="P41" s="19"/>
    </row>
    <row r="42" spans="1:16" ht="30" customHeight="1" x14ac:dyDescent="0.25">
      <c r="A42" s="27" t="s">
        <v>18</v>
      </c>
      <c r="B42" s="26" t="s">
        <v>20</v>
      </c>
      <c r="C42" s="25" t="s">
        <v>19</v>
      </c>
      <c r="D42" s="24">
        <v>400000</v>
      </c>
      <c r="E42" s="21"/>
      <c r="F42" s="23">
        <f t="shared" si="0"/>
        <v>0</v>
      </c>
      <c r="G42" s="21"/>
      <c r="H42" s="23">
        <f t="shared" si="1"/>
        <v>0</v>
      </c>
      <c r="I42" s="20">
        <f t="shared" si="5"/>
        <v>400000</v>
      </c>
      <c r="J42" s="22">
        <v>200000</v>
      </c>
      <c r="K42" s="21">
        <v>0</v>
      </c>
      <c r="L42" s="21">
        <v>0</v>
      </c>
      <c r="M42" s="21">
        <v>0</v>
      </c>
      <c r="N42" s="20">
        <v>1400000</v>
      </c>
      <c r="O42" s="8">
        <f t="shared" si="3"/>
        <v>2000000</v>
      </c>
      <c r="P42" s="19"/>
    </row>
    <row r="43" spans="1:16" ht="30" customHeight="1" x14ac:dyDescent="0.25">
      <c r="A43" s="27" t="s">
        <v>18</v>
      </c>
      <c r="B43" s="26" t="s">
        <v>17</v>
      </c>
      <c r="C43" s="25" t="s">
        <v>16</v>
      </c>
      <c r="D43" s="24">
        <v>400000</v>
      </c>
      <c r="E43" s="21"/>
      <c r="F43" s="23">
        <f t="shared" si="0"/>
        <v>0</v>
      </c>
      <c r="G43" s="21"/>
      <c r="H43" s="23">
        <f t="shared" si="1"/>
        <v>0</v>
      </c>
      <c r="I43" s="20">
        <f t="shared" si="5"/>
        <v>400000</v>
      </c>
      <c r="J43" s="22">
        <v>126000</v>
      </c>
      <c r="K43" s="21">
        <v>74000</v>
      </c>
      <c r="L43" s="21">
        <v>0</v>
      </c>
      <c r="M43" s="21">
        <v>0</v>
      </c>
      <c r="N43" s="20">
        <v>1400000</v>
      </c>
      <c r="O43" s="8">
        <f t="shared" si="3"/>
        <v>2000000</v>
      </c>
      <c r="P43" s="19"/>
    </row>
    <row r="44" spans="1:16" ht="30" customHeight="1" x14ac:dyDescent="0.25">
      <c r="A44" s="27" t="s">
        <v>11</v>
      </c>
      <c r="B44" s="26" t="s">
        <v>15</v>
      </c>
      <c r="C44" s="25" t="s">
        <v>14</v>
      </c>
      <c r="D44" s="24">
        <v>400000</v>
      </c>
      <c r="E44" s="21">
        <v>11876</v>
      </c>
      <c r="F44" s="23">
        <f t="shared" si="0"/>
        <v>2.9690000000000001E-2</v>
      </c>
      <c r="G44" s="21">
        <v>11876</v>
      </c>
      <c r="H44" s="23">
        <f t="shared" si="1"/>
        <v>2.9690000000000001E-2</v>
      </c>
      <c r="I44" s="20">
        <f t="shared" si="5"/>
        <v>388124</v>
      </c>
      <c r="J44" s="22">
        <v>172650</v>
      </c>
      <c r="K44" s="21">
        <v>22200</v>
      </c>
      <c r="L44" s="21">
        <v>0</v>
      </c>
      <c r="M44" s="21">
        <v>50000</v>
      </c>
      <c r="N44" s="20">
        <v>1355150</v>
      </c>
      <c r="O44" s="8">
        <f t="shared" si="3"/>
        <v>2000000</v>
      </c>
      <c r="P44" s="19"/>
    </row>
    <row r="45" spans="1:16" ht="30" customHeight="1" x14ac:dyDescent="0.25">
      <c r="A45" s="27" t="s">
        <v>11</v>
      </c>
      <c r="B45" s="26" t="s">
        <v>13</v>
      </c>
      <c r="C45" s="25" t="s">
        <v>12</v>
      </c>
      <c r="D45" s="24">
        <v>400000</v>
      </c>
      <c r="E45" s="21">
        <v>50709</v>
      </c>
      <c r="F45" s="23">
        <f t="shared" si="0"/>
        <v>0.12677250000000001</v>
      </c>
      <c r="G45" s="21">
        <v>50709</v>
      </c>
      <c r="H45" s="23">
        <f t="shared" si="1"/>
        <v>0.12677250000000001</v>
      </c>
      <c r="I45" s="20">
        <f t="shared" si="5"/>
        <v>349291</v>
      </c>
      <c r="J45" s="22">
        <v>200000</v>
      </c>
      <c r="K45" s="21">
        <v>0</v>
      </c>
      <c r="L45" s="21">
        <v>0</v>
      </c>
      <c r="M45" s="21">
        <v>0</v>
      </c>
      <c r="N45" s="20">
        <v>1400000</v>
      </c>
      <c r="O45" s="8">
        <f t="shared" si="3"/>
        <v>2000000</v>
      </c>
      <c r="P45" s="19"/>
    </row>
    <row r="46" spans="1:16" ht="30" customHeight="1" x14ac:dyDescent="0.25">
      <c r="A46" s="27" t="s">
        <v>11</v>
      </c>
      <c r="B46" s="26" t="s">
        <v>10</v>
      </c>
      <c r="C46" s="25" t="s">
        <v>9</v>
      </c>
      <c r="D46" s="24">
        <v>400000</v>
      </c>
      <c r="E46" s="21"/>
      <c r="F46" s="23">
        <f t="shared" si="0"/>
        <v>0</v>
      </c>
      <c r="G46" s="21"/>
      <c r="H46" s="23">
        <f t="shared" si="1"/>
        <v>0</v>
      </c>
      <c r="I46" s="20">
        <f t="shared" si="5"/>
        <v>400000</v>
      </c>
      <c r="J46" s="22">
        <v>111200</v>
      </c>
      <c r="K46" s="21">
        <v>88800</v>
      </c>
      <c r="L46" s="21">
        <v>0</v>
      </c>
      <c r="M46" s="21">
        <v>500000</v>
      </c>
      <c r="N46" s="20">
        <v>900000</v>
      </c>
      <c r="O46" s="8">
        <f t="shared" si="3"/>
        <v>2000000</v>
      </c>
      <c r="P46" s="19"/>
    </row>
    <row r="47" spans="1:16" ht="30" customHeight="1" x14ac:dyDescent="0.25">
      <c r="A47" s="27" t="s">
        <v>3</v>
      </c>
      <c r="B47" s="26" t="s">
        <v>8</v>
      </c>
      <c r="C47" s="25" t="s">
        <v>7</v>
      </c>
      <c r="D47" s="24">
        <v>400000</v>
      </c>
      <c r="E47" s="21"/>
      <c r="F47" s="23">
        <f t="shared" si="0"/>
        <v>0</v>
      </c>
      <c r="G47" s="21"/>
      <c r="H47" s="23">
        <f t="shared" si="1"/>
        <v>0</v>
      </c>
      <c r="I47" s="20">
        <f t="shared" si="5"/>
        <v>400000</v>
      </c>
      <c r="J47" s="22">
        <v>190000</v>
      </c>
      <c r="K47" s="21">
        <v>0</v>
      </c>
      <c r="L47" s="21">
        <v>0</v>
      </c>
      <c r="M47" s="21">
        <v>450000</v>
      </c>
      <c r="N47" s="20">
        <v>960000</v>
      </c>
      <c r="O47" s="8">
        <f t="shared" si="3"/>
        <v>2000000</v>
      </c>
      <c r="P47" s="19"/>
    </row>
    <row r="48" spans="1:16" ht="30" customHeight="1" x14ac:dyDescent="0.25">
      <c r="A48" s="27" t="s">
        <v>6</v>
      </c>
      <c r="B48" s="26" t="s">
        <v>5</v>
      </c>
      <c r="C48" s="25" t="s">
        <v>4</v>
      </c>
      <c r="D48" s="24">
        <v>400000</v>
      </c>
      <c r="E48" s="21">
        <v>27852</v>
      </c>
      <c r="F48" s="23">
        <f t="shared" si="0"/>
        <v>6.9629999999999997E-2</v>
      </c>
      <c r="G48" s="21">
        <v>27852</v>
      </c>
      <c r="H48" s="23">
        <f t="shared" si="1"/>
        <v>6.9629999999999997E-2</v>
      </c>
      <c r="I48" s="20">
        <f t="shared" si="5"/>
        <v>372148</v>
      </c>
      <c r="J48" s="22">
        <v>126000</v>
      </c>
      <c r="K48" s="21">
        <v>74000</v>
      </c>
      <c r="L48" s="21">
        <v>0</v>
      </c>
      <c r="M48" s="21">
        <v>150000</v>
      </c>
      <c r="N48" s="20">
        <v>1250000</v>
      </c>
      <c r="O48" s="8">
        <f t="shared" si="3"/>
        <v>2000000</v>
      </c>
      <c r="P48" s="19"/>
    </row>
    <row r="49" spans="1:16" ht="30" customHeight="1" thickBot="1" x14ac:dyDescent="0.3">
      <c r="A49" s="18" t="s">
        <v>3</v>
      </c>
      <c r="B49" s="17" t="s">
        <v>2</v>
      </c>
      <c r="C49" s="16" t="s">
        <v>1</v>
      </c>
      <c r="D49" s="15">
        <v>0</v>
      </c>
      <c r="E49" s="14">
        <v>0</v>
      </c>
      <c r="F49" s="13">
        <v>0</v>
      </c>
      <c r="G49" s="14">
        <v>0</v>
      </c>
      <c r="H49" s="13">
        <v>0</v>
      </c>
      <c r="I49" s="12">
        <v>0</v>
      </c>
      <c r="J49" s="11">
        <v>0</v>
      </c>
      <c r="K49" s="10">
        <v>0</v>
      </c>
      <c r="L49" s="10">
        <v>0</v>
      </c>
      <c r="M49" s="10">
        <v>0</v>
      </c>
      <c r="N49" s="9">
        <v>2000000</v>
      </c>
      <c r="O49" s="8">
        <f t="shared" si="3"/>
        <v>2000000</v>
      </c>
      <c r="P49" s="7"/>
    </row>
    <row r="50" spans="1:16" ht="30" customHeight="1" thickBot="1" x14ac:dyDescent="0.3">
      <c r="A50" s="60" t="s">
        <v>0</v>
      </c>
      <c r="B50" s="61"/>
      <c r="C50" s="62"/>
      <c r="D50" s="5">
        <f>SUM(D3:D49)</f>
        <v>18400000</v>
      </c>
      <c r="E50" s="5">
        <f>SUM(E3:E49)</f>
        <v>1649203</v>
      </c>
      <c r="F50" s="6">
        <f>E50/D50</f>
        <v>8.9630597826086955E-2</v>
      </c>
      <c r="G50" s="5">
        <f>SUM(G3:G49)</f>
        <v>1522088</v>
      </c>
      <c r="H50" s="6">
        <f>G50/D50</f>
        <v>8.2722173913043484E-2</v>
      </c>
      <c r="I50" s="5">
        <f t="shared" ref="I50:O50" si="6">SUM(I3:I49)</f>
        <v>16877912</v>
      </c>
      <c r="J50" s="5">
        <f t="shared" si="6"/>
        <v>7619450</v>
      </c>
      <c r="K50" s="5">
        <f t="shared" si="6"/>
        <v>1635400</v>
      </c>
      <c r="L50" s="5">
        <f t="shared" si="6"/>
        <v>30000</v>
      </c>
      <c r="M50" s="5">
        <f t="shared" si="6"/>
        <v>7374500</v>
      </c>
      <c r="N50" s="4">
        <f t="shared" si="6"/>
        <v>57680650</v>
      </c>
      <c r="O50" s="3">
        <f t="shared" si="6"/>
        <v>92740000</v>
      </c>
      <c r="P50" s="2"/>
    </row>
    <row r="51" spans="1:16" x14ac:dyDescent="0.25">
      <c r="N51" s="1">
        <f>I50+J50+K50+L50+M50+N50</f>
        <v>91217912</v>
      </c>
    </row>
  </sheetData>
  <autoFilter ref="A2:P51" xr:uid="{A6C42671-5691-4544-B99D-67261370C832}"/>
  <mergeCells count="8">
    <mergeCell ref="P1:P2"/>
    <mergeCell ref="A50:C50"/>
    <mergeCell ref="A1:A2"/>
    <mergeCell ref="B1:B2"/>
    <mergeCell ref="C1:C2"/>
    <mergeCell ref="D1:I1"/>
    <mergeCell ref="J1:N1"/>
    <mergeCell ref="O1:O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115經費撥付與調整表-以此為主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奕君 劉</dc:creator>
  <cp:lastModifiedBy>奕君 劉</cp:lastModifiedBy>
  <dcterms:created xsi:type="dcterms:W3CDTF">2026-06-25T08:28:31Z</dcterms:created>
  <dcterms:modified xsi:type="dcterms:W3CDTF">2026-07-13T09:20:02Z</dcterms:modified>
</cp:coreProperties>
</file>