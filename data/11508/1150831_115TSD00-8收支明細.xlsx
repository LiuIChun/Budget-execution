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IR大數據分析組\IR-躍升相關\經費收支明細\1150831\"/>
    </mc:Choice>
  </mc:AlternateContent>
  <xr:revisionPtr revIDLastSave="0" documentId="13_ncr:1_{30DC715A-5059-4D33-B50B-A022A3FCE54F}" xr6:coauthVersionLast="47" xr6:coauthVersionMax="47" xr10:uidLastSave="{00000000-0000-0000-0000-000000000000}"/>
  <bookViews>
    <workbookView xWindow="28680" yWindow="-120" windowWidth="29040" windowHeight="15840" xr2:uid="{4EC6783E-8B01-40B7-860E-F4AD7D070EAA}"/>
  </bookViews>
  <sheets>
    <sheet name="工作表1" sheetId="1" r:id="rId1"/>
  </sheets>
  <definedNames>
    <definedName name="_xlnm._FilterDatabase" localSheetId="0" hidden="1">工作表1!$A$25:$J$850</definedName>
    <definedName name="_xlnm.Print_Titles" localSheetId="0">工作表1!$19:$19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6" i="1" l="1"/>
  <c r="H16" i="1"/>
  <c r="I15" i="1"/>
  <c r="H15" i="1"/>
  <c r="I14" i="1"/>
  <c r="H14" i="1"/>
  <c r="I13" i="1"/>
  <c r="H13" i="1"/>
  <c r="I12" i="1"/>
  <c r="H12" i="1"/>
  <c r="I11" i="1"/>
  <c r="H11" i="1"/>
</calcChain>
</file>

<file path=xl/sharedStrings.xml><?xml version="1.0" encoding="utf-8"?>
<sst xmlns="http://schemas.openxmlformats.org/spreadsheetml/2006/main" count="6582" uniqueCount="2337">
  <si>
    <t>ACC251</t>
  </si>
  <si>
    <t>國立高雄科技大學</t>
  </si>
  <si>
    <t>計畫收支明細表</t>
  </si>
  <si>
    <t>列印時間:115.08.31-13:30:47</t>
  </si>
  <si>
    <t>計畫代碼</t>
  </si>
  <si>
    <t xml:space="preserve">115TSD00-8     </t>
  </si>
  <si>
    <t>委託單位</t>
  </si>
  <si>
    <t/>
  </si>
  <si>
    <t>計畫編號</t>
  </si>
  <si>
    <t>執行單位</t>
  </si>
  <si>
    <t>SD00 永續發展處</t>
  </si>
  <si>
    <t>計畫名稱</t>
  </si>
  <si>
    <t>系所躍升計畫二期第二年(115/1/1-115/10/31)經費</t>
  </si>
  <si>
    <t>執行日期</t>
  </si>
  <si>
    <t>1150101至1151231</t>
  </si>
  <si>
    <t>主持人</t>
  </si>
  <si>
    <t>經費用途</t>
  </si>
  <si>
    <t>核定金額</t>
  </si>
  <si>
    <t>實支數</t>
  </si>
  <si>
    <t>暫付數</t>
  </si>
  <si>
    <t>核銷簽證</t>
  </si>
  <si>
    <t>暫付簽證</t>
  </si>
  <si>
    <t>請購未銷</t>
  </si>
  <si>
    <t>餘額</t>
  </si>
  <si>
    <t>執行率%</t>
  </si>
  <si>
    <t>AE-SD01躍升計畫設備費</t>
  </si>
  <si>
    <t>BE05躍升計畫業務費</t>
  </si>
  <si>
    <t>BE06躍升計畫國外旅費</t>
  </si>
  <si>
    <t>BE07躍升計畫大陸地區旅費</t>
  </si>
  <si>
    <t>EE-SD01躍升計畫無形資產</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</si>
  <si>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</si>
  <si>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</si>
  <si>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</si>
  <si>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</si>
  <si>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</si>
  <si>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</si>
  <si>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</si>
  <si>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</si>
  <si>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</si>
  <si>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</si>
  <si>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</si>
  <si>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</si>
  <si>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</si>
  <si>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</si>
  <si>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</si>
  <si>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</si>
  <si>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</si>
  <si>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</si>
  <si>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</si>
  <si>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</si>
  <si>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T200124</t>
  </si>
  <si>
    <t>130401-1001機械及設備-本年度預算</t>
  </si>
  <si>
    <t xml:space="preserve">T115UF080006   </t>
  </si>
  <si>
    <t>工設系電腦教室設備更新-高速網路交換器，增加學生上課軟體使用上的穩定度※品名:高速網路交換器</t>
  </si>
  <si>
    <t>工業設計系</t>
  </si>
  <si>
    <t>T200145</t>
  </si>
  <si>
    <t xml:space="preserve">T115UM760014   </t>
  </si>
  <si>
    <t>付觀光系-黃永全老師執行躍升計畫教學與研究所需之平板電腦費用。※品名:ios平板電腦</t>
  </si>
  <si>
    <t>觀光系</t>
  </si>
  <si>
    <t>T200146</t>
  </si>
  <si>
    <t xml:space="preserve">T115UO040007   </t>
  </si>
  <si>
    <t>教學環境提升用專業版雷射工業級3D掃描器※品名:Revopoint MetroX專業版雷射工業級3D掃描器</t>
  </si>
  <si>
    <t>海洋休閒管理系[楠梓|</t>
  </si>
  <si>
    <t>1150205</t>
  </si>
  <si>
    <t>T400129</t>
  </si>
  <si>
    <t xml:space="preserve">T115UO030005- 1   </t>
  </si>
  <si>
    <t>供應鏈管理系3501教室更換投影機及安裝施工費※品名:投影機</t>
  </si>
  <si>
    <t>供應鏈管理系[楠梓|旗</t>
  </si>
  <si>
    <t>1150209</t>
  </si>
  <si>
    <t>已審</t>
  </si>
  <si>
    <t xml:space="preserve">T115UF020014   </t>
  </si>
  <si>
    <t>奈米粒徑及電位分析儀（躍升計畫分攤2,000,000元，基本維持設備費700,000元）※品名:奈米粒徑及電位分析儀</t>
  </si>
  <si>
    <t>環境與安全衛生工程系</t>
  </si>
  <si>
    <t>1150226</t>
  </si>
  <si>
    <t xml:space="preserve">T115UE230018   </t>
  </si>
  <si>
    <t>研究使用※品名:土木結構專用之非接觸式振動量測與模擬整合平台</t>
  </si>
  <si>
    <t>土木系</t>
  </si>
  <si>
    <t>1150304</t>
  </si>
  <si>
    <t>T200433</t>
  </si>
  <si>
    <t>130501-1001交通及運輸設備-本年度預算</t>
  </si>
  <si>
    <t xml:space="preserve">T115UC110047   </t>
  </si>
  <si>
    <t>執行躍升計畫國際化交流-雙向口譯機※品名:雙向口譯機</t>
  </si>
  <si>
    <t>國企系</t>
  </si>
  <si>
    <t>T200435</t>
  </si>
  <si>
    <t xml:space="preserve">T115UV000007   </t>
  </si>
  <si>
    <t>(楠梓-商資系-躍升計畫)商務資訊專業教室空間設備(2403、3401電腦教室音響、擴大機更換)※品名:雙頻無線接收機、兩音路箱型喇叭、綜合擴大機</t>
  </si>
  <si>
    <t>商務資訊應用系</t>
  </si>
  <si>
    <t>T200436</t>
  </si>
  <si>
    <t>130601-1001什項設備-本年度預算</t>
  </si>
  <si>
    <t xml:space="preserve">T115UM760024   </t>
  </si>
  <si>
    <t>付觀光系咖啡專業教室教學設備所需之磨豆機費用。※品名:磨豆機</t>
  </si>
  <si>
    <t>1150311</t>
  </si>
  <si>
    <t>T200553</t>
  </si>
  <si>
    <t xml:space="preserve">T115UM740012   </t>
  </si>
  <si>
    <t>執行躍升計畫, 王崇昱老師提升教學量能之授課工具※品名:IOS平板電腦Apple ipad Air</t>
  </si>
  <si>
    <t>企管系</t>
  </si>
  <si>
    <t>1150319</t>
  </si>
  <si>
    <t>T200737</t>
  </si>
  <si>
    <t xml:space="preserve">T115UE290059   </t>
  </si>
  <si>
    <t>李新木技士申請-資401教學用設備※品名:電源供應器</t>
  </si>
  <si>
    <t>電子系</t>
  </si>
  <si>
    <t xml:space="preserve">T115UR010054   </t>
  </si>
  <si>
    <t>航技系教學用航儀設備※品名:電羅經</t>
  </si>
  <si>
    <t>航運技術系</t>
  </si>
  <si>
    <t>1150323</t>
  </si>
  <si>
    <t>T200788</t>
  </si>
  <si>
    <t xml:space="preserve">T115UM760033   </t>
  </si>
  <si>
    <t>付觀光系咖啡專業教室上課所需之教學器材費用。※品名:LE NEZ DU  CAFF36種聞香咖啡啟蒙組</t>
  </si>
  <si>
    <t>T200798</t>
  </si>
  <si>
    <t xml:space="preserve">T115UO040019   </t>
  </si>
  <si>
    <t>全能進階多頻定位導航儀(智慧化海洋休閒教學及研究設備購置)※品名:全能進階多頻定位導航儀GARMIN GPS MAP67</t>
  </si>
  <si>
    <t>T400312</t>
  </si>
  <si>
    <t xml:space="preserve">T115UC110027- 1   </t>
  </si>
  <si>
    <t>執行躍升計畫，提升師生學術研究用繪圖印表機※品名:繪圖印表機</t>
  </si>
  <si>
    <t>1150401</t>
  </si>
  <si>
    <t>T200917</t>
  </si>
  <si>
    <t xml:space="preserve">T115UN010010- 1   </t>
  </si>
  <si>
    <t>電腦主機(含顯示器、還原軟體)-C220教學設備更新，提升學生學習效能與改善教學品質※品名:電腦主機(含顯示器、還原軟體)</t>
  </si>
  <si>
    <t>資訊管理系[第一]</t>
  </si>
  <si>
    <t>T201019</t>
  </si>
  <si>
    <t xml:space="preserve">T115UR020040   </t>
  </si>
  <si>
    <t>輪機系_執行躍升計畫採購PLC(FX5U-32MR)設備※品名:三菱PLC(FX5U-32UR)</t>
  </si>
  <si>
    <t>輪機工程系</t>
  </si>
  <si>
    <t>T201031</t>
  </si>
  <si>
    <t xml:space="preserve">T115UB000032- 1   </t>
  </si>
  <si>
    <t>教學實驗用設備※品名:伺服器主機</t>
  </si>
  <si>
    <t>半導體工程系</t>
  </si>
  <si>
    <t>T400365</t>
  </si>
  <si>
    <t xml:space="preserve">T115UF080008- 1   </t>
  </si>
  <si>
    <t>工設系B501教室冷氣更新※品名:冷氣</t>
  </si>
  <si>
    <t>T400366</t>
  </si>
  <si>
    <t xml:space="preserve">T115UD020009- 1   </t>
  </si>
  <si>
    <t>(共契)擴增教學實驗設備(伺服器)(B504實驗室)※品名:2U機架式低階2路伺服器</t>
  </si>
  <si>
    <t>電子工程系[第一]</t>
  </si>
  <si>
    <t>1150408</t>
  </si>
  <si>
    <t>T201087</t>
  </si>
  <si>
    <t xml:space="preserve">T115UD020028   </t>
  </si>
  <si>
    <t>執行躍升計畫購置AI基礎技術教學設備※品名:平板電腦</t>
  </si>
  <si>
    <t>陳浩暉</t>
  </si>
  <si>
    <t xml:space="preserve">T115UE160077   </t>
  </si>
  <si>
    <t>新購教學研究設備，自動調幅式示差掃描熱分析儀一台※品名:自動調幅式示差掃描熱分析儀</t>
  </si>
  <si>
    <t>化材系</t>
  </si>
  <si>
    <t>1150409</t>
  </si>
  <si>
    <t>T201124</t>
  </si>
  <si>
    <t xml:space="preserve">T115UM760035   </t>
  </si>
  <si>
    <t>T201155</t>
  </si>
  <si>
    <t>170102-1001電腦軟體 -本年度預算</t>
  </si>
  <si>
    <t xml:space="preserve">T115UO010051   </t>
  </si>
  <si>
    <t>新版關港貿作業教學系統※品名:通關自動化系統</t>
  </si>
  <si>
    <t>航運管理系[楠梓|旗津</t>
  </si>
  <si>
    <t>1150410</t>
  </si>
  <si>
    <t>T201172</t>
  </si>
  <si>
    <t xml:space="preserve">T115UB000027- 1   </t>
  </si>
  <si>
    <t>(共契)電腦教室教學廣播系統※品名:MagnNex 互動式廣播教學系統</t>
  </si>
  <si>
    <t xml:space="preserve">T115UJ010070   </t>
  </si>
  <si>
    <t>更新應英系D205A教室設備及環境※品名:應英系D205A採購案</t>
  </si>
  <si>
    <t>外語學院應用英語系</t>
  </si>
  <si>
    <t>1150413</t>
  </si>
  <si>
    <t>T400397</t>
  </si>
  <si>
    <t xml:space="preserve">T115UR010024- 1   </t>
  </si>
  <si>
    <t>航技系教師研究室採購教學用多功能印表機。※品名:A4規格多功能印表機</t>
  </si>
  <si>
    <t>T400398</t>
  </si>
  <si>
    <t xml:space="preserve">T115UR010033- 1   </t>
  </si>
  <si>
    <t>航技系教學用筆記型電腦※品名:筆記型電腦</t>
  </si>
  <si>
    <t xml:space="preserve">T115UN040069   </t>
  </si>
  <si>
    <t>高精度無線腦波系統G.NAUTILUS g.SAHARA 16通道※品名:高精度無線腦波系統</t>
  </si>
  <si>
    <t>歐宗殷</t>
  </si>
  <si>
    <t>1150416</t>
  </si>
  <si>
    <t>T201264</t>
  </si>
  <si>
    <t xml:space="preserve">T115UR030002- 1   </t>
  </si>
  <si>
    <t>旗津校區/海資系/執行計畫用海資電腦教室主機※品名:ASUS E500 G9主機</t>
  </si>
  <si>
    <t>海事資訊科技系</t>
  </si>
  <si>
    <t>1150420</t>
  </si>
  <si>
    <t>T201270</t>
  </si>
  <si>
    <t xml:space="preserve">T115UC110039- 1   </t>
  </si>
  <si>
    <t>執行躍升計畫-提升師生研究環境冷氣一台。※品名:冷氣機</t>
  </si>
  <si>
    <t>1150421</t>
  </si>
  <si>
    <t xml:space="preserve">T115UQ040045   </t>
  </si>
  <si>
    <t>執行計畫-實驗用儀器-自動進樣固液體總有機碳氮分析儀※品名:自動進樣固液體總有機碳氮分析儀</t>
  </si>
  <si>
    <t>陳建志</t>
  </si>
  <si>
    <t>1150422</t>
  </si>
  <si>
    <t>T201316</t>
  </si>
  <si>
    <t xml:space="preserve">T115UE150039   </t>
  </si>
  <si>
    <t>執行研究計劃所需之運算工作站。※品名:人工智慧運算工作站
(併T115UE150040、B115005362、K115002260)</t>
  </si>
  <si>
    <t>張道行</t>
  </si>
  <si>
    <t>1150423</t>
  </si>
  <si>
    <t>T201338</t>
  </si>
  <si>
    <t xml:space="preserve">T115UE270071   </t>
  </si>
  <si>
    <t>執行理論模擬電腦的使用配件※品名:鍵盤</t>
  </si>
  <si>
    <t>周阜毅</t>
  </si>
  <si>
    <t>T201354</t>
  </si>
  <si>
    <t xml:space="preserve">T115US190035   </t>
  </si>
  <si>
    <t>115年度漁管系執行改質躍升改善空間之遮陽棚帆布、工資費※品名:如發票</t>
  </si>
  <si>
    <t>漁業科技與管理系</t>
  </si>
  <si>
    <t>T201423</t>
  </si>
  <si>
    <t xml:space="preserve">T115UO040029   </t>
  </si>
  <si>
    <t>水域活動陸域教學及實作平台用二節式龍門吊架※品名:二節式龍門吊架</t>
  </si>
  <si>
    <t>1150424</t>
  </si>
  <si>
    <t xml:space="preserve">T115UQ040047   </t>
  </si>
  <si>
    <t>執行計畫-實驗用儀器-自動進樣固液體總有機碳氮分析儀。※品名:自動進樣固液體總有機碳氮分析儀</t>
  </si>
  <si>
    <t>黃紀惟</t>
  </si>
  <si>
    <t>1150427</t>
  </si>
  <si>
    <t xml:space="preserve">T115UJ020063   </t>
  </si>
  <si>
    <t>應日系E002教室優化整建採購※品名:學生區連結型工學椅、學生區長型固定式長課桌、PTZ自動追蹤攝影機、8吋環控面板含軟體編程、白板面料更換、階梯區木地板面強化與空間油漆美化、座椅區項目拆除清運費用、空間器材保護與基礎清潔</t>
  </si>
  <si>
    <t>陳佩君</t>
  </si>
  <si>
    <t>1150429</t>
  </si>
  <si>
    <t xml:space="preserve">T115UE250076   </t>
  </si>
  <si>
    <t>新進老師研究設備費購買雙靶源磁控濺鍍系統※品名:雙靶源磁控濺鍍系統</t>
  </si>
  <si>
    <t>曹德綱</t>
  </si>
  <si>
    <t>1150501</t>
  </si>
  <si>
    <t>T201467</t>
  </si>
  <si>
    <t xml:space="preserve">T115UP020032   </t>
  </si>
  <si>
    <t>教學用※品名:86吋觸控顯示器、吸頂型迴轉攝影機</t>
  </si>
  <si>
    <t>風險管理與保險系</t>
  </si>
  <si>
    <t>T201486</t>
  </si>
  <si>
    <t xml:space="preserve">T115UO040016- 1   </t>
  </si>
  <si>
    <t>專業教室用電腦設備(提升教學環境及設備改善更新)※品名:電腦、顯示器(併T201485、T201486)</t>
  </si>
  <si>
    <t>實支核銷</t>
  </si>
  <si>
    <t>未審</t>
  </si>
  <si>
    <t xml:space="preserve">T115UR020095   </t>
  </si>
  <si>
    <t>輪機系_採購船電工廠教學用設備※品名:電腦主機(ASUS E500 G9)</t>
  </si>
  <si>
    <t>1150504</t>
  </si>
  <si>
    <t>T201526</t>
  </si>
  <si>
    <t xml:space="preserve">T115UQ010030- 1   </t>
  </si>
  <si>
    <t>執行造船與海洋工程專業之複雜流場模擬，支援ANSYS Workgroup 128多核心運算之高階工作站※品名:伺服器(ASUS RS501A-E12-RS4)</t>
  </si>
  <si>
    <t>李子宜</t>
  </si>
  <si>
    <t>T201532</t>
  </si>
  <si>
    <t xml:space="preserve">T115UC110078   </t>
  </si>
  <si>
    <t>躍升計畫提升教學品質-教學教室用投影機※品名:投影機</t>
  </si>
  <si>
    <t>1150505</t>
  </si>
  <si>
    <t>T201604</t>
  </si>
  <si>
    <t xml:space="preserve">T115UQ040039   </t>
  </si>
  <si>
    <t>執行計畫:用於研究過程的實驗樣本能妥善被保存的直立式冷凍櫃，確保樣品、原料或實驗研究相關物品以達到維持品質與實驗比對的準確性。※品名:直立式冷凍櫃</t>
  </si>
  <si>
    <t>王琳麒</t>
  </si>
  <si>
    <t>T201619</t>
  </si>
  <si>
    <t xml:space="preserve">T115UE720054   </t>
  </si>
  <si>
    <t>工管系-黃瑞展老師研究用平板電腦※品名:ipad air平板電腦</t>
  </si>
  <si>
    <t>黃瑞展</t>
  </si>
  <si>
    <t>T201623</t>
  </si>
  <si>
    <t xml:space="preserve">T115UM740013- 1   </t>
  </si>
  <si>
    <t>執行躍升計畫, 提升教學量能之授課空間-師長研究室冷氣更新※品名:一對一分離式冷氣機</t>
  </si>
  <si>
    <t>1150506</t>
  </si>
  <si>
    <t>T201655</t>
  </si>
  <si>
    <t xml:space="preserve">T115UR010043- 1   </t>
  </si>
  <si>
    <t>航技系楠梓校區辦公室辦公用※品名:一對一分離式冷氣機</t>
  </si>
  <si>
    <t>T201679</t>
  </si>
  <si>
    <t xml:space="preserve">T115UO040044   </t>
  </si>
  <si>
    <t>水域活動陸域教學及實作平台用電動吊車(含運費及安裝)※品名:電動吊車(含運費及安裝)</t>
  </si>
  <si>
    <t>T201681</t>
  </si>
  <si>
    <t xml:space="preserve">T115UO010074   </t>
  </si>
  <si>
    <t>教學環境改善項目-2203教室連線投影及白板槽施作※品名:電視機(含分配器+施工費)、白板槽施作</t>
  </si>
  <si>
    <t>T201692</t>
  </si>
  <si>
    <t xml:space="preserve">T115UO010071   </t>
  </si>
  <si>
    <t>教學用專家決策分析軟體一年版※品名:expert choice</t>
  </si>
  <si>
    <t>T201693</t>
  </si>
  <si>
    <t xml:space="preserve">T115UN040047   </t>
  </si>
  <si>
    <t>宏仁老師 眼動實驗室※品名:HTC 眼動偵測VR- HTC VR PRO EYE</t>
  </si>
  <si>
    <t>T201694</t>
  </si>
  <si>
    <t xml:space="preserve">T115UN040016   </t>
  </si>
  <si>
    <t>歐宗殷老師 ※品名:筆記型電腦、D-LINK AX3000雙頻無線路由器</t>
  </si>
  <si>
    <t>T201695</t>
  </si>
  <si>
    <t xml:space="preserve">T115US190043   </t>
  </si>
  <si>
    <t>115年度漁管系執行改質躍升改善空間之除濕機※品名:RD260HC除濕機、隱藏型除濕機(含安裝)</t>
  </si>
  <si>
    <t>T400496</t>
  </si>
  <si>
    <t xml:space="preserve">T115UP010018- 1   </t>
  </si>
  <si>
    <t>金融系D202教室教學用DLP固態光源投影機※品名:DLP固態光源投影機</t>
  </si>
  <si>
    <t>金融系</t>
  </si>
  <si>
    <t>1150507</t>
  </si>
  <si>
    <t>T201741</t>
  </si>
  <si>
    <t xml:space="preserve">T115UT030037   </t>
  </si>
  <si>
    <t>財稅系購買教學設備工作站主機含螢幕※品名:工作站主機含螢幕ASULS Pro E500 G9</t>
  </si>
  <si>
    <t>財政稅務系</t>
  </si>
  <si>
    <t>1150508</t>
  </si>
  <si>
    <t>T201777</t>
  </si>
  <si>
    <t xml:space="preserve">T115UT000075   </t>
  </si>
  <si>
    <t>智慧商務系 普通教室MA216教學專用投影機故障汰換更新採購支出※品名:雷射投影機ViewSonic LS740HD</t>
  </si>
  <si>
    <t>智慧商務系</t>
  </si>
  <si>
    <t xml:space="preserve">T115US020089   </t>
  </si>
  <si>
    <t>水食系教學設備費※品名:熱重/示差同步分析儀(TG-DSC)</t>
  </si>
  <si>
    <t>水產食品科學系</t>
  </si>
  <si>
    <t>1150511</t>
  </si>
  <si>
    <t>T201786</t>
  </si>
  <si>
    <t xml:space="preserve">T115UO010065   </t>
  </si>
  <si>
    <t>研究環境改善-碩專研究室整修※品名:桌椅組、舊有設備拆除費用、教學電腦、整合施工費用</t>
  </si>
  <si>
    <t>T201788</t>
  </si>
  <si>
    <t xml:space="preserve">T115UE720036   </t>
  </si>
  <si>
    <t>工管系-黃瑞展老師研究用ASUS筆記型電腦※品名:ASUS V3607VJ筆記型電腦</t>
  </si>
  <si>
    <t>T201813</t>
  </si>
  <si>
    <t xml:space="preserve">T115UQ040012- 1   </t>
  </si>
  <si>
    <t>執行計畫-成果發表及會議討論室控溫使用※品名:冷氣機</t>
  </si>
  <si>
    <t>海洋環境工程系</t>
  </si>
  <si>
    <t>1150512</t>
  </si>
  <si>
    <t>T201841</t>
  </si>
  <si>
    <t xml:space="preserve">T115UP030034   </t>
  </si>
  <si>
    <t>執行計畫用-平板電腦※品名:平板電腦</t>
  </si>
  <si>
    <t>財務管理系</t>
  </si>
  <si>
    <t>T201860</t>
  </si>
  <si>
    <t xml:space="preserve">T115UD020053   </t>
  </si>
  <si>
    <t>執行躍升計畫購置AI基礎技教學設備※品名:運算工作站</t>
  </si>
  <si>
    <t>陳銘志</t>
  </si>
  <si>
    <t>T201863</t>
  </si>
  <si>
    <t xml:space="preserve">T115UE290162   </t>
  </si>
  <si>
    <t>張財榮老師申請-資1201※品名:GPU運算伺服器</t>
  </si>
  <si>
    <t>T201871</t>
  </si>
  <si>
    <t xml:space="preserve">T115UE270090   </t>
  </si>
  <si>
    <t>本案係為執行系所改質躍升計畫四大關鍵任務之研究面向所需之設備添購※品名:平板電腦 Apple ipad Pro(併T115UE270091)</t>
  </si>
  <si>
    <t>李俊宏</t>
  </si>
  <si>
    <t>1150513</t>
  </si>
  <si>
    <t>T201895</t>
  </si>
  <si>
    <t xml:space="preserve">T115UR010046- 1   </t>
  </si>
  <si>
    <t>航技系教師研究中心辦公用※品名:一對一分離式冷氣機</t>
  </si>
  <si>
    <t>T201896</t>
  </si>
  <si>
    <t xml:space="preserve">T115UO040030   </t>
  </si>
  <si>
    <t>智慧化海洋休閒教學及研究用筆記型電腦※品名:筆記型電腦</t>
  </si>
  <si>
    <t>1150514</t>
  </si>
  <si>
    <t>T201936</t>
  </si>
  <si>
    <t xml:space="preserve">T115UR020094   </t>
  </si>
  <si>
    <t>輪機系_執行躍升計畫採購用電源供應器設備(提升學生電機與控制基礎)※品名:電源供應器</t>
  </si>
  <si>
    <t xml:space="preserve">T115UE270151   </t>
  </si>
  <si>
    <t>(共契)電506教室用※品名:電腦主機</t>
  </si>
  <si>
    <t>電機系</t>
  </si>
  <si>
    <t>1150515</t>
  </si>
  <si>
    <t xml:space="preserve">T115UF080052   </t>
  </si>
  <si>
    <t>工設系工廠所需真空成型機※品名:真空成型機</t>
  </si>
  <si>
    <t>1150518</t>
  </si>
  <si>
    <t>T201997</t>
  </si>
  <si>
    <t xml:space="preserve">T115UO030046   </t>
  </si>
  <si>
    <t>系上購入教室設備:
EPSON EB-FH54單槍投影機、ZERO ZBE-V100 100吋電動銀幕、HD T-1500PRO 總電源順序控制器(三項皆含安裝費)※品名:EPSON EB-FH54單槍投影機、ZERO ZBE-V100 100吋電動銀幕、HD T-1500PRO 總電源順序控制器</t>
  </si>
  <si>
    <t>T202009</t>
  </si>
  <si>
    <t xml:space="preserve">T115UE720056   </t>
  </si>
  <si>
    <t>工管系-黃瑞展老師研究用室內空氣品質監測系統※品名:室內空氣品質監測系統</t>
  </si>
  <si>
    <t>1150519</t>
  </si>
  <si>
    <t>T202042</t>
  </si>
  <si>
    <t xml:space="preserve">T115UE720049   </t>
  </si>
  <si>
    <t>烘箱:拉伸試驗之熱處理使用※品名:27L經濟型烘箱</t>
  </si>
  <si>
    <t>薛明憲</t>
  </si>
  <si>
    <t>T202048</t>
  </si>
  <si>
    <t xml:space="preserve">T115UQ040062   </t>
  </si>
  <si>
    <t>執行計畫-計畫成果展示使用※品名:觸控廣告機</t>
  </si>
  <si>
    <t>1150520</t>
  </si>
  <si>
    <t>T202056</t>
  </si>
  <si>
    <t xml:space="preserve">T115UR010012- 1   </t>
  </si>
  <si>
    <t>航技系採購五樓研究中心辦公桌會議桌及屏風※品名:屏風、會議桌</t>
  </si>
  <si>
    <t>1150525</t>
  </si>
  <si>
    <t>T202127</t>
  </si>
  <si>
    <t xml:space="preserve">T115UE150061   </t>
  </si>
  <si>
    <t>GPU電腦主機(研究用)※品名:GPU電腦主機(微星)</t>
  </si>
  <si>
    <t>陳俊豪</t>
  </si>
  <si>
    <t>T202158</t>
  </si>
  <si>
    <t xml:space="preserve">T115UP020043   </t>
  </si>
  <si>
    <t>教學用※品名:老師教學功能桌(含設備櫃)</t>
  </si>
  <si>
    <t>T202159</t>
  </si>
  <si>
    <t xml:space="preserve">T115UM740014- 1   </t>
  </si>
  <si>
    <t>執行躍升計畫, 提升教學量能之授課空間-教學空間MB522冷氣更新※品名:一對一分離式冷氣機</t>
  </si>
  <si>
    <t>T202165</t>
  </si>
  <si>
    <t xml:space="preserve">T115UM760077   </t>
  </si>
  <si>
    <t>付觀光系專業教室烘焙教室教學所需之四門風冷全藏冰箱。※品名:四門風冷全藏冰箱</t>
  </si>
  <si>
    <t>T202177</t>
  </si>
  <si>
    <t xml:space="preserve">T115UN030039   </t>
  </si>
  <si>
    <t>執行系所躍升計畫建置科技法律研究所閱覽討論室採購之沙發及討論桌※品名:雙人沙發、三人沙發、咖啡桌</t>
  </si>
  <si>
    <t>科技法律研究所[第一]</t>
  </si>
  <si>
    <t>T400613</t>
  </si>
  <si>
    <t xml:space="preserve">T115UF090016- 1   </t>
  </si>
  <si>
    <t>(共契)機電工程系師生教學用電腦主機※品名:電腦主機</t>
  </si>
  <si>
    <t>機電工程系</t>
  </si>
  <si>
    <t>T400620</t>
  </si>
  <si>
    <t xml:space="preserve">T115UR010049- 1   </t>
  </si>
  <si>
    <t>航技系研究室教學用※品名:A4規格多功能彩色印表機</t>
  </si>
  <si>
    <t>1150526</t>
  </si>
  <si>
    <t>T202238</t>
  </si>
  <si>
    <t xml:space="preserve">T115UE720046   </t>
  </si>
  <si>
    <t>金相顯微鏡攝影機及配件:力學試驗之試片微觀結構觀察※品名:金相顯微鏡攝影機及配件</t>
  </si>
  <si>
    <t>T202240</t>
  </si>
  <si>
    <t xml:space="preserve">T115UE720065   </t>
  </si>
  <si>
    <t>行車紀錄器:研究生紀錄車輛行駛過程之GPS路徑、路況AI分析與車輛碳排放量之關係(國科會計畫NSTC 114-2637-E-992-007"混合燃料與燃料預處理於火花式引擎燃燒搭配非熱電漿廢氣電離之動力與排放汙染分析"之後續研究)※品名:行車紀錄器</t>
  </si>
  <si>
    <t xml:space="preserve">T115UE250101   </t>
  </si>
  <si>
    <t>(7/2決標)溫度控制模組及罩子※品名:溫度控制模組及罩子</t>
  </si>
  <si>
    <t>陳建羽</t>
  </si>
  <si>
    <t>1150601</t>
  </si>
  <si>
    <t>T202320</t>
  </si>
  <si>
    <t xml:space="preserve">T115UE720062   </t>
  </si>
  <si>
    <t>辦公室用之抗敏清淨機※品名:抗敏清淨機(併T202320、T202321)</t>
  </si>
  <si>
    <t>許桓瑜</t>
  </si>
  <si>
    <t>T202332</t>
  </si>
  <si>
    <t xml:space="preserve">T115UP030009- 1   </t>
  </si>
  <si>
    <t>購置計畫用伺服器※品名:伺服器、機櫃</t>
  </si>
  <si>
    <t>T202342</t>
  </si>
  <si>
    <t xml:space="preserve">T115UE150073   </t>
  </si>
  <si>
    <t>購買執行計算程式用之電腦。※品名:商用工作站(併T202341、T202342)</t>
  </si>
  <si>
    <t>鐘文鈺</t>
  </si>
  <si>
    <t>T202349</t>
  </si>
  <si>
    <t xml:space="preserve">T115UE150086   </t>
  </si>
  <si>
    <t>用於研究實驗的工作站※品名:商用工作站(併T202348、T202349)</t>
  </si>
  <si>
    <t>王志強</t>
  </si>
  <si>
    <t>T202364</t>
  </si>
  <si>
    <t xml:space="preserve">T115UP030062   </t>
  </si>
  <si>
    <t>執行計畫用-筆記型電腦、液晶顯示器※品名:筆記型電腦、液晶顯示器</t>
  </si>
  <si>
    <t>T202365</t>
  </si>
  <si>
    <t xml:space="preserve">T115UH530056   </t>
  </si>
  <si>
    <t>報支躍升計畫教學用電腦一台※品名:電腦主機(不含螢幕)</t>
  </si>
  <si>
    <t>人資系</t>
  </si>
  <si>
    <t>T300810</t>
  </si>
  <si>
    <t>510301-271315工讀金</t>
  </si>
  <si>
    <t xml:space="preserve">T115UC110094   </t>
  </si>
  <si>
    <t>協助躍升計畫執行-蕭伊茹</t>
  </si>
  <si>
    <t>1150602</t>
  </si>
  <si>
    <t>T202410</t>
  </si>
  <si>
    <t xml:space="preserve">T115UE720047   </t>
  </si>
  <si>
    <t>物鏡組:力學實驗之顯微鏡微觀結構放大暨濾波使用※品名:物鏡組</t>
  </si>
  <si>
    <t>T202411</t>
  </si>
  <si>
    <t xml:space="preserve">T115UE720048   </t>
  </si>
  <si>
    <t>三眼觀察筒及載物台:觀察金相微結構之鏡頭與置物平台※品名:三眼觀察筒及載物台</t>
  </si>
  <si>
    <t>T202413</t>
  </si>
  <si>
    <t xml:space="preserve">T115UE270137   </t>
  </si>
  <si>
    <t>基於研究需求，購買機器人動力模組※品名:機器人動力模組</t>
  </si>
  <si>
    <t>T400663</t>
  </si>
  <si>
    <t xml:space="preserve">T115UP030010- 1   </t>
  </si>
  <si>
    <t>購置不斷電系統、電腦切換器等供伺服器用※品名:不斷電系統、電腦切換器</t>
  </si>
  <si>
    <t>1150603</t>
  </si>
  <si>
    <t>T202434</t>
  </si>
  <si>
    <t xml:space="preserve">T115UE150074   </t>
  </si>
  <si>
    <t>購買可用於深度學習模型訓練之AI電腦。※品名:桌上型AI運算伺服器</t>
  </si>
  <si>
    <t>T202437</t>
  </si>
  <si>
    <t xml:space="preserve">T115UE290202   </t>
  </si>
  <si>
    <t>黃永成技士申請-資809※品名:光纖負載平衡交換器</t>
  </si>
  <si>
    <t>T202439</t>
  </si>
  <si>
    <t xml:space="preserve">T115UD020073   </t>
  </si>
  <si>
    <t>上機與研究用※品名:個人MINI AI電腦</t>
  </si>
  <si>
    <t>陳俊吉</t>
  </si>
  <si>
    <t>T202445</t>
  </si>
  <si>
    <t xml:space="preserve">T115UQ040078   </t>
  </si>
  <si>
    <t>實驗室設備購買-監視器設備新增鏡頭※品名:監控設備新增(鏡頭)</t>
  </si>
  <si>
    <t>許哲榮</t>
  </si>
  <si>
    <t>T202455</t>
  </si>
  <si>
    <t xml:space="preserve">T115UH530021- 1   </t>
  </si>
  <si>
    <t>報支躍升計畫教學研究空間冷氣5台※品名:冷氣</t>
  </si>
  <si>
    <t>T202468</t>
  </si>
  <si>
    <t xml:space="preserve">T115UF080062   </t>
  </si>
  <si>
    <t>工設系工廠新增噴漆乾式集塵設備※品名:噴漆乾式集塵設備</t>
  </si>
  <si>
    <t>T202477</t>
  </si>
  <si>
    <t xml:space="preserve">T115UF080057   </t>
  </si>
  <si>
    <t>工設系E103教室所需教學擴大機系統※品名:教學擴大機系統</t>
  </si>
  <si>
    <t>T400666</t>
  </si>
  <si>
    <t xml:space="preserve">T115UD020046- 1   </t>
  </si>
  <si>
    <t>執行躍升計畫研究用※品名:一般型電腦</t>
  </si>
  <si>
    <t>1150604</t>
  </si>
  <si>
    <t>T202487</t>
  </si>
  <si>
    <t xml:space="preserve">T115UR020113   </t>
  </si>
  <si>
    <t>輪機系_執行躍升計畫採購設備※品名:電腦主機</t>
  </si>
  <si>
    <t>T202494</t>
  </si>
  <si>
    <t xml:space="preserve">T115UQ040070   </t>
  </si>
  <si>
    <t>執行計畫:大信樓3樓7310室OA辦公系統，規劃給研究生(新進博士生)進行研究、討論與休憩。※品名:OA辦公系統</t>
  </si>
  <si>
    <t>1150611</t>
  </si>
  <si>
    <t>T202592</t>
  </si>
  <si>
    <t xml:space="preserve">T115UE150060   </t>
  </si>
  <si>
    <t>電腦主機(研究用)※品名:電腦主機</t>
  </si>
  <si>
    <t xml:space="preserve">T115UB000261   </t>
  </si>
  <si>
    <t>專題教學實驗用設備※品名:板材雷射切割機</t>
  </si>
  <si>
    <t>1150612</t>
  </si>
  <si>
    <t>T202630</t>
  </si>
  <si>
    <t xml:space="preserve">T115UE310065   </t>
  </si>
  <si>
    <t>研究使用※品名:商用工作站</t>
  </si>
  <si>
    <t>林宛儒</t>
  </si>
  <si>
    <t>T202631</t>
  </si>
  <si>
    <t>180101-1001遞延費用 -本年度預算</t>
  </si>
  <si>
    <t xml:space="preserve">T115UO030061   </t>
  </si>
  <si>
    <t>教室空間整理，整理天花板及更換照明設備。※品名:輕鋼架花板、燈光照明設備</t>
  </si>
  <si>
    <t>T202637</t>
  </si>
  <si>
    <t xml:space="preserve">T115UR020129   </t>
  </si>
  <si>
    <t>輪機系_執行躍升計畫採購教學顯示器※品名:BenQ E43-745顯示器</t>
  </si>
  <si>
    <t>1150615</t>
  </si>
  <si>
    <t>T202661</t>
  </si>
  <si>
    <t xml:space="preserve">T115UD020068   </t>
  </si>
  <si>
    <t>執行躍升計畫用:鑿破機(研究蒐集鑿破機震動數據、溫度及使用時數，AI感測作業數據傳輸及辨識預測故障分析)※品名:鑿破機</t>
  </si>
  <si>
    <t>張簡嘉壬</t>
  </si>
  <si>
    <t>T202666</t>
  </si>
  <si>
    <t xml:space="preserve">T115UF080067   </t>
  </si>
  <si>
    <t>工設系電腦教室新增電子伺服式穩壓器※品名:電子伺服式穩壓器</t>
  </si>
  <si>
    <t>T202667</t>
  </si>
  <si>
    <t xml:space="preserve">T115UO010124   </t>
  </si>
  <si>
    <t>教室環境改善-教室整修※品名:教學電腦、舊有設備拆除費用、安裝整合施工費用、鋼製設備櫃</t>
  </si>
  <si>
    <t>T202683</t>
  </si>
  <si>
    <t xml:space="preserve">T115UE270129   </t>
  </si>
  <si>
    <t>計畫用GPU加速卡-本案係為執行系所改質躍升計畫四大關鍵任務之 研究 面向所需之設備※品名:GPU加速卡 NVIDIA Geforce RTX5090
(併B115008264、T115UE270129共同分攤經費)</t>
  </si>
  <si>
    <t>梁廷宇</t>
  </si>
  <si>
    <t>支出收回</t>
  </si>
  <si>
    <t>T400698</t>
  </si>
  <si>
    <t>依已核銷轉帳申請書辦理轉帳-115TSD00-8轉至115E9010C10(T400698.E400171併案)
電腦主機(含顯示器、還原軟體)-C220教學設備更新，提升學生學習效能與改善教學品質※品名:電腦主機(含顯示器、還原軟體)-併T200916.T200917</t>
  </si>
  <si>
    <t>T400699</t>
  </si>
  <si>
    <t>依已核銷轉帳申請書辦理轉帳-115TSD00-8轉至114D3-20017.115D3-20003.DUN07-1(T400699.D400223併案)
電腦主機(含顯示器、還原軟體)-C220教學設備更新，提升學生學習效能與改善教學品質※品名:電腦主機(含顯示器、還原軟體)-併T200916.T200917</t>
  </si>
  <si>
    <t>1150616</t>
  </si>
  <si>
    <t>T202734</t>
  </si>
  <si>
    <t xml:space="preserve">T115UC110040- 1   </t>
  </si>
  <si>
    <t>執行躍升計畫-改善學生教學設備-主機含螢幕※品名:主機含螢幕</t>
  </si>
  <si>
    <t>T202752</t>
  </si>
  <si>
    <t xml:space="preserve">T115UN030042   </t>
  </si>
  <si>
    <t>執行系所躍升計畫採購之藍光播放器※品名:藍光播放器</t>
  </si>
  <si>
    <t xml:space="preserve">T115UE310091   </t>
  </si>
  <si>
    <t xml:space="preserve">研究使用※品名:GPU運算繪圖卡
併E115009863
</t>
  </si>
  <si>
    <t>1150617</t>
  </si>
  <si>
    <t>T202770</t>
  </si>
  <si>
    <t xml:space="preserve">T115UT030051   </t>
  </si>
  <si>
    <t>財稅系更換MA206教室雷射投影機※品名:雷射投影機</t>
  </si>
  <si>
    <t>1150618</t>
  </si>
  <si>
    <t>T202785</t>
  </si>
  <si>
    <t xml:space="preserve">T115UM760087   </t>
  </si>
  <si>
    <t>付觀光系燕巢直播教室MB208所需之錄音設備費用。※品名:Pocast錄音設備</t>
  </si>
  <si>
    <t>T202797</t>
  </si>
  <si>
    <t xml:space="preserve">T115UE270053- 2   </t>
  </si>
  <si>
    <t>電401教室電源供應器更新，係為本系執行系所改質躍升計畫四大關鍵任務之教學面向之設備更新。※品名:雙通道電源供應器</t>
  </si>
  <si>
    <t xml:space="preserve">T115UC450087   </t>
  </si>
  <si>
    <t>建購AI硬體教研環境※品名:電腦主機</t>
  </si>
  <si>
    <t>金融資訊系</t>
  </si>
  <si>
    <t>1150622</t>
  </si>
  <si>
    <t xml:space="preserve">T115UE290284   </t>
  </si>
  <si>
    <t>李新木技士申請教學研究設備-資704※品名:屏風桌板組(980cm*140cm)、屏風桌板組(910cm*140cm)、工作椅、主機架</t>
  </si>
  <si>
    <t xml:space="preserve">T115UE150133   </t>
  </si>
  <si>
    <t>供實驗室執行產學合作及國科會等研究計畫使用，提供運行圖形類神經網路學習模型所需之高效能設備。※品名:微型多軸機械手臂研究套件</t>
  </si>
  <si>
    <t>陳洳瑾</t>
  </si>
  <si>
    <t xml:space="preserve">T115UE150135   </t>
  </si>
  <si>
    <t>受款人:陳洳瑾 | 為執行實驗研究所需高階運算平台 | ※品名:美光CrucialT5001T、威剛LANCERBLADERGBD5-600032G2、振華LeadexIII1000W、AMD[12核]Ryzen9 9900X、Antec安鈦克FLUXPRO黑玻璃 透測機殼、全漢MP7BLACK、微星RTX508016GGAMINGTRIO OC、微星MAGB850TOMAHAWKMAXWI</t>
  </si>
  <si>
    <t>1150623</t>
  </si>
  <si>
    <t>T202873</t>
  </si>
  <si>
    <t xml:space="preserve">T115UE720121   </t>
  </si>
  <si>
    <t>工管系-黃瑞展老師研究用空氣品質監測分析儀※品名:空氣品質監測分析儀</t>
  </si>
  <si>
    <t>T202875</t>
  </si>
  <si>
    <t xml:space="preserve">T115UE720120   </t>
  </si>
  <si>
    <t>工管系-黃瑞展老師研究用二氧化碳氣體分析儀※品名:二氧化碳氣體分析儀</t>
  </si>
  <si>
    <t>T202920</t>
  </si>
  <si>
    <t xml:space="preserve">T115UO030080   </t>
  </si>
  <si>
    <t>系上教室設備老舊，更換教學設備。※品名:雙頻無線接收機組含2支手握式充電麥克風及座充、混音擴大機、高效率喇叭、木製數位講桌</t>
  </si>
  <si>
    <t>T202926</t>
  </si>
  <si>
    <t xml:space="preserve">T115UO010146   </t>
  </si>
  <si>
    <t>教室設備汰換(2210投影機)※品名:雷射投影機、安裝施工費用</t>
  </si>
  <si>
    <t>T202947</t>
  </si>
  <si>
    <t xml:space="preserve">T115UR020087   </t>
  </si>
  <si>
    <t>輪機系_執行躍升計畫採購設備(數位類比設備讓學生單獨實際訓練並可以編寫程式)※品名:數位-類比訊號系統(ETS-7000B)</t>
  </si>
  <si>
    <t>T202948</t>
  </si>
  <si>
    <t xml:space="preserve">T115UP020056   </t>
  </si>
  <si>
    <t>提升教學品質※品名:環控觸控液晶面板(含控制系統與編程)、多功能無線網路投影組</t>
  </si>
  <si>
    <t>T400753</t>
  </si>
  <si>
    <t xml:space="preserve">T115UQ040071- 1   </t>
  </si>
  <si>
    <t>執行研究計畫-研究成果展示發表使用※品名:投影機</t>
  </si>
  <si>
    <t>1150624</t>
  </si>
  <si>
    <t>T202995</t>
  </si>
  <si>
    <t xml:space="preserve">T115UF010008- 2   </t>
  </si>
  <si>
    <t>教學實驗課程使用(工程測量實習)※品名:衛星定位儀量測系統採購</t>
  </si>
  <si>
    <t>營建工程系[第一]</t>
  </si>
  <si>
    <t>T203015</t>
  </si>
  <si>
    <t xml:space="preserve">T115UE290200   </t>
  </si>
  <si>
    <t>王鴻猷老師申請-資504※品名:雷射投影機</t>
  </si>
  <si>
    <t>1150630</t>
  </si>
  <si>
    <t xml:space="preserve">T115UD030181   </t>
  </si>
  <si>
    <t xml:space="preserve">電通系AI伺服器運算管理建置※品名:AI伺服器
(併D115006619)
</t>
  </si>
  <si>
    <t>電腦與通訊工程系[第</t>
  </si>
  <si>
    <t xml:space="preserve">T115UE270249   </t>
  </si>
  <si>
    <t>test※品名:test</t>
  </si>
  <si>
    <t>蘇俊連</t>
  </si>
  <si>
    <t xml:space="preserve">T115UE270250   </t>
  </si>
  <si>
    <t>為執行研究計畫所需設備※品名:電腦主機</t>
  </si>
  <si>
    <t>Elsisi</t>
  </si>
  <si>
    <t>1150701</t>
  </si>
  <si>
    <t>T203056</t>
  </si>
  <si>
    <t>510301-3206食品</t>
  </si>
  <si>
    <t xml:space="preserve">T115UD020111   </t>
  </si>
  <si>
    <t>產業諮詢委員會便當-5/28 12:00-13:30 20人※品名:便當</t>
  </si>
  <si>
    <t>T203066</t>
  </si>
  <si>
    <t xml:space="preserve">T115UE270135   </t>
  </si>
  <si>
    <t>本案係為執行系所改質躍升計畫四大關鍵任務之研究面向所需之設備※品名:運算電腦主機</t>
  </si>
  <si>
    <t>李明展</t>
  </si>
  <si>
    <t xml:space="preserve">T115UN040129   </t>
  </si>
  <si>
    <t>行銷系躍升計劃 - B511多功能數位直播暨智慧隔間※品名:B511多功能數位直播暨智慧隔間</t>
  </si>
  <si>
    <t>1150706</t>
  </si>
  <si>
    <t>T203160</t>
  </si>
  <si>
    <t xml:space="preserve">T115UQ040090   </t>
  </si>
  <si>
    <t>實驗室設備採購-顯微鏡※品名:顯微鏡</t>
  </si>
  <si>
    <t>T203174</t>
  </si>
  <si>
    <t xml:space="preserve">T115UE270190   </t>
  </si>
  <si>
    <t>本案係為執行系所改質躍升計畫四大關鍵任務之研究/教學面向所需之設備※品名:Apple iPad Pro M5 13吋 256G WiFi</t>
  </si>
  <si>
    <t>林珮瑜</t>
  </si>
  <si>
    <t>T203207</t>
  </si>
  <si>
    <t xml:space="preserve">T115UP010120   </t>
  </si>
  <si>
    <t>金融系王友珊老師教學研究用電子紙閱讀器※品名:電子紙閱讀器</t>
  </si>
  <si>
    <t>T203209</t>
  </si>
  <si>
    <t xml:space="preserve">T115UH530078   </t>
  </si>
  <si>
    <t>報支躍升計畫_教學用投影機及擴音設備※品名:雷射投影機、高功率綜合擴大機</t>
  </si>
  <si>
    <t>T203222</t>
  </si>
  <si>
    <t xml:space="preserve">T115UD020130   </t>
  </si>
  <si>
    <t>執行躍升計畫研究所需※品名:筆記型電腦</t>
  </si>
  <si>
    <t>T203223</t>
  </si>
  <si>
    <t xml:space="preserve">T115UT030066   </t>
  </si>
  <si>
    <t>財稅系汪青萍老師購買教學研究用筆電設備※品名:AI筆電 ASUS UX56065A</t>
  </si>
  <si>
    <t xml:space="preserve">T115UT020003   </t>
  </si>
  <si>
    <t>張樹木</t>
  </si>
  <si>
    <t>1150707</t>
  </si>
  <si>
    <t xml:space="preserve">T115UP010145   </t>
  </si>
  <si>
    <t>金融系D202電腦教室電腦汰換※品名:電腦主機(含螢幕)</t>
  </si>
  <si>
    <t>1150708</t>
  </si>
  <si>
    <t xml:space="preserve">T115UE270267   </t>
  </si>
  <si>
    <t>**本案係為執行系所改質躍升計畫四大關鍵任務之研究面向所需之設備。**本次採購低溫冷藏櫃，主要用於保存研究實驗所需之溫度敏感材料、電子元件、膠材及相關耗材，提供穩定之低溫儲存環境，以維持材料品質及使用效能，支援計畫研究與實驗需求。※品名:低溫冷藏櫃</t>
  </si>
  <si>
    <t>蔡奇謚</t>
  </si>
  <si>
    <t>1150713</t>
  </si>
  <si>
    <t xml:space="preserve">T115UN010137   </t>
  </si>
  <si>
    <t>【躍升計畫】廣播教學系統-增進教學品質使用(C220)※品名:廣播教學系統</t>
  </si>
  <si>
    <t>1150714</t>
  </si>
  <si>
    <t xml:space="preserve">T115US040080   </t>
  </si>
  <si>
    <t>海生系_系上共用實驗設備※品名:超低溫冷凍櫃</t>
  </si>
  <si>
    <t>海洋生物技術系</t>
  </si>
  <si>
    <t xml:space="preserve">T115UM760115   </t>
  </si>
  <si>
    <t>(共契)付觀光系配合躍升計畫燕巢校區MB210電腦教室所需之電腦主機含螢幕費用。(共計25台)※品名:個人主機(含21吋螢幕)</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</si>
  <si>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</si>
  <si>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</si>
  <si>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 xml:space="preserve">T115UQ030118   </t>
  </si>
  <si>
    <t>教學實驗用-林秋欽老師※品名:光纖通訊教學設備(如估價單)</t>
  </si>
  <si>
    <t>電訊工程系</t>
  </si>
  <si>
    <t>1150715</t>
  </si>
  <si>
    <t>T203333</t>
  </si>
  <si>
    <t xml:space="preserve">T115UO030092   </t>
  </si>
  <si>
    <t>系上教室更換老舊桌椅，提升教學品質。※品名:六人討論桌椅組</t>
  </si>
  <si>
    <t>T203347</t>
  </si>
  <si>
    <t xml:space="preserve">T115UT000090- 1   </t>
  </si>
  <si>
    <t>智慧商務系 MA309B2實驗室 冷氣故障汰舊換新※品名:一對一分離式冷氣機</t>
  </si>
  <si>
    <t>T203383</t>
  </si>
  <si>
    <t xml:space="preserve">T115UO040104   </t>
  </si>
  <si>
    <t>智慧化海洋休閒教學及研究設備購置-水下無人機ROV※品名:水下無人機ROV</t>
  </si>
  <si>
    <t>T203399</t>
  </si>
  <si>
    <t xml:space="preserve">T115UT030067   </t>
  </si>
  <si>
    <t>財稅系彭琪祿老師購買教學用AI筆記型電※品名:AI筆記型電腦</t>
  </si>
  <si>
    <t>T203460</t>
  </si>
  <si>
    <t xml:space="preserve">T115UE150113   </t>
  </si>
  <si>
    <t>MacBook Neo (筆記型電腦)用於提升教學品質以及研究質量※品名:MacBook Neo (筆記型電腦)用於提升教學品質以及研究質量</t>
  </si>
  <si>
    <t>林聯發</t>
  </si>
  <si>
    <t>T203462</t>
  </si>
  <si>
    <t xml:space="preserve">T115UQ010065   </t>
  </si>
  <si>
    <t>教學與研究用伺服器機櫃、固態硬碟(伺服器財編:3140104-07-5000500)※品名:機櫃、固態硬碟、應稅</t>
  </si>
  <si>
    <t>T203469</t>
  </si>
  <si>
    <t xml:space="preserve">T115UR010047- 1   </t>
  </si>
  <si>
    <t>航技系辦公用電腦及顯示器※品名:個人電腦、26.5吋彩色液晶顯示器</t>
  </si>
  <si>
    <t>1150717</t>
  </si>
  <si>
    <t>T203526</t>
  </si>
  <si>
    <t xml:space="preserve">T115UD020094   </t>
  </si>
  <si>
    <t>實驗室購入所需新設備※品名:AI運算工作站</t>
  </si>
  <si>
    <t>郭永超</t>
  </si>
  <si>
    <t>1150720</t>
  </si>
  <si>
    <t>T203540</t>
  </si>
  <si>
    <t xml:space="preserve">T115UF080101   </t>
  </si>
  <si>
    <t>工設系噴漆室新增實驗室擴音系統※品名:擴音系統</t>
  </si>
  <si>
    <t>T203545</t>
  </si>
  <si>
    <t xml:space="preserve">T115UF080107   </t>
  </si>
  <si>
    <t>工設系工廠新增線鋸機2組※品名:線鋸機</t>
  </si>
  <si>
    <t>T400854</t>
  </si>
  <si>
    <t xml:space="preserve">T115UO030048- 1   </t>
  </si>
  <si>
    <t>因教室冷氣設備老舊進行汰換，購入一對一分離式冷氣兩台(型號:HI-SL140/HO-SL140)，同時加購附加項銅管14M、控制線22M、電源線29M、室內機固定架2組、白鐵室外架2組、舊機拆除2組※品名:一對一分離式冷氣、銅管、控制線、電源線、室內機固定架、白鐵室外架、舊機拆除</t>
  </si>
  <si>
    <t>1150721</t>
  </si>
  <si>
    <t xml:space="preserve">T115UQ040110   </t>
  </si>
  <si>
    <t>海岸水與環境實驗室教學研究用-示波器※品名:示波器(含稅)</t>
  </si>
  <si>
    <t>1150722</t>
  </si>
  <si>
    <t>T203587</t>
  </si>
  <si>
    <t xml:space="preserve">T115UN010111   </t>
  </si>
  <si>
    <t>【躍升計畫】擴大機-提升教學品質使用(C117)※品名:擴大機</t>
  </si>
  <si>
    <t>T203588</t>
  </si>
  <si>
    <t xml:space="preserve">T115UN010110   </t>
  </si>
  <si>
    <t>【躍升計畫】NUC AI主機-提升研究品質使用(622)※品名:NUC AI主機(含顯示器)、NUC AI主機</t>
  </si>
  <si>
    <t>T203607</t>
  </si>
  <si>
    <t xml:space="preserve">T115UO030103   </t>
  </si>
  <si>
    <t>系上教室更換老舊設備，增進教學品質。※品名:琺瑯白板、防焰遮光捲簾(三窗)、防焰遮光捲簾(四窗)</t>
  </si>
  <si>
    <t>T203616</t>
  </si>
  <si>
    <t xml:space="preserve">T115UD020153   </t>
  </si>
  <si>
    <t>執行躍升計畫購置AI基礎技術教學設備※品名:無線慣性感測運算平台</t>
  </si>
  <si>
    <t>林俊宏</t>
  </si>
  <si>
    <t>T203625</t>
  </si>
  <si>
    <t xml:space="preserve">T115UM740032- 1   </t>
  </si>
  <si>
    <t>配合躍升計畫, 提升碩士生研究能量, 碩士班研究生研究室電腦主機老舊汰舊換新※品名:電腦主機</t>
  </si>
  <si>
    <t xml:space="preserve">T115UC110179   </t>
  </si>
  <si>
    <t>建工系辦影印機設置※品名:影印機</t>
  </si>
  <si>
    <t xml:space="preserve">T115UT000132   </t>
  </si>
  <si>
    <t>智商系燕巢校區專業電腦教室MA217B建置同步教學互動系統(含授權主控器設備)支援教學廣播優化功能※品名:ETS授權主控器設備(含55套ETS數位影音圖文同步教學互動系統)</t>
  </si>
  <si>
    <t>1150723</t>
  </si>
  <si>
    <t>T203649</t>
  </si>
  <si>
    <t xml:space="preserve">T115UE290180- 1   </t>
  </si>
  <si>
    <t>鄭瑞川老師申請-資606B※品名:冷氣機</t>
  </si>
  <si>
    <t>T203651</t>
  </si>
  <si>
    <t xml:space="preserve">T115UE270197   </t>
  </si>
  <si>
    <t>電腦主機 GIGABYTE Z890 -本案係為執行系所改質躍升計畫四大關鍵任務之 研究 面向所需之設備※品名:電腦主機 GIGABYTE Z890</t>
  </si>
  <si>
    <t>T203655</t>
  </si>
  <si>
    <t xml:space="preserve">T115UE270188   </t>
  </si>
  <si>
    <t>移動式機器人平台設備購買，本案係為執行系所改質躍升計畫四大關鍵任務之研究面向所需之設備。※品名:TurtleBot4標準版</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</si>
  <si>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</si>
  <si>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</si>
  <si>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</si>
  <si>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 xml:space="preserve">T115UQ040048- 2   </t>
  </si>
  <si>
    <t>執行計畫-螢冷光微量盤分析儀。※品名:螢冷光微量盤分析儀</t>
  </si>
  <si>
    <t xml:space="preserve">T115UE270307   </t>
  </si>
  <si>
    <t>辜德典老師實驗室用模擬燒錄器※品名:MPLAB ICD5模擬燒錄器</t>
  </si>
  <si>
    <t>辜德典</t>
  </si>
  <si>
    <t>1150724</t>
  </si>
  <si>
    <t>T203721</t>
  </si>
  <si>
    <t xml:space="preserve">T115UD010024   </t>
  </si>
  <si>
    <t>F228-1實驗室-運算卡※品名:運算卡</t>
  </si>
  <si>
    <t>楊浩青</t>
  </si>
  <si>
    <t>1150727</t>
  </si>
  <si>
    <t xml:space="preserve">T115UN030071   </t>
  </si>
  <si>
    <t>執行系所躍升計畫採購之多媒體展示器建置※品名:多媒體智慧展示器、固定式牆面維修</t>
  </si>
  <si>
    <t xml:space="preserve">T115UE150173   </t>
  </si>
  <si>
    <t>行政業務使用※品名:電腦主機</t>
  </si>
  <si>
    <t>張雲龍</t>
  </si>
  <si>
    <t>1150728</t>
  </si>
  <si>
    <t xml:space="preserve">T115UE270324   </t>
  </si>
  <si>
    <t>AI 無人機 軌跡整合運算※品名:GARMIN 軌跡記錄整合開發系統</t>
  </si>
  <si>
    <t>李孝貽</t>
  </si>
  <si>
    <t xml:space="preserve">T115UE270323   </t>
  </si>
  <si>
    <t>**本案係為執行系所改質躍升計畫四大關鍵任務之研究面向所需之設備。**本次採購GPU運算模組，主要用於人工智慧模型訓練、高效能運算、影像處理及資料分析等研究工作，提供研究所需之運算資源，以支援計畫相關研究與實驗開發需求。※品名:GPU運算卡</t>
  </si>
  <si>
    <t>1150801</t>
  </si>
  <si>
    <t>T203839</t>
  </si>
  <si>
    <t xml:space="preserve">T115UD020156   </t>
  </si>
  <si>
    <t>執行躍升計畫購置AI基礎技術教學設備※品名:高精度 AI 立體深度相機</t>
  </si>
  <si>
    <t>T203892</t>
  </si>
  <si>
    <t xml:space="preserve">T115UP040092   </t>
  </si>
  <si>
    <t>114.2(燕巢會資系)-(國科會大專生計畫)教學研究設備用※品名:筆記型電腦</t>
  </si>
  <si>
    <t>會計資訊系</t>
  </si>
  <si>
    <t>T203921</t>
  </si>
  <si>
    <t xml:space="preserve">T115UP010105   </t>
  </si>
  <si>
    <t>金融系王銘駿老師躍升計畫相關研究需要手機(因AI大數據投資機器人研究讓使用者透過通訊軟體進行投資諮詢與財富規劃，因此須一台智慧型手機當作測試場域與後段AI串連)※品名:手機</t>
  </si>
  <si>
    <t>T400944</t>
  </si>
  <si>
    <t xml:space="preserve">T115UO010137- 1   </t>
  </si>
  <si>
    <t>2304教室投影機設備(含附加項目及施工安裝費)※品名:投影機、換機安裝設定費、更換HDMI訊號線、新增HDMI分配器</t>
  </si>
  <si>
    <t>1150803</t>
  </si>
  <si>
    <t>T203958</t>
  </si>
  <si>
    <t xml:space="preserve">T115UP010138   </t>
  </si>
  <si>
    <t>金融系謝舒帆老師教學研究用筆記型電腦※品名:筆記型電腦</t>
  </si>
  <si>
    <t>T203960</t>
  </si>
  <si>
    <t xml:space="preserve">T115UP010135   </t>
  </si>
  <si>
    <t>金融系洪世偉老師教學研究用筆記型電腦※品名:筆記型電腦</t>
  </si>
  <si>
    <t>T203961</t>
  </si>
  <si>
    <t xml:space="preserve">T115UR020165   </t>
  </si>
  <si>
    <t>輪機系_執行躍升計畫採購設備主機※品名:電腦主機</t>
  </si>
  <si>
    <t>T203993</t>
  </si>
  <si>
    <t xml:space="preserve">T115UD020126   </t>
  </si>
  <si>
    <t>柔性電流探棒
用途: 實驗用※品名:柔性電流探棒</t>
  </si>
  <si>
    <t>沈志隆</t>
  </si>
  <si>
    <t xml:space="preserve">T115UN020109   </t>
  </si>
  <si>
    <t>NVIDIA GB10 Grace Blackwell桌上型AI超級電腦含虛擬化管理平台軟體※品名:桌上型AI超級電腦</t>
  </si>
  <si>
    <t>運籌管理系[第一]</t>
  </si>
  <si>
    <t>1150804</t>
  </si>
  <si>
    <t>T204013</t>
  </si>
  <si>
    <t xml:space="preserve">T115UO040109   </t>
  </si>
  <si>
    <t>提升教學環境用錄放影機※品名:錄放影機HS-HU6321(含4T監控企業硬碟及紅外線鏡頭及施工)</t>
  </si>
  <si>
    <t xml:space="preserve">T115UE150182   </t>
  </si>
  <si>
    <t>供執行研究計畫之資料分析、報告撰寫及線上會議使用。※品名:筆記型電腦</t>
  </si>
  <si>
    <t>林威成</t>
  </si>
  <si>
    <t>1150805</t>
  </si>
  <si>
    <t>T204024</t>
  </si>
  <si>
    <t xml:space="preserve">T115UD020086   </t>
  </si>
  <si>
    <t>執行躍升計畫實驗研究用※品名:筆記型電腦</t>
  </si>
  <si>
    <t>許耀文</t>
  </si>
  <si>
    <t>T204026</t>
  </si>
  <si>
    <t xml:space="preserve">T115UE150140   </t>
  </si>
  <si>
    <t>研究計畫使用※品名:開發APP應用程式之模擬器</t>
  </si>
  <si>
    <t>T204035</t>
  </si>
  <si>
    <t xml:space="preserve">T115UE270109   </t>
  </si>
  <si>
    <t>購買實驗室實驗所需之設備※品名:邏輯分析儀、電力功率計、電壓差動探棒</t>
  </si>
  <si>
    <t>莊錦俊</t>
  </si>
  <si>
    <t>1150806</t>
  </si>
  <si>
    <t xml:space="preserve">T115UR010054- 1   </t>
  </si>
  <si>
    <t xml:space="preserve">T115UF080052- 1   </t>
  </si>
  <si>
    <t>1150807</t>
  </si>
  <si>
    <t>T204121</t>
  </si>
  <si>
    <t xml:space="preserve">T115UO040113   </t>
  </si>
  <si>
    <t>智慧化海洋休閒教學及研究設備購置明緯NT-3200(48//110V)訂製戶外行動電源控制組(含線材及組裝工資)※品名:明緯NT-3200(48//110V)訂製戶外行動電源控制組</t>
  </si>
  <si>
    <t xml:space="preserve">T115UT030081   </t>
  </si>
  <si>
    <t>財稅系MA409B資訊專業教室教學用桌上型電腦28台※品名:個人電腦之主機</t>
  </si>
  <si>
    <t>1150810</t>
  </si>
  <si>
    <t>T204134</t>
  </si>
  <si>
    <t xml:space="preserve">T115UE310131   </t>
  </si>
  <si>
    <t>供給學生研究使用之電腦設備※品名:電腦主機 ASUS A31 PLUS</t>
  </si>
  <si>
    <t>常閎智</t>
  </si>
  <si>
    <t>T204140</t>
  </si>
  <si>
    <t xml:space="preserve">T115UE310113   </t>
  </si>
  <si>
    <t>研究使用※品名:自動導航智能移動車</t>
  </si>
  <si>
    <t xml:space="preserve">T115UQ030123   </t>
  </si>
  <si>
    <t>採購低軌衛星教學用儀器-林秋欽老師※品名:低軌衛星訊號收發設備</t>
  </si>
  <si>
    <t xml:space="preserve">T115UQ030124   </t>
  </si>
  <si>
    <t>採購教學用儀器-老師※品名:訊號檢測設備</t>
  </si>
  <si>
    <t xml:space="preserve">T115UT000138   </t>
  </si>
  <si>
    <t>智商系燕巢校區MA302會議室搭配視訊系統優化使用效能設備支出※品名:商用工作站(ASUS E500 G9)</t>
  </si>
  <si>
    <t>1150811</t>
  </si>
  <si>
    <t>T204181</t>
  </si>
  <si>
    <t xml:space="preserve">T115UD020140   </t>
  </si>
  <si>
    <t>執行躍升計畫用:電子設備平台(感測及傳輸設備數據用通訊模組)；因支出經費分攤，$15065核支於K115004721※品名:電子設備平台</t>
  </si>
  <si>
    <t>T204212</t>
  </si>
  <si>
    <t xml:space="preserve">T115UR010089- 1   </t>
  </si>
  <si>
    <t>航技系教學用電子海圖採購※品名:電子海圖</t>
  </si>
  <si>
    <t xml:space="preserve">T115UB000264- 1   </t>
  </si>
  <si>
    <t>電腦教室教學廣播系統※品名:MagnNex 電腦教室數位智能管理系統</t>
  </si>
  <si>
    <t xml:space="preserve">T115UE150188   </t>
  </si>
  <si>
    <t>供產學合作計畫之研究開發、資料分析、系統測試及業務執行，提升計畫執行效率與研究成果。※品名:筆記型電腦</t>
  </si>
  <si>
    <t xml:space="preserve">T115UE150189   </t>
  </si>
  <si>
    <t>教學研究所需之筆記型電腦※品名:筆記型電腦</t>
  </si>
  <si>
    <t>黃淵科</t>
  </si>
  <si>
    <t xml:space="preserve">T115UF080134   </t>
  </si>
  <si>
    <t>工設系補助陳俊智教師新增教學所需設備(平板電腦)※品名:平板電腦</t>
  </si>
  <si>
    <t xml:space="preserve">T115US040114   </t>
  </si>
  <si>
    <t>海生系_購置公用行動投影機放系辦，供師生借用以利教學討論※品名:投影機</t>
  </si>
  <si>
    <t xml:space="preserve">T115US040115   </t>
  </si>
  <si>
    <t>海生系_系辦筆記型電腦※品名:筆記型電腦</t>
  </si>
  <si>
    <t>1150812</t>
  </si>
  <si>
    <t xml:space="preserve">T115US190131   </t>
  </si>
  <si>
    <t>115年度漁管系為執行改質躍升計畫之優化食魚教室教學空間，進行展示室改造工程。※品名:輕隔間改造工程</t>
  </si>
  <si>
    <t xml:space="preserve">T115US190130   </t>
  </si>
  <si>
    <t>115年度漁管系為執行改質躍升計畫之改善漁具漁法展示室優化教學空間及展示效果，進行展示室改造工程。※品名:輕隔間改造工程</t>
  </si>
  <si>
    <t>1150813</t>
  </si>
  <si>
    <t>T204289</t>
  </si>
  <si>
    <t xml:space="preserve">T115UO030114   </t>
  </si>
  <si>
    <t>系上教室更換老舊桌椅，提升教學品質。※品名:3人學生桌椅組</t>
  </si>
  <si>
    <t>T204290</t>
  </si>
  <si>
    <t xml:space="preserve">T115US040105   </t>
  </si>
  <si>
    <t>海生系_鄭至玉老師實驗室用品※品名:八爪微量吸管</t>
  </si>
  <si>
    <t>T204301</t>
  </si>
  <si>
    <t xml:space="preserve">T115UF080115   </t>
  </si>
  <si>
    <t>工設系實作工廠安裝洞洞板組件(放置手工具用)※品名:洞洞板組件</t>
  </si>
  <si>
    <t>T204306</t>
  </si>
  <si>
    <t xml:space="preserve">T115UN010157   </t>
  </si>
  <si>
    <t>【躍升計畫】水冷扇-系上活動使用※品名:LAPOLO 水冷扇</t>
  </si>
  <si>
    <t>T204315</t>
  </si>
  <si>
    <t xml:space="preserve">T115UN030073   </t>
  </si>
  <si>
    <t>執行系所躍升計畫教師研究使用之筆記型電腦※品名:筆記型電腦</t>
  </si>
  <si>
    <t>T400979</t>
  </si>
  <si>
    <t xml:space="preserve">T115UE310129- 1   </t>
  </si>
  <si>
    <t>教學討論使用之投影設備※品名:DLP固態光源5000ANSI流明(含)以上，Full HD</t>
  </si>
  <si>
    <t xml:space="preserve">T115UN010168   </t>
  </si>
  <si>
    <t>【躍升計畫】網路交換器-教室網路連線使用(C125使用)※品名:網路交換器</t>
  </si>
  <si>
    <t xml:space="preserve">T115UE310235   </t>
  </si>
  <si>
    <t>研究使用※品名:美光1TB TypeC外接式硬碟</t>
  </si>
  <si>
    <t xml:space="preserve">T115UE310236   </t>
  </si>
  <si>
    <t>研究使用※品名:粗牙螺絲20PC、長細牙螺絲15PC</t>
  </si>
  <si>
    <t xml:space="preserve">T115UE310237   </t>
  </si>
  <si>
    <t>研究使用※品名:磁鐵、運費</t>
  </si>
  <si>
    <t xml:space="preserve">T115UE310238   </t>
  </si>
  <si>
    <t>研究使用※品名:電池閥、氣缸、運費</t>
  </si>
  <si>
    <t xml:space="preserve">T115UE310239   </t>
  </si>
  <si>
    <t>研究使用※品名:郵資</t>
  </si>
  <si>
    <t xml:space="preserve">T115UE310240   </t>
  </si>
  <si>
    <t>研究使用※品名:影印</t>
  </si>
  <si>
    <t xml:space="preserve">T115UE310241   </t>
  </si>
  <si>
    <t>研究使用※品名:雙面膠20*24mm5入、4孔母插頭帶線、細牙螺母3*6 10pc、20mm粗牙雙母銅柱4pc、機械牙圓4*25+母*10五彩、熱縮管(黃)1m 6Y、熱縮管(黃)1m  2.5Y、特尖夾子直型、35mm*6粗牙銅柱4pc、六角十字螺絲10pc、護套XT60航空2P公母頭、熱縮管(黃)1M、USB公-TypeC母-6A轉接頭、USB5V 升直頭DC9V 0.5A、橙藍2P-6P按壓快速端子</t>
  </si>
  <si>
    <t>1150814</t>
  </si>
  <si>
    <t xml:space="preserve">T115UD020196   </t>
  </si>
  <si>
    <t>執行躍升計畫購置AI基礎技術教學設備※品名:模擬器</t>
  </si>
  <si>
    <t>陳朝烈</t>
  </si>
  <si>
    <t xml:space="preserve">T115UE270373   </t>
  </si>
  <si>
    <t>實驗室用設備-數位功率計電流配件※品名:A662018超高精準度DCCT200A、A662024單台DCCT電源、營業稅</t>
  </si>
  <si>
    <t>陳附仁</t>
  </si>
  <si>
    <t>1150817</t>
  </si>
  <si>
    <t>T204354</t>
  </si>
  <si>
    <t xml:space="preserve">T115UE310042- 2   </t>
  </si>
  <si>
    <t>教學及研究※品名:空化衝擊即時動態力及扭矩量測系統</t>
  </si>
  <si>
    <t>洪宗彬</t>
  </si>
  <si>
    <t>T204358</t>
  </si>
  <si>
    <t xml:space="preserve">T115UE270251   </t>
  </si>
  <si>
    <t>為執行研究計畫所需設備※品名:低階伺服器</t>
  </si>
  <si>
    <t>侯賽因</t>
  </si>
  <si>
    <t>T204361</t>
  </si>
  <si>
    <t xml:space="preserve">T115UE270260   </t>
  </si>
  <si>
    <t>教學研究開發程式※品名:APP應用程式開發模擬器</t>
  </si>
  <si>
    <t>黃文祥</t>
  </si>
  <si>
    <t>T204362</t>
  </si>
  <si>
    <t xml:space="preserve">T115UE270219   </t>
  </si>
  <si>
    <t>此電源主要用於實驗室工作站及相關資訊設備之電力分配與管理，提供穩定且安全之供電環境，以支援人工智慧模型訓練、系統開發等工作。本案係為執行系所改質躍升計畫四大關鍵任務之研究面向所需之設備。※品名:工作站電力設備</t>
  </si>
  <si>
    <t>T204363</t>
  </si>
  <si>
    <t xml:space="preserve">T115UE150162   </t>
  </si>
  <si>
    <t>研究計畫使用※品名:AI筆記型電腦  ASUS UX36070A</t>
  </si>
  <si>
    <t>T301353</t>
  </si>
  <si>
    <t xml:space="preserve">T115UB000064- 2   </t>
  </si>
  <si>
    <t>教學實驗用設備※品名:網路分析儀
(逾期違約金10,780元，實支479,220元)</t>
  </si>
  <si>
    <t>T400985</t>
  </si>
  <si>
    <t xml:space="preserve">T115UE290181- 1   </t>
  </si>
  <si>
    <t>李新木技士申請-資701※品名:投影機</t>
  </si>
  <si>
    <t>1150818</t>
  </si>
  <si>
    <t xml:space="preserve">T115UV000140   </t>
  </si>
  <si>
    <t>(楠梓-商資系-躍升計畫)商務資訊專業教室空間設備-冷氣機(不足部分由設備費院統籌款(外)、基本維持設備費(內)支應)※品名:一對一變分離式冷氣10.0kw(含)以上Panasonic CS-100FL/CU-100FLC(變頻)、銅管、控制線、電源線、白鐵室外架、無熔絲開關、舊機拆除</t>
  </si>
  <si>
    <t xml:space="preserve">T115UE290397   </t>
  </si>
  <si>
    <t>黃永成技士申請-資606C教學用設備※品名:冷氣</t>
  </si>
  <si>
    <t xml:space="preserve">T115UE270379   </t>
  </si>
  <si>
    <t>教學研究用設備※品名:顯示卡(ASUS Dual RTX 5060 Ti)</t>
  </si>
  <si>
    <t>孫崇訓</t>
  </si>
  <si>
    <t xml:space="preserve">T115UN010171   </t>
  </si>
  <si>
    <t>【躍升計畫】筆記型電腦、顯示器-教學及研究使用(李慶章老師)※品名:筆記型電腦、顯示器</t>
  </si>
  <si>
    <t xml:space="preserve">T115UQ040124   </t>
  </si>
  <si>
    <t xml:space="preserve">T115UT000140   </t>
  </si>
  <si>
    <t>智商系燕巢校區MA302會議室配備無線路由器設備採購支出※品名:無線路由器(ASUS RT-BE92U)</t>
  </si>
  <si>
    <t>1150819</t>
  </si>
  <si>
    <t>T204492</t>
  </si>
  <si>
    <t xml:space="preserve">T115UM740099   </t>
  </si>
  <si>
    <t>配合躍升計畫, 購置65型顯示器強化師生討論之研討室設備※品名:65型智慧聯網互動顯示器</t>
  </si>
  <si>
    <t>T204497</t>
  </si>
  <si>
    <t xml:space="preserve">T115UM740100   </t>
  </si>
  <si>
    <t>配合躍升計畫, 購置迷你主機強化師生討論之研討室設備※品名:迷你電腦主機</t>
  </si>
  <si>
    <t>T204513</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</si>
  <si>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</si>
  <si>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</si>
  <si>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T204532</t>
  </si>
  <si>
    <t xml:space="preserve">T115US190122   </t>
  </si>
  <si>
    <t>115年度漁管系執行改質躍升改善空間之輕隔間工作含雙面9mm矽酸鈣封板及(廢棄物清運及油漆粉刷)※品名:輕隔間工程含雙面9mm矽酸鈣封板及(廢棄物清運及油漆粉刷)</t>
  </si>
  <si>
    <t>T401005</t>
  </si>
  <si>
    <t xml:space="preserve">T115UP040091- 1   </t>
  </si>
  <si>
    <t>114.2(燕巢會資系)全英授課課程(含EMI課程)-錄影設備用※品名:攝影機</t>
  </si>
  <si>
    <t xml:space="preserve">T115UM740111   </t>
  </si>
  <si>
    <t>配合躍升計畫, 改善系上個案專業教室投影設備, 增進授課效果※品名:3LCD固態光源投影機</t>
  </si>
  <si>
    <t xml:space="preserve">T115UO030125   </t>
  </si>
  <si>
    <t>系上購入平板電腦，作為日常行政業務使用，以支援系務相關工作需求。※品名:平板電腦</t>
  </si>
  <si>
    <t xml:space="preserve">T115UQ040027- 2   </t>
  </si>
  <si>
    <t>教學研究用設備-HFS-4 氫化裝置反應槽※品名:HFS-4 氫化裝置反應槽</t>
  </si>
  <si>
    <t>陳秋妏</t>
  </si>
  <si>
    <t>1150820</t>
  </si>
  <si>
    <t>T204551</t>
  </si>
  <si>
    <t xml:space="preserve">T115UF080130   </t>
  </si>
  <si>
    <t>工設系補助教師新增教學設備(龔蒂菀與學生討論專題指導所需27吋液晶螢幕)※品名:液晶螢幕</t>
  </si>
  <si>
    <t>T204561</t>
  </si>
  <si>
    <t xml:space="preserve">T115UF080114   </t>
  </si>
  <si>
    <t>工設系儲存學生競賽或課程之資料用雲端網路磁碟機(因設備臨時故障，故新購置此設備，僅為儲存資料及傳輸資料用，無法作為文書處理或是一般電腦計算程式使用)※品名:網路磁碟機</t>
  </si>
  <si>
    <t xml:space="preserve">T115US030154   </t>
  </si>
  <si>
    <t>辦理楠梓校區樂群樓實驗室採購案(本案與E115012861共同分攤)※品名:實驗室設備、實驗室壁面油漆、地板打蠟清潔及鋁門窗</t>
  </si>
  <si>
    <t>水產養殖系</t>
  </si>
  <si>
    <t xml:space="preserve">T115UE290445   </t>
  </si>
  <si>
    <t>李新木技士申請-資704教學設備※品名:日本琺瑯磁白板</t>
  </si>
  <si>
    <t xml:space="preserve">T115UQ040125   </t>
  </si>
  <si>
    <t>執行計畫-此款 ASUS Vivobook (型號：X1404VA) 筆記型電腦已通過該分析軟體之相容性測試。為確保儀器上線後軟硬體運作順暢、避免數據傳輸衝突，必須將該軟體與指定硬體（筆記型電腦）合併採購。(和併購案T115UQ040048)※品名:ASUS Vivobook (型號：X1404VA)</t>
  </si>
  <si>
    <t>1150821</t>
  </si>
  <si>
    <t xml:space="preserve">T115UE270392   </t>
  </si>
  <si>
    <t>「本案係為執行系所改質躍升計畫四大關鍵任務之產學面向所需之設備」-reComputer Super J4012全配套裝組※品名:reComputer Super J4012全配套裝組</t>
  </si>
  <si>
    <t>蘇科翰</t>
  </si>
  <si>
    <t xml:space="preserve">T115UQ040126   </t>
  </si>
  <si>
    <t>實驗室設備購買-ICP主機控制板※品名:ICP主機控制板</t>
  </si>
  <si>
    <t>1150825</t>
  </si>
  <si>
    <t>T204623</t>
  </si>
  <si>
    <t xml:space="preserve">T115UE720207   </t>
  </si>
  <si>
    <t>感測器:拉伸試驗機之試件長度變形量測量使用※品名:感測器</t>
  </si>
  <si>
    <t xml:space="preserve">T115UM740119   </t>
  </si>
  <si>
    <t>燕巢校區上課專業教室冷氣老舊(99年), 會不定期損壞, 為考慮節能及使用情形, 汰舊換新※品名:一對一分離式冷氣機</t>
  </si>
  <si>
    <t>1150826</t>
  </si>
  <si>
    <t xml:space="preserve">T115UE270399   </t>
  </si>
  <si>
    <t>教學及研究用設備採購※品名:噪音器感測通訊裝置</t>
  </si>
  <si>
    <t>陳文平</t>
  </si>
  <si>
    <t xml:space="preserve">T115UE290456   </t>
  </si>
  <si>
    <t>李新木技士申請-資701教學設備※品名:150吋電動布幕</t>
  </si>
  <si>
    <t xml:space="preserve">T115UF080141   </t>
  </si>
  <si>
    <t>工設系補助教師(張祥唐)增添教學設備-3D列印機※品名:3D列印機</t>
  </si>
  <si>
    <t>1150827</t>
  </si>
  <si>
    <t>T204634</t>
  </si>
  <si>
    <t xml:space="preserve">T115UD020116- 2   </t>
  </si>
  <si>
    <t>教學用-高壓直流電源供應器(合計210000的設備採購 公開招標)(併B115010199)※品名:高壓直流電源供應器</t>
  </si>
  <si>
    <t>吳毓恩</t>
  </si>
  <si>
    <t>T204641</t>
  </si>
  <si>
    <t xml:space="preserve">T115UE250015- 2   </t>
  </si>
  <si>
    <t>順序控制課程教材: PLC人機介面※品名:人機介面、實習機箱體</t>
  </si>
  <si>
    <t>T204644</t>
  </si>
  <si>
    <t xml:space="preserve">T115UD020147   </t>
  </si>
  <si>
    <t>T204645</t>
  </si>
  <si>
    <t xml:space="preserve">T115UF080133   </t>
  </si>
  <si>
    <t>工設系補助宋毅仁老師添購教學所需設備-3D列印機※品名:3D列印機</t>
  </si>
  <si>
    <t>T204646</t>
  </si>
  <si>
    <t xml:space="preserve">T115UF080132   </t>
  </si>
  <si>
    <t>工設系補助陳俊智教師新增教學所需設備(腦波儀)※品名:海量腦波數據行動平臺</t>
  </si>
  <si>
    <t xml:space="preserve">T115UF080143   </t>
  </si>
  <si>
    <t>工設系補助林龍吟教師添購教學所需設備-模擬電路板※品名:模擬電路板</t>
  </si>
  <si>
    <t>1150828</t>
  </si>
  <si>
    <t xml:space="preserve">T115UD020205   </t>
  </si>
  <si>
    <t>更換教學用投影機※品名:3LCD固態光源投影機</t>
  </si>
  <si>
    <t xml:space="preserve">T115UE290291- 1   </t>
  </si>
  <si>
    <t>李新木技士申請教學研究設備-資405、資406※品名:固態光源投影機</t>
  </si>
  <si>
    <t xml:space="preserve">T115UO030127   </t>
  </si>
  <si>
    <t>系上更換電腦設備，汰換老舊主機</t>
  </si>
  <si>
    <t xml:space="preserve">T115UQ040127   </t>
  </si>
  <si>
    <t>實驗室設備購買-ICP設備電源供應器※品名:電源供應器(含配件組)</t>
  </si>
  <si>
    <t>1150830</t>
  </si>
  <si>
    <t xml:space="preserve">T115UE150206   </t>
  </si>
  <si>
    <t>實驗室執行產學與國科會計畫使用，作為執行時空查詢之可攜式電腦裝置※品名:IPAD AIR 11 (含APPLE PENCIL)</t>
  </si>
  <si>
    <t>1150831</t>
  </si>
  <si>
    <t xml:space="preserve">T115UB000416   </t>
  </si>
  <si>
    <t>執行計畫課程用設備※品名:電腦主機</t>
  </si>
  <si>
    <t xml:space="preserve">T115UN010163- 1   </t>
  </si>
  <si>
    <t>【躍升計畫】投影機-提升教學品質使用※品名:投影機</t>
  </si>
  <si>
    <t xml:space="preserve">預算:58,988,650,實支:21,930,770,簽證數:3,617,939,請購未銷:23,358,346,暫付:0,暫收:0,餘額:10,081,595 </t>
  </si>
  <si>
    <t>1150203</t>
  </si>
  <si>
    <t>T200162</t>
  </si>
  <si>
    <t>510301-3201辦公（事務）用品</t>
  </si>
  <si>
    <t xml:space="preserve">T115UE230007   </t>
  </si>
  <si>
    <t>辦公室用品※品名:文具等</t>
  </si>
  <si>
    <t>T200176</t>
  </si>
  <si>
    <t xml:space="preserve">T115UF010005   </t>
  </si>
  <si>
    <t>辦理114學年度躍升計畫第2次管考會議的餐費，日期:1/13(二)，時間:12:45~13:30，人數:12※品名:餐費</t>
  </si>
  <si>
    <t>T200201</t>
  </si>
  <si>
    <t>510301-2B01推展費</t>
  </si>
  <si>
    <t xml:space="preserve">T115UT000017   </t>
  </si>
  <si>
    <t>115年學年智慧商務系在職碩士專班99.9電台招生費用※品名:廣告</t>
  </si>
  <si>
    <t>T200210</t>
  </si>
  <si>
    <t>510301-2506交通及運輸設備修護費</t>
  </si>
  <si>
    <t xml:space="preserve">T115UR010011   </t>
  </si>
  <si>
    <t>航技系動力小船海洋三號(財產編號4020110-01B 2000003-2000003 附屬設備)※品名:YUASA 不加水電瓶</t>
  </si>
  <si>
    <t>T200235</t>
  </si>
  <si>
    <t xml:space="preserve">T115UT000018   </t>
  </si>
  <si>
    <t>115年學年智慧商務系碩士班社群招生費用※品名:碩士班廣告投放</t>
  </si>
  <si>
    <t>T200237</t>
  </si>
  <si>
    <t>510301-3204化學藥劑與實驗用品</t>
  </si>
  <si>
    <t xml:space="preserve">T115UT000009   </t>
  </si>
  <si>
    <t>智商系支援侯易佑老師教學/研究採購實驗電子材料和工具等支出※品名:實驗工具材料、鋰電池</t>
  </si>
  <si>
    <t>1150211</t>
  </si>
  <si>
    <t>T200265</t>
  </si>
  <si>
    <t xml:space="preserve">T115UT000023   </t>
  </si>
  <si>
    <t>115年學年智慧商務系在職碩士專班98.3電台招生費用※品名:廣告費</t>
  </si>
  <si>
    <t>T200279</t>
  </si>
  <si>
    <t>510301-2301國內旅費</t>
  </si>
  <si>
    <t xml:space="preserve">T115UT000014   </t>
  </si>
  <si>
    <t>差旅費:智慧商務系補助謝文川老師 事由：因應教學所需參加115年寒假SAP S/4 HANA(含環境永續模組)師資培訓研習(第一階段115/1/8-115/1/11)汲取新知差旅費(含起程日)支出</t>
  </si>
  <si>
    <t xml:space="preserve">T115UT000020   </t>
  </si>
  <si>
    <t>差旅費:智慧商務系補助謝文川老師 事由：115/1/15-115/1/18因應教學所需參加115年寒假SAP S/4 HANA(含環境永續模組)師資培訓研習(第二階段)汲取新知差旅費(含起程日)支出</t>
  </si>
  <si>
    <t>1150212</t>
  </si>
  <si>
    <t>T200297</t>
  </si>
  <si>
    <t>510301-2810電腦軟體服務費</t>
  </si>
  <si>
    <t xml:space="preserve">T115UE150003   </t>
  </si>
  <si>
    <t>用於研究資料儲存與運算資源使用。(實支4,138元；併案：A115000168)※品名:Google Cloud 雲端伺服器使用費</t>
  </si>
  <si>
    <t>1150224</t>
  </si>
  <si>
    <t>T200386</t>
  </si>
  <si>
    <t xml:space="preserve">T115UT000021   </t>
  </si>
  <si>
    <t>智商系支援侯易佑老師教學/研究採購實驗電子材料和工具等支出※品名:斜上鉗、省力壓著鉗、固態行動硬碟、網路攝影機、全彩智能燈泡、記憶卡、實驗工具品</t>
  </si>
  <si>
    <t xml:space="preserve">T115UT000022   </t>
  </si>
  <si>
    <t>智商系支援侯易佑老師教學/研究採購實驗工具暨電腦周邊配件文具等支出※品名:電腦周邊配件文具、實驗工具/文具品</t>
  </si>
  <si>
    <t xml:space="preserve">T115UT000024   </t>
  </si>
  <si>
    <t>智商系115/1/17(周六)辦理115學年度碩專班招生說明會活動參與人員含工作人員誤餐費支出, 詳附件名單※品名:西式餐盒、便當餐盒</t>
  </si>
  <si>
    <t>T300211</t>
  </si>
  <si>
    <t xml:space="preserve">T115UR030016   </t>
  </si>
  <si>
    <t>旗津校區/海資系/系所躍升計畫1月份工讀金－梁峻浤、劉振宏</t>
  </si>
  <si>
    <t>1150301</t>
  </si>
  <si>
    <t>T200403</t>
  </si>
  <si>
    <t xml:space="preserve">T115UE150015   </t>
  </si>
  <si>
    <t>研究計畫使用※品名:筆電背包、多埠訊號轉接器</t>
  </si>
  <si>
    <t xml:space="preserve">T115UE150017   </t>
  </si>
  <si>
    <t>用於研究資料儲存與運算資源使用。※品名:Google Cloud 雲端伺服器使用費</t>
  </si>
  <si>
    <t>1150302</t>
  </si>
  <si>
    <t>T200408</t>
  </si>
  <si>
    <t xml:space="preserve">T115UT030013   </t>
  </si>
  <si>
    <t>姚名鴻老師教學研究使用※品名:商品如明細所示</t>
  </si>
  <si>
    <t>T200446</t>
  </si>
  <si>
    <t>510301-2502一般房屋修護費</t>
  </si>
  <si>
    <t xml:space="preserve">T115UF010013   </t>
  </si>
  <si>
    <t>教學課程使用(執行計畫)F151教學教室空間修繕※品名:F151教室修繕工程</t>
  </si>
  <si>
    <t>1150305</t>
  </si>
  <si>
    <t>T200473</t>
  </si>
  <si>
    <t xml:space="preserve">T115UJ020016   </t>
  </si>
  <si>
    <t>【躍升】應日系為執行躍升計畫購買耳機之費用※品名:耳機</t>
  </si>
  <si>
    <t>外語學院應用日語系</t>
  </si>
  <si>
    <t xml:space="preserve">T115UV000009   </t>
  </si>
  <si>
    <t>(楠梓-商資系-躍升計畫)專業教室空間設備-白板※品名:白板</t>
  </si>
  <si>
    <t>1150306</t>
  </si>
  <si>
    <t>T300267</t>
  </si>
  <si>
    <t xml:space="preserve">T115UR030020   </t>
  </si>
  <si>
    <t>旗津校區/海資系/系所躍升計畫2月份工讀金－劉振宏、程仁杰、柯智煒</t>
  </si>
  <si>
    <t>T200505</t>
  </si>
  <si>
    <t xml:space="preserve">T115UT000035   </t>
  </si>
  <si>
    <t>智商系支援老師教學/研究採購線材,電腦周邊,文具耗品等支出※品名:彩色A4紙、充電電池、固態硬碟(512GB)、六孔延長線2.7米、訊號線</t>
  </si>
  <si>
    <t>1150313</t>
  </si>
  <si>
    <t>T200601</t>
  </si>
  <si>
    <t xml:space="preserve">T115UT000026   </t>
  </si>
  <si>
    <t>智商系支援侯易佑老師教學/研究採購實驗線材,電子零件材料,文具等支出※品名:資料夾、感測器、旋轉AI Wifi攝影機、實驗3D列印線材耗材、LED可調光紅外線感應燈2W</t>
  </si>
  <si>
    <t xml:space="preserve">T115UE150023   </t>
  </si>
  <si>
    <t>將本地網路上的服務到公共網路上也能使用 (產學合作測試使用)。※品名:反向代理工具 使用費 (含服務費)</t>
  </si>
  <si>
    <t>1150316</t>
  </si>
  <si>
    <t>T200624</t>
  </si>
  <si>
    <t>510301-3102物料</t>
  </si>
  <si>
    <t xml:space="preserve">T115UE230017   </t>
  </si>
  <si>
    <t>課程使用※品名:麻甲木心板、運費</t>
  </si>
  <si>
    <t>1150317</t>
  </si>
  <si>
    <t>T200627</t>
  </si>
  <si>
    <t xml:space="preserve">T115UT030015   </t>
  </si>
  <si>
    <t>1150318</t>
  </si>
  <si>
    <t>T200671</t>
  </si>
  <si>
    <t>510301-2898其他</t>
  </si>
  <si>
    <t xml:space="preserve">T115UT000037   </t>
  </si>
  <si>
    <t>智商系支援侯易佑老師於管理與系統期刊(第33卷第1期)發表論文刊登費支出※品名:論文刊登費</t>
  </si>
  <si>
    <t>T200672</t>
  </si>
  <si>
    <t xml:space="preserve">T115UT000039   </t>
  </si>
  <si>
    <t>智商系支援侯易佑老師教學/研究所需採購實驗電子材料-控制晶片支出※品名:控制晶片(8735+sensor kit)</t>
  </si>
  <si>
    <t>T200691</t>
  </si>
  <si>
    <t>510301-2505機械及設備修護費</t>
  </si>
  <si>
    <t xml:space="preserve">T115UD030058   </t>
  </si>
  <si>
    <t>F455電腦教室記憶體更新(電腦主機財產編號:3140101-03，財產序號:5011963~5011974)※品名:記憶體</t>
  </si>
  <si>
    <t>T200776</t>
  </si>
  <si>
    <t xml:space="preserve">T115UE150027   </t>
  </si>
  <si>
    <t>510301-720601獎助學員生給與</t>
  </si>
  <si>
    <t xml:space="preserve">T115UF010016   </t>
  </si>
  <si>
    <t>補助研究生張佳琪、何聰毅參加研討會報名費※品名:報名費</t>
  </si>
  <si>
    <t>T200777</t>
  </si>
  <si>
    <t>510301-2201郵費</t>
  </si>
  <si>
    <t xml:space="preserve">T115UT000044   </t>
  </si>
  <si>
    <t>智商系支援侯易佑老師教學/研究所需採購實驗材料,郵資,文具用品等支出※品名:3M膠帶、直尺、實驗材料-保險絲,起子、實驗線材-訊號線、郵資、實驗材料-防靜電手套、資料夾、行動電源、Hacker隨身碟(含物流費)</t>
  </si>
  <si>
    <t>T200779</t>
  </si>
  <si>
    <t xml:space="preserve">T115UP010023   </t>
  </si>
  <si>
    <t>金融系系網不斷電系統(產編3101001-07-5000004)維修費用※品名:UPS維修</t>
  </si>
  <si>
    <t>1150324</t>
  </si>
  <si>
    <t>T200809</t>
  </si>
  <si>
    <t>510301-280501講課鐘點、稿費、出席審查及查詢費</t>
  </si>
  <si>
    <t xml:space="preserve">T115UE150035   </t>
  </si>
  <si>
    <t>期刊英文編修費用※品名:期刊英文編修費用</t>
  </si>
  <si>
    <t>T200847</t>
  </si>
  <si>
    <t xml:space="preserve">T115UT030018   </t>
  </si>
  <si>
    <t>財稅系管國珍老師教學教材製作用訂閱ChatGPT Plus Subscription軟體使用費115年1月份※品名:軟體使用費</t>
  </si>
  <si>
    <t xml:space="preserve">T115UT030023   </t>
  </si>
  <si>
    <t>財稅系彭琪祿老師教學教材製作用訂閱ChatGPT Plus Subscription軟體使用費115年1月份※品名:軟體使用費</t>
  </si>
  <si>
    <t>T200893</t>
  </si>
  <si>
    <t xml:space="preserve">T115UC110056   </t>
  </si>
  <si>
    <t>執行躍升計畫國際化交流活動-日本鹿兒島國際大學簡報交流比賽用-便當※品名:便當、便當(素)</t>
  </si>
  <si>
    <t>T200894</t>
  </si>
  <si>
    <t>510301-3298其他</t>
  </si>
  <si>
    <t xml:space="preserve">T115UC110053   </t>
  </si>
  <si>
    <t>執行躍升計畫國際化交流活動-日本鹿兒島國際大學簡報交流比賽用-布條、影印※品名:布條、影印</t>
  </si>
  <si>
    <t>510301-2401印刷及裝訂費</t>
  </si>
  <si>
    <t>510301-4402車租</t>
  </si>
  <si>
    <t xml:space="preserve">T115UC110064   </t>
  </si>
  <si>
    <t>執行躍升計畫國際化交流活動-日本鹿兒島國際大學簡報交流比賽用-接駁車資※品名:車資</t>
  </si>
  <si>
    <t xml:space="preserve">T115UH530020   </t>
  </si>
  <si>
    <t>報支陳儀蓉老師晶片讀卡機費※品名:晶片讀卡機</t>
  </si>
  <si>
    <t>陳儀蓉</t>
  </si>
  <si>
    <t>T200911</t>
  </si>
  <si>
    <t xml:space="preserve">T115UV000031   </t>
  </si>
  <si>
    <t>(楠梓-商資系-躍升計畫-商務資訊專業教室空間空間建置)教室門片更換※品名:門片含五金配件</t>
  </si>
  <si>
    <t>T200925</t>
  </si>
  <si>
    <t xml:space="preserve">T115UT030012- 1   </t>
  </si>
  <si>
    <t>財稅系教學實踐計畫教學器材※品名:個人電腦顯示器</t>
  </si>
  <si>
    <t>T200995</t>
  </si>
  <si>
    <t xml:space="preserve">T115UQ010036   </t>
  </si>
  <si>
    <t>受款人：瑞洋複印社周沁渢，執行計畫用※品名:A0珍珠板、A4彩印、A4貼紙、A3彩印、成果報告書、資料手冊</t>
  </si>
  <si>
    <t>造船及海洋工程系</t>
  </si>
  <si>
    <t>T201007</t>
  </si>
  <si>
    <t xml:space="preserve">T115UT000051   </t>
  </si>
  <si>
    <t>智商系支援侯易佑老師教學/研究所需採購實驗電子材料-加熱感測器.加熱燈管支出※品名:加熱感測器、加熱燈管</t>
  </si>
  <si>
    <t>T300430</t>
  </si>
  <si>
    <t xml:space="preserve">T115UR030033   </t>
  </si>
  <si>
    <t>旗津校區/海資系/系所躍升計畫3月份工讀金－陳韋安</t>
  </si>
  <si>
    <t>T300439</t>
  </si>
  <si>
    <t xml:space="preserve">T115UC110058   </t>
  </si>
  <si>
    <t>躍升計畫執行-國際化交流。日本創價大學國際學院王雍智教授專題演講費。(外籍人士領據)</t>
  </si>
  <si>
    <t>T201070</t>
  </si>
  <si>
    <t>510301-2808委託考選訓練費</t>
  </si>
  <si>
    <t xml:space="preserve">T115UT000057   </t>
  </si>
  <si>
    <t>智商系支援侯易佑老師指導日碩生莊柏軒(學號F114156128)於115/3/26-29 MOMAI 2026發表論文會議註冊費支出※品名:論文發表會議註冊費</t>
  </si>
  <si>
    <t xml:space="preserve">T115UT000058   </t>
  </si>
  <si>
    <t>智商系支援侯易佑老師教學/研究所需採購實驗電子材料, 影印裝訂費等支出※品名:訊號線、滑鼠、影印費、裝訂費、專注力訓練機</t>
  </si>
  <si>
    <t xml:space="preserve">T115UV000030   </t>
  </si>
  <si>
    <t>(楠梓-躍升計畫-商資系)114學年度第2學年度第1次系週會誤餐費(115.03.11，12:00-15:30)※品名:便當</t>
  </si>
  <si>
    <t>T201071</t>
  </si>
  <si>
    <t>510301-239801其他旅運費</t>
  </si>
  <si>
    <t xml:space="preserve">T115UV000034   </t>
  </si>
  <si>
    <t>(楠梓-躍升計畫-商資系)專題講座交通費
講者：張煦薇科長
日期：115.03.11
交通：高鐵(板橋-左營)</t>
  </si>
  <si>
    <t>T201126</t>
  </si>
  <si>
    <t xml:space="preserve">T115UT000061   </t>
  </si>
  <si>
    <t>智慧商務系大學部、碩士班、碩專班招生海報及網頁設計費用※品名:海報網頁設計費</t>
  </si>
  <si>
    <t>T201127</t>
  </si>
  <si>
    <t xml:space="preserve">T115UT000062   </t>
  </si>
  <si>
    <t>智商系支援黃天受老師教學/研究所需採購電腦零組件等支出※品名:內接式硬碟(3.5" 2TB)、PC用記憶體(8GB)、高速記憶卡(256GB)</t>
  </si>
  <si>
    <t>T201128</t>
  </si>
  <si>
    <t xml:space="preserve">T115UT000063   </t>
  </si>
  <si>
    <t>智商系支援黃天受老師教學/研究所需採購電腦零組件暨周邊配件等支出※品名:延長線(2.7米)、電源供應器(650W)、充電電池8入、無線滑鼠、固態硬碟(512GB)</t>
  </si>
  <si>
    <t>T201164</t>
  </si>
  <si>
    <t xml:space="preserve">T115UC110062   </t>
  </si>
  <si>
    <t>執行躍升計畫-3/11、3/18學生英文社群活動用餐費※品名:便當</t>
  </si>
  <si>
    <t>T201165</t>
  </si>
  <si>
    <t>510301-2507什項設備修護費</t>
  </si>
  <si>
    <t xml:space="preserve">T115UQ040028   </t>
  </si>
  <si>
    <t>二門玻璃冷藏展示櫃故障維修(財編：5010107-08-2000005)※品名:更換溫度控制器(含稅)</t>
  </si>
  <si>
    <t>林啟燦</t>
  </si>
  <si>
    <t>T300478</t>
  </si>
  <si>
    <t xml:space="preserve">T115UV000033   </t>
  </si>
  <si>
    <t>(楠梓-躍升計畫-商資系)專題講座鐘點費
講者：張煦薇科長
日期：115.03.11
時間：14:30-15:30</t>
  </si>
  <si>
    <t>T201181</t>
  </si>
  <si>
    <t xml:space="preserve">T115UT030029   </t>
  </si>
  <si>
    <t>財稅系補助學生參加研討會文書影印費※品名:影印費</t>
  </si>
  <si>
    <t>1150415</t>
  </si>
  <si>
    <t>T201246</t>
  </si>
  <si>
    <t xml:space="preserve">T115UP020020   </t>
  </si>
  <si>
    <t>日期：115.3.18、時間： 15:30-18:30財團法人保險事業發展中心 黃渝誠講師 交通費-高鐵，左營-台北當日來回</t>
  </si>
  <si>
    <t>T201255</t>
  </si>
  <si>
    <t xml:space="preserve">T115UF090043   </t>
  </si>
  <si>
    <t>機電工程系學生實務專題實驗用-3D列印耗材※品名:3D列印耗材</t>
  </si>
  <si>
    <t>T300509</t>
  </si>
  <si>
    <t xml:space="preserve">T115UP020019   </t>
  </si>
  <si>
    <t>日期：115.3.18、時間： 15:30-18:30財團法人保險事業發展中心 黃渝誠講師 鐘點費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</si>
  <si>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</si>
  <si>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</si>
  <si>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</si>
  <si>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T300514</t>
  </si>
  <si>
    <t xml:space="preserve">T115UE290133   </t>
  </si>
  <si>
    <t>協助辦理競賽活動-楊程凱等19人</t>
  </si>
  <si>
    <t>T201389</t>
  </si>
  <si>
    <t xml:space="preserve">T115UQ040042   </t>
  </si>
  <si>
    <t>計畫用-6M-5N-氦氣 (表單單號：S26041000001)※品名:6M-5N-氦氣、營業稅</t>
  </si>
  <si>
    <t>T201429</t>
  </si>
  <si>
    <t xml:space="preserve">T115UH530028   </t>
  </si>
  <si>
    <t>報支躍升計畫教學用文具※品名:觸控筆、筆、名片卡及卡盒</t>
  </si>
  <si>
    <t>黃佳純</t>
  </si>
  <si>
    <t xml:space="preserve">T115UH530030   </t>
  </si>
  <si>
    <t>支付陳儀蓉老師印刷品費用※品名:印刷品</t>
  </si>
  <si>
    <t>T201433</t>
  </si>
  <si>
    <t xml:space="preserve">T115UF010026   </t>
  </si>
  <si>
    <t>114學年躍升計畫第3次管考會議的餐費，日期:3/31(二)，時間:12:45，人數:14※品名:餐費</t>
  </si>
  <si>
    <t xml:space="preserve">T115UD020044   </t>
  </si>
  <si>
    <t>辦理躍升計畫資料輸出※品名:複印費</t>
  </si>
  <si>
    <t>T300562</t>
  </si>
  <si>
    <t xml:space="preserve">T115UD020045   </t>
  </si>
  <si>
    <t>邀請業界專家台灣中油電機工程師李建興博士蒞系演講</t>
  </si>
  <si>
    <t xml:space="preserve">T115UR010048   </t>
  </si>
  <si>
    <t>航技系115年3月9日邀請中鋼運通股份有限公司徐興隆協理蒞校進行航運講座(講題內容:散裝配載實務)</t>
  </si>
  <si>
    <t>T201490</t>
  </si>
  <si>
    <t xml:space="preserve">T115UJ020049   </t>
  </si>
  <si>
    <t>【躍升】為執行躍升計畫之行政事務與教學，購買無線滑鼠之費用※品名:無線滑鼠</t>
  </si>
  <si>
    <t>T201525</t>
  </si>
  <si>
    <t xml:space="preserve">T115UT000069   </t>
  </si>
  <si>
    <t>智商系支援侯易佑老師教學/研究所需採購實驗電子零組件材料等支出※品名:扣式比流器(R相.S相.T相)、LED多功能集合式電表、DIY電源線附開關、H型附接地三連明插座</t>
  </si>
  <si>
    <t xml:space="preserve">T115UT000072   </t>
  </si>
  <si>
    <t>智慧商務系 購入辦公用品 文具一批※品名:文具一批</t>
  </si>
  <si>
    <t>T201534</t>
  </si>
  <si>
    <t xml:space="preserve">T115UQ040044   </t>
  </si>
  <si>
    <t>實驗用-活性碳口罩※品名:活性碳口罩、營業稅</t>
  </si>
  <si>
    <t>T201542</t>
  </si>
  <si>
    <t xml:space="preserve">T115UT030033   </t>
  </si>
  <si>
    <t>財稅系管國珍老師教學教材製作用訂閱ChatGPT Plus Subscription軟體使用費115年2月份※品名:軟體使用費</t>
  </si>
  <si>
    <t xml:space="preserve">T115UT030034   </t>
  </si>
  <si>
    <t>財稅系張純萍老師教學教材製作用訂閱ChatGPT Plus Subscription軟體使用費115年3月份※品名:軟體使用費</t>
  </si>
  <si>
    <t xml:space="preserve">T115UT030035   </t>
  </si>
  <si>
    <t>T201551</t>
  </si>
  <si>
    <t xml:space="preserve">T115UT000070   </t>
  </si>
  <si>
    <t>智商系支援侯易佑老師教學/研究所需採購實驗材料,耳麥,文具品等支出※品名:可調充退磁器螺絲起子(2入裝)、筆類含筆芯、連續章、藍芽耳麥</t>
  </si>
  <si>
    <t xml:space="preserve">T115UE720025   </t>
  </si>
  <si>
    <t>中華民國人因工程學會研討會(EST2026)王釗鴻--註冊費※品名:中華民國人因工程學會研討會註冊費</t>
  </si>
  <si>
    <t>王釗鴻</t>
  </si>
  <si>
    <t>T201591</t>
  </si>
  <si>
    <t xml:space="preserve">T115UE310023   </t>
  </si>
  <si>
    <t>115年度多功能實習工廠核定之材料費－尋邊器及刀具等8項※品名:尋邊器五金刀具等8項</t>
  </si>
  <si>
    <t>黃家瑞</t>
  </si>
  <si>
    <t>T201600</t>
  </si>
  <si>
    <t xml:space="preserve">T115UD030100   </t>
  </si>
  <si>
    <t>電通系電腦教室軟體使用費※品名:軟體使用費</t>
  </si>
  <si>
    <t>T201628</t>
  </si>
  <si>
    <t xml:space="preserve">T115UC110085   </t>
  </si>
  <si>
    <t>執行躍升計畫國際化交流活動－信州大學學術交流活動餐費※品名:餐點</t>
  </si>
  <si>
    <t xml:space="preserve">T115UQ040043   </t>
  </si>
  <si>
    <t>實驗用-高純度氮氣(表單單號：P26041300001)※品名:高純度氮氣</t>
  </si>
  <si>
    <t xml:space="preserve">T115UH530033   </t>
  </si>
  <si>
    <t>學術研究及教學使用之書籍、文具、資訊設備等※品名:行動電源、無線網卡、鋰電池、CD筆、鋼珠筆、筆芯、圓規、膠帶、保麗龍膠、自動鉛筆、鋼筆、麥肯錫教企業這樣用AI數位轉型</t>
  </si>
  <si>
    <t>翁慈君</t>
  </si>
  <si>
    <t>510301-2698其他保險費</t>
  </si>
  <si>
    <t xml:space="preserve">T115UO040034   </t>
  </si>
  <si>
    <t>國內差旅及交通費-115/04/19產業交流與參訪暨校外教學保險費(41人)※品名:保險費</t>
  </si>
  <si>
    <t xml:space="preserve">T115UT030030   </t>
  </si>
  <si>
    <t>財稅系姚名鴻老師教學教材製作用訂閱NotebookLM軟體使用費115年2月份※品名:軟體使用費</t>
  </si>
  <si>
    <t xml:space="preserve">T115UT030032   </t>
  </si>
  <si>
    <t>財稅系姚名鴻老師教學教材製作用訂閱ChatGPT Plus Subscription軟體使用費115年2月份※品名:軟體使用費</t>
  </si>
  <si>
    <t xml:space="preserve">T115UT030022   </t>
  </si>
  <si>
    <t>財稅系姚名鴻老師教學教材製作用訂閱ChatGPT Plus Subscription軟體使用費115年1月份※品名:軟體使用費</t>
  </si>
  <si>
    <t>T300615</t>
  </si>
  <si>
    <t xml:space="preserve">T115UE290144   </t>
  </si>
  <si>
    <t>2026第二十二屆全國電子設計創意競賽評審工作</t>
  </si>
  <si>
    <t>T201641</t>
  </si>
  <si>
    <t xml:space="preserve">T115UD030108   </t>
  </si>
  <si>
    <t>1150323電通系舉辦115年太空產業供應鏈暨網通產業新興飛揚計畫-5G垂直應用實務工作坊邀請講師耀睿科技副總蔡志明副總經理及華電聯網劉姿君技術經理之鐘點費</t>
  </si>
  <si>
    <t>T201713</t>
  </si>
  <si>
    <t xml:space="preserve">T115UO040041   </t>
  </si>
  <si>
    <t>國內差旅及交通費-產業交流與參訪活動交通費※品名:遊覽車</t>
  </si>
  <si>
    <t>T201719</t>
  </si>
  <si>
    <t xml:space="preserve">T115UF010040   </t>
  </si>
  <si>
    <t>教學課程使用(執行計畫)F126土壤及岩石力學實驗室空間修繕(照明燈具更換)※品名:4尺雙管輕鋼架燈</t>
  </si>
  <si>
    <t>T201737</t>
  </si>
  <si>
    <t xml:space="preserve">T115UD020064   </t>
  </si>
  <si>
    <t>辦理躍升計畫資料影印膠裝※品名:影印</t>
  </si>
  <si>
    <t>T201739</t>
  </si>
  <si>
    <t xml:space="preserve">T115UD020060   </t>
  </si>
  <si>
    <t>邀請中研院林于玲博士蒞系演講交通費</t>
  </si>
  <si>
    <t xml:space="preserve">T115UD020063   </t>
  </si>
  <si>
    <t>邀請養心心理治療所江柏均蒞系演講交通費</t>
  </si>
  <si>
    <t>T300644</t>
  </si>
  <si>
    <t xml:space="preserve">T115UD030109   </t>
  </si>
  <si>
    <t>1150330電通系舉辦115年太空產業供應鏈暨網通產業新興飛揚計畫-5G垂直應用實務工作坊邀請講師華電聯網秦榕嬪經理之鐘點費</t>
  </si>
  <si>
    <t xml:space="preserve">T115UD020061   </t>
  </si>
  <si>
    <t>邀請養心心理治療所江柏均蒞系演講</t>
  </si>
  <si>
    <t xml:space="preserve">T115UD020059   </t>
  </si>
  <si>
    <t>邀請中研院林于玲博士蒞系演講鐘點費</t>
  </si>
  <si>
    <t xml:space="preserve">T115UR010102   </t>
  </si>
  <si>
    <t>航技系115年4月13日邀請中鋼運通股份有限公司江欣澄管理師蒞校進行航運講座(講題內容:海法二三事)</t>
  </si>
  <si>
    <t xml:space="preserve">T115UR010103   </t>
  </si>
  <si>
    <t>航技系115年3月31日邀請光明海運船務部王鳳明協理蒞校進行航運講座(講題內容:守護碧海藍天-探討海員在預防溢海事故中的核心地位)</t>
  </si>
  <si>
    <t>T201754</t>
  </si>
  <si>
    <t xml:space="preserve">T115UO040039   </t>
  </si>
  <si>
    <t>誤餐費-115/04/19產業交流與參訪暨 校外教學晚餐誤餐費(42人)※品名:便當</t>
  </si>
  <si>
    <t xml:space="preserve">T115UH530041   </t>
  </si>
  <si>
    <t>影印資料用※品名:影印</t>
  </si>
  <si>
    <t>董玉娟</t>
  </si>
  <si>
    <t xml:space="preserve">T115UF010043   </t>
  </si>
  <si>
    <t>補助學生參加競賽的住宿費※品名:住宿費</t>
  </si>
  <si>
    <t xml:space="preserve">T115UT000081   </t>
  </si>
  <si>
    <t>智慧商務系 購入辦公用品 文具一批※品名:文具附明細</t>
  </si>
  <si>
    <t>T201756</t>
  </si>
  <si>
    <t xml:space="preserve">T115UH530029   </t>
  </si>
  <si>
    <t>支付陳儀蓉老師4/9(四)13:20-16:20統一企業參訪車資費用※品名:車資</t>
  </si>
  <si>
    <t xml:space="preserve">T115UO040038   </t>
  </si>
  <si>
    <t>誤餐費-115/04/19產業交流與參訪暨 校外教學午餐誤餐費(42人)※品名:便當</t>
  </si>
  <si>
    <t>T201781</t>
  </si>
  <si>
    <t xml:space="preserve">T115UT030045   </t>
  </si>
  <si>
    <t>T201791</t>
  </si>
  <si>
    <t xml:space="preserve">T115UT030039   </t>
  </si>
  <si>
    <t xml:space="preserve">T115UT030040   </t>
  </si>
  <si>
    <t>財稅系姚名鴻老師教學教材製作用訂閱NotebookLM軟體使用費115年3月份※品名:軟體使用費</t>
  </si>
  <si>
    <t>T201822</t>
  </si>
  <si>
    <t xml:space="preserve">T115UT000084   </t>
  </si>
  <si>
    <t>智商系支援廖奕雯老師教學/研究所需採購電腦周邊電子配件等支出※品名:記憶卡(512GB SDXC)、多功能集線器、固態硬碟(512GB)、無線鍵盤滑鼠組、充電器100W、行動硬碟(2.5" 1TB)</t>
  </si>
  <si>
    <t>T201824</t>
  </si>
  <si>
    <t xml:space="preserve">T115UM760073   </t>
  </si>
  <si>
    <t>付115.04.24觀光系陳光華老師配合躍升計畫執行地方創生課程帶碩專班學生至台南關子嶺校外參訪所需之交通費用。※品名:車資</t>
  </si>
  <si>
    <t>T201828</t>
  </si>
  <si>
    <t xml:space="preserve">T115UT000085   </t>
  </si>
  <si>
    <t>智商系支援廖奕雯老師教學/研究所需採購實驗文具用品暨資料儲存媒體等支出※品名:延長線(2.7米)、充電電池8入、標籤帶12MM、行動硬碟(512GB)</t>
  </si>
  <si>
    <t>T201877</t>
  </si>
  <si>
    <t xml:space="preserve">T115UR010121   </t>
  </si>
  <si>
    <t>航技系115年4月28日邀請裕品實業股份有限公司陳明泰先生蒞校進行航運講座(講座內容:離岸風場海洋汙染緊急應變計劃)</t>
  </si>
  <si>
    <t>T300657</t>
  </si>
  <si>
    <t xml:space="preserve">T115UR030049   </t>
  </si>
  <si>
    <t>旗津校區/海資系/系所躍升計畫4月份工讀金－陳韋安、李知學</t>
  </si>
  <si>
    <t>T201885</t>
  </si>
  <si>
    <t xml:space="preserve">T115UH530040   </t>
  </si>
  <si>
    <t>支付人資系陳儀蓉老師115年電腦周邊設備費用※品名:軟體使用費</t>
  </si>
  <si>
    <t>T201913</t>
  </si>
  <si>
    <t xml:space="preserve">T115UJ020070   </t>
  </si>
  <si>
    <t>應日系實務專題暨交換留學抵免說明會所使用之餐費。時間:115/4/29 12:00-15:00，人數:5人，名單:林蕙美、齋美智子、陳佩君、王苡如、藍光芸※品名:餐費</t>
  </si>
  <si>
    <t>T201951</t>
  </si>
  <si>
    <t xml:space="preserve">T115UE150070   </t>
  </si>
  <si>
    <t>系所文具耗材請購※品名:4孔夾、11孔資料補充內帶、彩色長尾夾、修正內帶、膠水、螢光膠帶、泡棉膠帶、A4護貝膠膜、A4板夾、大公文封(10人)、立體牛皮公文封(10人)、中性筆、鋼珠筆、自動鉛筆芯、奇異筆、螢光筆、白板筆卡水、白板擦、削筆機、利貼、索引片、環保隨意貼、A4電腦標籤、夾鏈袋、切割墊、無痕掛勾、商品標示架</t>
  </si>
  <si>
    <t>T201967</t>
  </si>
  <si>
    <t xml:space="preserve">T115UH530048   </t>
  </si>
  <si>
    <t>學術研究及教學使用之書籍、文具、資訊設備及軟體等※品名:螢光筆</t>
  </si>
  <si>
    <t>T201992</t>
  </si>
  <si>
    <t xml:space="preserve">T115UN040060   </t>
  </si>
  <si>
    <t>B511 許軒老師 拆除工程※品名:拆除工程</t>
  </si>
  <si>
    <t>T202031</t>
  </si>
  <si>
    <t xml:space="preserve">T115UQ040056   </t>
  </si>
  <si>
    <t>執行計畫-精密儀器曝氣捕捉裝置耗材 (財編：3100908-49-2000001)※品名:曝氣管含套頭</t>
  </si>
  <si>
    <t>1150521</t>
  </si>
  <si>
    <t>T202088</t>
  </si>
  <si>
    <t xml:space="preserve">T115UT030047   </t>
  </si>
  <si>
    <t>T202089</t>
  </si>
  <si>
    <t xml:space="preserve">T115UD020078   </t>
  </si>
  <si>
    <t>辦理躍升計畫課程相關資料輸出※品名:複印費</t>
  </si>
  <si>
    <t>T202093</t>
  </si>
  <si>
    <t xml:space="preserve">T115UQ040055   </t>
  </si>
  <si>
    <t>執行計畫-堆肥實驗用耗材乙批※品名:五金(三花棉紗手套)、五金(鐵柄叉鋤)、五金(木工鋸)、五金(虎牙修剪鋸)</t>
  </si>
  <si>
    <t>1150522</t>
  </si>
  <si>
    <t>T202117</t>
  </si>
  <si>
    <t xml:space="preserve">T115UH530049   </t>
  </si>
  <si>
    <t>報支躍升計畫用教學軟體使用費、影印費、文具一批※品名:3月份GAMMA、GAMMA(一年期)、GAMMA(一年期)國外交易手續費、影印費、影印膠裝、文具</t>
  </si>
  <si>
    <t>510301-2706佣金、匯費、經理費及手續費</t>
  </si>
  <si>
    <t xml:space="preserve">T115UD030123   </t>
  </si>
  <si>
    <t>電通系電腦教室記憶體更新※品名:8GB記憶體</t>
  </si>
  <si>
    <t xml:space="preserve">T115UV000060   </t>
  </si>
  <si>
    <t>(楠梓-商資系)業界專家專題講座誤餐費7320元。(115年4月29日10:30-12:00，61人)※品名:便當</t>
  </si>
  <si>
    <t xml:space="preserve">T115UT000087   </t>
  </si>
  <si>
    <t>智慧商務系 購入4孔夾 辦公用※品名:4孔夾</t>
  </si>
  <si>
    <t>T202149</t>
  </si>
  <si>
    <t xml:space="preserve">T115UQ040060   </t>
  </si>
  <si>
    <t>執行計畫-實驗資料數據等儲存、野外樣品數據採集使用(環境有機分析實驗室)※品名:OTG隨身碟、記憶卡</t>
  </si>
  <si>
    <t>T202150</t>
  </si>
  <si>
    <t xml:space="preserve">T115UQ040061   </t>
  </si>
  <si>
    <t>執行計畫-實驗野外採樣儀器使用、成果發表及實驗線上會議使用(環境有機分析實驗室)※品名:USB外充變壓器、TYPE C TOC傳輸線、羅技視訊攝影機</t>
  </si>
  <si>
    <t>T300740</t>
  </si>
  <si>
    <t xml:space="preserve">T115UP040042   </t>
  </si>
  <si>
    <t>114-2會資系專題講座吳昇翰講師鐘點費</t>
  </si>
  <si>
    <t xml:space="preserve">T115UH530053   </t>
  </si>
  <si>
    <t>報支躍升計畫115/5/10專題講座黃瓊儀講師鐘點費</t>
  </si>
  <si>
    <t>T202211</t>
  </si>
  <si>
    <t>510301-4401船租</t>
  </si>
  <si>
    <t xml:space="preserve">T115UQ040072   </t>
  </si>
  <si>
    <t>執行實驗計畫用-台中港租船採樣費用※品名:大瀚2號工作船台中港區採水(含稅)</t>
  </si>
  <si>
    <t>T202242</t>
  </si>
  <si>
    <t xml:space="preserve">T115UE150089   </t>
  </si>
  <si>
    <t xml:space="preserve">T115UF010044   </t>
  </si>
  <si>
    <t>補助學生陳修毅、王彥鈞參加競賽的材料費※品名:材料費</t>
  </si>
  <si>
    <t>T202252</t>
  </si>
  <si>
    <t xml:space="preserve">T115UV000072   </t>
  </si>
  <si>
    <t>(楠梓-商資系-躍升計畫)115.05.13企業參訪校外教學遊覽車資。(參訪地點：南投辰光能源科技，參訪師生數：31人)※品名:車資</t>
  </si>
  <si>
    <t>T300787</t>
  </si>
  <si>
    <t xml:space="preserve">T115UC110100   </t>
  </si>
  <si>
    <t>協助躍升計畫執行工讀金-王博毅</t>
  </si>
  <si>
    <t>1150527</t>
  </si>
  <si>
    <t>T202270</t>
  </si>
  <si>
    <t xml:space="preserve">T115UE720094   </t>
  </si>
  <si>
    <t>木芯板:實驗室空間分隔使用
角材:實驗室空間分隔使用
合板:實驗室空間分隔使用※品名:五金耗材(木芯板等)</t>
  </si>
  <si>
    <t>T202274</t>
  </si>
  <si>
    <t xml:space="preserve">T115UC110105   </t>
  </si>
  <si>
    <t>執行躍升計畫-日間部專題競賽工作會議餐費※品名:餐費</t>
  </si>
  <si>
    <t xml:space="preserve">T115UT000091   </t>
  </si>
  <si>
    <t>智商系建工系辦公務用文具品支出※品名:公文封</t>
  </si>
  <si>
    <t>T202280</t>
  </si>
  <si>
    <t xml:space="preserve">T115UT000083   </t>
  </si>
  <si>
    <t>智商系支援侯易佑老師教學/研究所需採購實驗用品暨文具品等支出※品名:AI翻譯機、血壓感測器、變壓器、文具品</t>
  </si>
  <si>
    <t>T202281</t>
  </si>
  <si>
    <t xml:space="preserve">T115UQ010085   </t>
  </si>
  <si>
    <t>受款人：興林電子實業有限公司，電工學實驗課程材料費※品名:MO電阻 2w-50Ω、MO電阻 2w-100Ω、MO電阻 2w-200Ω、保險絲 20mm 0.5A</t>
  </si>
  <si>
    <t xml:space="preserve">T115UM740038   </t>
  </si>
  <si>
    <t>配合躍升計畫, 舉辦活動講者筆電投影所需用之集線器※品名:5合一多功能集線器</t>
  </si>
  <si>
    <t>T202282</t>
  </si>
  <si>
    <t xml:space="preserve">T115UF090082   </t>
  </si>
  <si>
    <t>機電工程系學生實務專題實驗用-3D列印線材※品名:3D列印線材</t>
  </si>
  <si>
    <t xml:space="preserve">T115UF090083   </t>
  </si>
  <si>
    <t>機電工程系學生實務專題實驗用-軸承※品名:軸承</t>
  </si>
  <si>
    <t xml:space="preserve">T115UF090084   </t>
  </si>
  <si>
    <t>機電工程系學生實務專題實驗用-SUS螺絲※品名:軸承</t>
  </si>
  <si>
    <t xml:space="preserve">T115UF090085   </t>
  </si>
  <si>
    <t>機電工程系學生實務專題實驗用-ESP32開發板※品名:ESP32開發板</t>
  </si>
  <si>
    <t xml:space="preserve">T115UF090086   </t>
  </si>
  <si>
    <t>機電工程系學生實務專題實驗用-語音辨識控制模組、大扭力舵機、16路PWM...等※品名:語音辨識控制模組、大扭力舵機...等</t>
  </si>
  <si>
    <t xml:space="preserve">T115UF090088   </t>
  </si>
  <si>
    <t>T202309</t>
  </si>
  <si>
    <t xml:space="preserve">T115US020102   </t>
  </si>
  <si>
    <t>水食工廠用※品名:鱷魚超完美(BAIT)、IRIS全罩式水管車</t>
  </si>
  <si>
    <t>T300791</t>
  </si>
  <si>
    <t xml:space="preserve">T115UQ010080   </t>
  </si>
  <si>
    <t>115年5月13日專題演講黃良田正訓練師專題演講鐘點費</t>
  </si>
  <si>
    <t>T300794</t>
  </si>
  <si>
    <t xml:space="preserve">T115UR030070   </t>
  </si>
  <si>
    <t>旗津校區/海資系/系所躍升計畫5月份工讀金－陳韋安、李知學</t>
  </si>
  <si>
    <t>T300800</t>
  </si>
  <si>
    <t xml:space="preserve">T115US040041   </t>
  </si>
  <si>
    <t>承恩-4月份臨時工資</t>
  </si>
  <si>
    <t>T300801</t>
  </si>
  <si>
    <t xml:space="preserve">T115UR030058   </t>
  </si>
  <si>
    <t>旗津校區/海資系/系所躍升計畫5月份工讀金－艾哲偉</t>
  </si>
  <si>
    <t>T202398</t>
  </si>
  <si>
    <t xml:space="preserve">T115UE150071   </t>
  </si>
  <si>
    <t>購買辦公室椅子。※品名:辦公椅</t>
  </si>
  <si>
    <t xml:space="preserve">T115UE150072   </t>
  </si>
  <si>
    <t>購買隨身碟供儲存教學研究資料用。※品名:SanDisk</t>
  </si>
  <si>
    <t>510301-3202報章什誌</t>
  </si>
  <si>
    <t xml:space="preserve">T115UE150075   </t>
  </si>
  <si>
    <t>購買教學相關之參考書籍。※品名:教學參考用書</t>
  </si>
  <si>
    <t xml:space="preserve">T115UE150078   </t>
  </si>
  <si>
    <t>購買3C※品名:集線器與保護套</t>
  </si>
  <si>
    <t>T202420</t>
  </si>
  <si>
    <t xml:space="preserve">T115UC110106   </t>
  </si>
  <si>
    <t>躍升計畫執行-日間部專題競賽書審資料印製與送審郵資。※品名:印刷費、郵資</t>
  </si>
  <si>
    <t xml:space="preserve">T115UC110115   </t>
  </si>
  <si>
    <t>執行躍升計畫-辦理IBET研討會籌備工作會議-餐費※品名:便當</t>
  </si>
  <si>
    <t xml:space="preserve">T115UC110121   </t>
  </si>
  <si>
    <t>執行躍升計畫-辦理IBET研討會籌備工作會議5/21-餐費※品名:便當</t>
  </si>
  <si>
    <t xml:space="preserve">T115UM740046   </t>
  </si>
  <si>
    <t>配合躍升計畫, 舉辦活動講者iPad所需用之手寫筆※品名:手寫筆</t>
  </si>
  <si>
    <t>T202422</t>
  </si>
  <si>
    <t xml:space="preserve">T115UQ010075   </t>
  </si>
  <si>
    <t>115年4月28日專題演講蔡孟汎總經理交通費</t>
  </si>
  <si>
    <t xml:space="preserve">T115UQ010078   </t>
  </si>
  <si>
    <t>115年5月5日專題演講張家溥工程師交通費</t>
  </si>
  <si>
    <t xml:space="preserve">T115UQ010079   </t>
  </si>
  <si>
    <t>115年5月13日專題演講黃良田正訓練師交通費(起訖地點公里數：65.2公里，合計65.2公里*2次*3元/公里=391.2元)</t>
  </si>
  <si>
    <t xml:space="preserve">T115UV000068   </t>
  </si>
  <si>
    <t>(楠梓-商資系-躍升計畫)業界專家專題講座交通2400元
(115年4月29日，高鐵新竹-左營，來回)</t>
  </si>
  <si>
    <t>T202423</t>
  </si>
  <si>
    <t xml:space="preserve">T115UV000075   </t>
  </si>
  <si>
    <t>(楠梓-商資系-躍升計畫)115.05.13企業參訪校外教學保險費。(參訪地點：南投辰光能源科技，學生數：27人)※品名:保險費</t>
  </si>
  <si>
    <t xml:space="preserve">T115UF010066   </t>
  </si>
  <si>
    <t>維修電腦(財產編號:3140101-03-5008922)，執行計畫用※品名:記憶體(美光DDR4 3200 8GB)</t>
  </si>
  <si>
    <t>T202425</t>
  </si>
  <si>
    <t xml:space="preserve">T115UQ040077   </t>
  </si>
  <si>
    <t>執行計畫用-空氣感測器耗材(開發板)※品名:(Pi 4/2G)樹莓派 Raspberry Pi 4 Mo del B/2GB 開發板、稅額</t>
  </si>
  <si>
    <t>T300831</t>
  </si>
  <si>
    <t xml:space="preserve">T115UQ010077   </t>
  </si>
  <si>
    <t>115年5月5日專題演講張家溥工程師鐘點費</t>
  </si>
  <si>
    <t xml:space="preserve">T115UQ010074   </t>
  </si>
  <si>
    <t>115年4月28日專題演講蔡孟汎總經理鐘點費</t>
  </si>
  <si>
    <t xml:space="preserve">T115UV000066   </t>
  </si>
  <si>
    <t>(楠梓-商資系-躍升計畫)業界專家專題講座鐘點費4000元
(115年4月29日，10:30-12:00，12:10-13:10，黃維毓工程師)</t>
  </si>
  <si>
    <t>T202500</t>
  </si>
  <si>
    <t xml:space="preserve">T115UE720103   </t>
  </si>
  <si>
    <t>研究資料收集與分析:ESG揭露與GRI V.S. TCFD V.S. SASB V.S. ISSB V.S. IFRS整合※品名:研究資料收集與分析:ESG揭露與GRI V.S. TCFD V.S. SASB V.S. ISSB V.S. IFRS整合</t>
  </si>
  <si>
    <t>T300844</t>
  </si>
  <si>
    <t xml:space="preserve">T115UH530057   </t>
  </si>
  <si>
    <t>報支躍升計畫115/5/21專題講座黃瓊儀講師鐘點費</t>
  </si>
  <si>
    <t>1150608</t>
  </si>
  <si>
    <t>T202550</t>
  </si>
  <si>
    <t xml:space="preserve">T115UT030046   </t>
  </si>
  <si>
    <t>財稅系補助學生參加校外競賽「2026全國大專財富管理競賽」報名費</t>
  </si>
  <si>
    <t>T202561</t>
  </si>
  <si>
    <t xml:space="preserve">T115UN040104   </t>
  </si>
  <si>
    <t>AI認證工作坊與證照補助款-影印費※品名:影印費</t>
  </si>
  <si>
    <t xml:space="preserve">T115UQ010082   </t>
  </si>
  <si>
    <t>115年5月12日專題演講盧建仲主任交通費</t>
  </si>
  <si>
    <t xml:space="preserve">T115UQ010104   </t>
  </si>
  <si>
    <t>受款人：睿朱數位電商股份有限公司，執行計畫用※品名:彩色影印費</t>
  </si>
  <si>
    <t>T202573</t>
  </si>
  <si>
    <t xml:space="preserve">T115UR010155   </t>
  </si>
  <si>
    <t>114-2學期四技專題實務課程成果報告展示海報製作。※品名:海報</t>
  </si>
  <si>
    <t xml:space="preserve">T115UT030050   </t>
  </si>
  <si>
    <t>財稅系姚名鴻老師教學研究材料製作用訂閱ChatGPT Plus Subscription軟體使用費115年3月份※品名:軟體使用費</t>
  </si>
  <si>
    <t>T300870</t>
  </si>
  <si>
    <t xml:space="preserve">T115UQ010081   </t>
  </si>
  <si>
    <t>115年5月12日專題演講盧建仲主任鐘點費</t>
  </si>
  <si>
    <t>T300905</t>
  </si>
  <si>
    <t xml:space="preserve">T115UQ010106   </t>
  </si>
  <si>
    <t>115年5月26日專題演講吳俊概博士鐘點費</t>
  </si>
  <si>
    <t xml:space="preserve">T115UD020108   </t>
  </si>
  <si>
    <t>邀請安泰醫院潘炫嘉治療師蒞系演講鐘點費</t>
  </si>
  <si>
    <t xml:space="preserve">T115UD020112   </t>
  </si>
  <si>
    <t>邀請瑞薩電子吳昌諭博士蒞系演講鐘點費</t>
  </si>
  <si>
    <t>T202778</t>
  </si>
  <si>
    <t xml:space="preserve">T115UC110124   </t>
  </si>
  <si>
    <t>執行躍升計畫-辦理IBET研討會用印刷品-彩色布條、手冊影印※品名:彩色布條、影印</t>
  </si>
  <si>
    <t xml:space="preserve">T115UC110125   </t>
  </si>
  <si>
    <t>執行躍升計畫-辦理IBET研討會5/28-餐費.便當※品名:餐費、便當</t>
  </si>
  <si>
    <t xml:space="preserve">T115UB000225   </t>
  </si>
  <si>
    <t>製作專題實驗用器材※品名:無線鍵盤</t>
  </si>
  <si>
    <t xml:space="preserve">T115UE150104   </t>
  </si>
  <si>
    <t>後端系統介接開發與測試服務(產學合作測試使用)。※品名:後端系統串接服務 (含國外交易服務費)</t>
  </si>
  <si>
    <t xml:space="preserve">T115UQ040079   </t>
  </si>
  <si>
    <t>執行計畫-空氣感測器資料儲存記憶卡※品名:SanDisk High Endurance MicroSD 64G (記憶卡)(含稅)</t>
  </si>
  <si>
    <t>T202779</t>
  </si>
  <si>
    <t xml:space="preserve">T115UP040041   </t>
  </si>
  <si>
    <t>會資系1150430專題講座餐盒※品名:餐盒</t>
  </si>
  <si>
    <t>T300926</t>
  </si>
  <si>
    <t xml:space="preserve">T115UJ030043   </t>
  </si>
  <si>
    <t>付奧地利台北辦事處處長何士誠專家專題演講演講費</t>
  </si>
  <si>
    <t>外語學院應用德語系</t>
  </si>
  <si>
    <t>T202808</t>
  </si>
  <si>
    <t xml:space="preserve">T115UM740047   </t>
  </si>
  <si>
    <t>配合躍升計畫, 系上於115.05.27舉辦114.2實務專題(一)期末報告師長, 報告人與工作人員便當※品名:便當</t>
  </si>
  <si>
    <t xml:space="preserve">T115UP010101   </t>
  </si>
  <si>
    <t>金融系黃信嘉老師租用線上翻譯軟體費用(2026.05.01-2027.04.30)※品名:線上翻譯軟體租用費</t>
  </si>
  <si>
    <t>T202819</t>
  </si>
  <si>
    <t xml:space="preserve">T115US040046   </t>
  </si>
  <si>
    <t>115年5月6日及5月13日林家豪副教授至台北參加115生物安全管理人員訓練課程，高鐵:左營-台北來回</t>
  </si>
  <si>
    <t>T300957</t>
  </si>
  <si>
    <t xml:space="preserve">T115UO040087   </t>
  </si>
  <si>
    <t>工讀費(杜心彤)外籍</t>
  </si>
  <si>
    <t>戴堯種</t>
  </si>
  <si>
    <t>T202876</t>
  </si>
  <si>
    <t xml:space="preserve">T115UO040069   </t>
  </si>
  <si>
    <t>2026研討會差旅費高鐵台中左營來回(杜光玉)</t>
  </si>
  <si>
    <t xml:space="preserve">T115UQ010107   </t>
  </si>
  <si>
    <t>115年5月26日專題演講吳俊概博士交通費</t>
  </si>
  <si>
    <t xml:space="preserve">T115UQ010097   </t>
  </si>
  <si>
    <t>115年5月19日專題演講羅智勳副理交通費</t>
  </si>
  <si>
    <t xml:space="preserve">T115UD020118   </t>
  </si>
  <si>
    <t>邀請瑞薩電子吳昌諭博士蒞系演講交通費</t>
  </si>
  <si>
    <t>T202877</t>
  </si>
  <si>
    <t xml:space="preserve">T115UO040075   </t>
  </si>
  <si>
    <t>2026研討會餐費(50個)※品名:餐費</t>
  </si>
  <si>
    <t>T202891</t>
  </si>
  <si>
    <t xml:space="preserve">T115UQ040084   </t>
  </si>
  <si>
    <t>因教學研究用實驗耗材。※品名:鍊特異性原核轉錄組定序含分析10M、定序不分析10G</t>
  </si>
  <si>
    <t>T202954</t>
  </si>
  <si>
    <t xml:space="preserve">T115UC450072   </t>
  </si>
  <si>
    <t>辦理2026金融科技研討會-膳費&amp;茶水費※品名:餐盒、紅茶</t>
  </si>
  <si>
    <t>T202955</t>
  </si>
  <si>
    <t xml:space="preserve">T115UB000232   </t>
  </si>
  <si>
    <t>進無塵室製作專題使用耗材※品名:防化靴、C級鞋套、分裝罐</t>
  </si>
  <si>
    <t>T202956</t>
  </si>
  <si>
    <t xml:space="preserve">T115UQ040082   </t>
  </si>
  <si>
    <t>執行計畫用-12V150Ah鋰離子LifePO4電池(用於確保感測器即時回傳連線穩定)※品名:12V戶外電池12V150Ah鋰離子LifePO4電池(含賣家折扣及營業稅)</t>
  </si>
  <si>
    <t>T300960</t>
  </si>
  <si>
    <t xml:space="preserve">T115UQ010096   </t>
  </si>
  <si>
    <t>115年5月19日專題演講羅智勳副理鐘點費</t>
  </si>
  <si>
    <t xml:space="preserve">T115UQ010114   </t>
  </si>
  <si>
    <t>115年6月2日專題演講陳邦富教授鐘點費</t>
  </si>
  <si>
    <t xml:space="preserve">T115UD020127   </t>
  </si>
  <si>
    <t>產諮會委員出席費-姚賀騰等4人</t>
  </si>
  <si>
    <t>T203017</t>
  </si>
  <si>
    <t xml:space="preserve">T115UE150105   </t>
  </si>
  <si>
    <t>Claude AI-AI開發工具，協助程式開發使用。※品名:Claude AI 使用費(含國外交易服務費)</t>
  </si>
  <si>
    <t>T300969</t>
  </si>
  <si>
    <t xml:space="preserve">T115UV000094   </t>
  </si>
  <si>
    <t>(楠梓-躍升計畫-商資系)114學年度第2學期實務專題期中發表評審委員-張明德企劃總監
日期：115年6月2日
組數：17組(每組約588元)</t>
  </si>
  <si>
    <t>1150625</t>
  </si>
  <si>
    <t>T203023</t>
  </si>
  <si>
    <t xml:space="preserve">T115UO010154   </t>
  </si>
  <si>
    <t>海上保險業師講座-船體保險理論與條款分析-周友德交通費(曾文瑞)</t>
  </si>
  <si>
    <t>T203024</t>
  </si>
  <si>
    <t xml:space="preserve">T115UD020109   </t>
  </si>
  <si>
    <t>邀請安泰醫院潘炫嘉治療師蒞系演講交通費</t>
  </si>
  <si>
    <t>T203055</t>
  </si>
  <si>
    <t xml:space="preserve">T115UD020106   </t>
  </si>
  <si>
    <t>B507實驗室製作專題之電子零件材料※品名:無線發射模組等、電子零件一批(明細如出貨單)、CN3722太陽能多功能、ESP32開發板 WIFI+藍芽模組</t>
  </si>
  <si>
    <t xml:space="preserve">T115UH530070   </t>
  </si>
  <si>
    <t>支付陳儀蓉老師文具用品費※品名:標籤紙</t>
  </si>
  <si>
    <t xml:space="preserve">T115UV000096   </t>
  </si>
  <si>
    <t>(楠梓-商資系-躍升計畫)114學年度第2學期實務專題期中發表誤餐費(115年6月9日8:30-12:30)※品名:便當</t>
  </si>
  <si>
    <t xml:space="preserve">T115UQ010117   </t>
  </si>
  <si>
    <t>受款人：詠鑫企業社，造船一甲、造船一乙、造船進修一工廠實習課程材料費※品名:電焊條</t>
  </si>
  <si>
    <t xml:space="preserve">T115UD020119   </t>
  </si>
  <si>
    <t>B507實驗室製作專題零件材料※品名:玻纖雙面感光板等、超迷你電容等、電解電容等、排針21MM等</t>
  </si>
  <si>
    <t xml:space="preserve">T115UD020120   </t>
  </si>
  <si>
    <t>B507實驗室製作專題零件材料※品名:橋式整流等、銀絲線、電池、穩壓等、角座等</t>
  </si>
  <si>
    <t xml:space="preserve">T115UE720116   </t>
  </si>
  <si>
    <t>DLT 2026數位生活科技研討會註冊費
Wifi 6 藍芽USB網卡※品名:DLT 2026數位生活科技研討會註冊費、Wifi 6 藍芽USB網卡</t>
  </si>
  <si>
    <t>T203072</t>
  </si>
  <si>
    <t xml:space="preserve">T115UE720083   </t>
  </si>
  <si>
    <t>差旅費:工管系-林伯鴻老師 事由：115/04/25至台中討論國科會計畫</t>
  </si>
  <si>
    <t>林伯鴻</t>
  </si>
  <si>
    <t>T203073</t>
  </si>
  <si>
    <t xml:space="preserve">T115UH530071   </t>
  </si>
  <si>
    <t>學術研究及教學使用之書籍、文具、資訊設備及軟體等※品名:100張圖搞懂AI人工智慧產業鏈、白話人工智慧、人工智慧基礎概論、自動鉛筆、書架、修正帶、剪刀、保護套、電池、紙黏土、保麗龍膠、修正替換帶、膠帶、磁鐵、彩色筆、強力磁鐵、中油筆、中性筆、書套</t>
  </si>
  <si>
    <t>T203074</t>
  </si>
  <si>
    <t xml:space="preserve">T115UT000102   </t>
  </si>
  <si>
    <t>智商系補助徐淑芳老師出席115/5/24 iCIMKC 2026第20屆創新.管理.知識社群國際研討會發表論文報名費核支※品名:研討會報名費</t>
  </si>
  <si>
    <t>T203076</t>
  </si>
  <si>
    <t xml:space="preserve">T115UH530077   </t>
  </si>
  <si>
    <t>教學與學術研究使用請購筆電、平板與訊號線。※品名:筆記型電腦</t>
  </si>
  <si>
    <t>周秝宸</t>
  </si>
  <si>
    <t xml:space="preserve">T115UP020059   </t>
  </si>
  <si>
    <t>115.6.12下午18:30-21:30邀請金融消費評議中心羅俊瑋總經理蒞校演講之交通費(高鐵-左營，台北來回)</t>
  </si>
  <si>
    <t>T301014</t>
  </si>
  <si>
    <t xml:space="preserve">T115UR030079   </t>
  </si>
  <si>
    <t>旗津校區/海資系/系所躍升計畫6月份工讀金－艾哲偉</t>
  </si>
  <si>
    <t>T301018</t>
  </si>
  <si>
    <t xml:space="preserve">T115UP020047   </t>
  </si>
  <si>
    <t>115.6.5下午13:30-16:30邀請界霖科技發言人吳念誼蒞校演講之演講費</t>
  </si>
  <si>
    <t xml:space="preserve">T115UO010153   </t>
  </si>
  <si>
    <t>海上保險業師講座-船體保險理論與條款分析-周友德演講費(曾文瑞)</t>
  </si>
  <si>
    <t xml:space="preserve">T115UV000093   </t>
  </si>
  <si>
    <t>(楠梓-躍升計畫-商資系)業師協同鐘點費
講者：張明德企劃總監
日期：115年5月21日
時間：13:30-16:30
講題：電商頁面製作與商品上架流程</t>
  </si>
  <si>
    <t xml:space="preserve">T115UE720194   </t>
  </si>
  <si>
    <t>差旅費:工管系-林伯鴻老師 事由：115/06/08至台北討論國科會計畫事宜</t>
  </si>
  <si>
    <t>1150702</t>
  </si>
  <si>
    <t>T203077</t>
  </si>
  <si>
    <t xml:space="preserve">T115UH530076   </t>
  </si>
  <si>
    <t>學術研究及教學使用之書籍、文具、資訊設備及軟體等※品名:樹酯、膠帶</t>
  </si>
  <si>
    <t xml:space="preserve">T115UC110123   </t>
  </si>
  <si>
    <t>執行躍升計畫-日間部專題競賽第二次工作會議餐費※品名:餐費</t>
  </si>
  <si>
    <t>T203083</t>
  </si>
  <si>
    <t xml:space="preserve">T115UH530079   </t>
  </si>
  <si>
    <t>教學與學術研究使用請購筆電、平板與訊號線※品名:平板電腦、usb-c高速訊號線</t>
  </si>
  <si>
    <t>T203123</t>
  </si>
  <si>
    <t xml:space="preserve">T115US030093   </t>
  </si>
  <si>
    <t>受款人：懷德生技化學股份有限公司｜執行計畫※品名:乳酸菌粉</t>
  </si>
  <si>
    <t>潘婕玉</t>
  </si>
  <si>
    <t>T301021</t>
  </si>
  <si>
    <t xml:space="preserve">T115UP020058   </t>
  </si>
  <si>
    <t>115.6.12下午18:30-21:30邀請金融消費評議中心羅俊瑋總經理蒞校演講之演講費</t>
  </si>
  <si>
    <t>T203180</t>
  </si>
  <si>
    <t xml:space="preserve">T115UC450085   </t>
  </si>
  <si>
    <t>金資專題講座-陳琮勛115.6.17交通費</t>
  </si>
  <si>
    <t>T301046</t>
  </si>
  <si>
    <t xml:space="preserve">T115UO040073   </t>
  </si>
  <si>
    <t>工讀費96小時(共12位，每位8小時)</t>
  </si>
  <si>
    <t>T301049</t>
  </si>
  <si>
    <t xml:space="preserve">T115UC450084   </t>
  </si>
  <si>
    <t>金資專題講座-陳琮勛115.6.17鐘點費</t>
  </si>
  <si>
    <t>1150709</t>
  </si>
  <si>
    <t>T203311</t>
  </si>
  <si>
    <t xml:space="preserve">T115UH530084   </t>
  </si>
  <si>
    <t>學術研究及教學使用之書籍、文具、資訊設備及軟體等※品名:膠水</t>
  </si>
  <si>
    <t>1150710</t>
  </si>
  <si>
    <t>T301057</t>
  </si>
  <si>
    <t xml:space="preserve">T115UM740054   </t>
  </si>
  <si>
    <t>配合躍升計畫執行, 115.06.06，18點30分至20點45分，邀請皇華材料科技(股)公司林鈺杰經營管理顧問蒞校專題演講，共2.5節課，每節課2,000元。</t>
  </si>
  <si>
    <t>1150712</t>
  </si>
  <si>
    <t xml:space="preserve">T115UE720202   </t>
  </si>
  <si>
    <t>柔軟精、洗衣膠囊:清洗3D列印抹布使用
錫箔紙:3D光固化之紫外光反射使用
吸塵器:3D列印粉塵吸收使用
燃油系統清潔劑:實驗車碳足跡量測使用
檢測費:電腦影碟檢測使用
隨身碟:上課資料儲存與編輯使用※品名:隨身碟、檢測費、燃油系統清潔劑、五金耗材(柔軟精等)</t>
  </si>
  <si>
    <t>T203340</t>
  </si>
  <si>
    <t xml:space="preserve">T115UM740081   </t>
  </si>
  <si>
    <t>配合躍升計畫, 提升碩士生研究能量, 碩士班研究生研究室電腦螢幕老舊汰舊換新※品名:顯示器</t>
  </si>
  <si>
    <t>T203372</t>
  </si>
  <si>
    <t xml:space="preserve">T115UE310079   </t>
  </si>
  <si>
    <t>教學研究耗材※品名:螺絲螺帽、壓克力板、塑鋼土等、電池等、鈦合金零件加工</t>
  </si>
  <si>
    <t>1150716</t>
  </si>
  <si>
    <t>T203485</t>
  </si>
  <si>
    <t xml:space="preserve">T115UQ040094   </t>
  </si>
  <si>
    <t>因教學研究用，送修及校正研究實驗設備。※品名:三口化驗龍頭維修、氣體偵測器校正</t>
  </si>
  <si>
    <t>T203486</t>
  </si>
  <si>
    <t xml:space="preserve">T115UE150111   </t>
  </si>
  <si>
    <t>系所文具耗材請購※品名:4孔夾、11孔資料袋100入、SDI 修正帶、SDI iPUSH輕鬆按修正帶替換帶、樹德桌上型資料櫃、力大牌 開放式雜誌盒、自強 環保強力夾(右中)、雄獅 口紅膠(22g)、3M OPP超透明膠帶48MM*40Y、四維鹿頭牌 PVC 布紋手撕膠帶48mm、鹿頭牌 雙面不殘膠布膠帶20MM、萬黏雙面膠18mmX7Y(6.4M)、3M 812 可再貼螢光4色標示膠帶、3M 無痕掛鉤 27001、3M 無痕中型掛勾替換膠條、3M 隱形膠帶附切台、手牌 壹指訂迷你3號訂書機、利百代 #90皮頭鉛筆（12入）、利百代 大印台、萬年紅印泥、3M 利貼狠黏便條紙、3M 前頭利貼標籤紙 684-SH、成功 2公分酒杯型超強力磁鐵、PLUS 旋轉雙面膠帶替帶、PLUS 旋轉雙面膠帶、3M 九色可再貼螢光標籤、3M 去污除膠清除劑、成功 A4軟性磁白板</t>
  </si>
  <si>
    <t xml:space="preserve">T115UE150112   </t>
  </si>
  <si>
    <t>研討會註冊費用請購※品名:115-FC-01 第31屆高性能計算及嵌入式編譯技術與系統軟體研討會(CTHPC 2026) #16</t>
  </si>
  <si>
    <t xml:space="preserve">T115UE150123   </t>
  </si>
  <si>
    <t>於第31屆高性能計算及嵌入式編譯技術與系統軟體研討會進行論文報告。2026/5/28於國立陽明交通大學舉辦。※品名:第31屆高性能計算及嵌入式編譯技術與系統軟體研討會</t>
  </si>
  <si>
    <t xml:space="preserve">T115UF010093   </t>
  </si>
  <si>
    <t>補助研究生陳宗益參加研討會的交通費</t>
  </si>
  <si>
    <t>T203487</t>
  </si>
  <si>
    <t xml:space="preserve">T115UF090128   </t>
  </si>
  <si>
    <t>機電工程系學生實務專題實驗用-圓鐵板※品名:圓鐵板</t>
  </si>
  <si>
    <t xml:space="preserve">T115UF090129   </t>
  </si>
  <si>
    <t>機電工程系學生實務專題實驗用-POLYWELL TYPEA-A※品名:POLYWELL TYPEA-A</t>
  </si>
  <si>
    <t xml:space="preserve">T115UF090130   </t>
  </si>
  <si>
    <t>機電工程系學生實務專題實驗用-單鍵繼電器模組※品名:單鍵繼電器模組</t>
  </si>
  <si>
    <t xml:space="preserve">T115UF090131   </t>
  </si>
  <si>
    <t>機電工程系學生實務專題實驗用-便粘扣帶※品名:便粘扣帶</t>
  </si>
  <si>
    <t xml:space="preserve">T115UF090132   </t>
  </si>
  <si>
    <t>機電工程系學生實務專題實驗用-電阻式薄膜壓力感測模組※品名:電阻式薄膜壓力感測模組</t>
  </si>
  <si>
    <t xml:space="preserve">T115UF090133   </t>
  </si>
  <si>
    <t>機電工程系學生實務專題實驗用-合板※品名:合板</t>
  </si>
  <si>
    <t xml:space="preserve">T115UF090134   </t>
  </si>
  <si>
    <t>機電工程系學生實務專題實驗用-杜邦線、陀螺儀※品名:杜邦線、陀螺儀</t>
  </si>
  <si>
    <t xml:space="preserve">T115UB000341   </t>
  </si>
  <si>
    <t>製作專題實驗用耗材※品名:黑蠟、玻璃注射器...等</t>
  </si>
  <si>
    <t>T203497</t>
  </si>
  <si>
    <t xml:space="preserve">T115UP030093   </t>
  </si>
  <si>
    <t>辦理2026博士生國際研討會支付主講人交通費-SING TIEN FOO</t>
  </si>
  <si>
    <t>T203528</t>
  </si>
  <si>
    <t xml:space="preserve">T115UH530074   </t>
  </si>
  <si>
    <t>執行系所躍升計畫之學術研究使用115.01-115.05 chatgpt※品名:chatgpt</t>
  </si>
  <si>
    <t>許淑寬</t>
  </si>
  <si>
    <t>T203530</t>
  </si>
  <si>
    <t xml:space="preserve">T115UP020064   </t>
  </si>
  <si>
    <t>115.6.16中午12:00-13:30召開第一次國際研討會籌備會議，共7人※品名:便當</t>
  </si>
  <si>
    <t xml:space="preserve">T115UP020065   </t>
  </si>
  <si>
    <t>115.6.17中午12:00-13:30辦理114學年度第2次系學生職場實習委員會議暨「風險管理與保險暑期實習」實習前講習會，共24人※品名:便當</t>
  </si>
  <si>
    <t xml:space="preserve">T115UP020066   </t>
  </si>
  <si>
    <t>115.6.18中午12:00-13:30召開第二次國際研討會籌備會議，共11人※品名:便當</t>
  </si>
  <si>
    <t xml:space="preserve">T115UP030119   </t>
  </si>
  <si>
    <t>辦理2026博士生管理研究國際研討會-影印費※品名:影印費</t>
  </si>
  <si>
    <t xml:space="preserve">T115UE720165   </t>
  </si>
  <si>
    <t>傳輸線:拉伸試驗機資料傳輸至電腦使用
電路板:拉伸試驗機之資料傳輸電板使用
荷重鎖:拉伸試驗機固定試件使用※品名:傳輸線&amp;電路板&amp;荷重鎖</t>
  </si>
  <si>
    <t>T301095</t>
  </si>
  <si>
    <t xml:space="preserve">T115UC110164   </t>
  </si>
  <si>
    <t>協助躍升計畫專題競賽活動工讀金-王博毅</t>
  </si>
  <si>
    <t>T301097</t>
  </si>
  <si>
    <t xml:space="preserve">T115UC450088   </t>
  </si>
  <si>
    <t>協助計畫執行臨時工作人員劉睿堉、許宸瑞、范宏章115年6月工讀金</t>
  </si>
  <si>
    <t>T301098</t>
  </si>
  <si>
    <t xml:space="preserve">T115UD020142   </t>
  </si>
  <si>
    <t>電子系(第一校區)辦理躍升計畫6月份臨時工資</t>
  </si>
  <si>
    <t>T301114</t>
  </si>
  <si>
    <t xml:space="preserve">T115UP030107   </t>
  </si>
  <si>
    <t>辦理2026台灣財務工程學會年會暨國際學術研討會-論文初審審查費-林智勇教授</t>
  </si>
  <si>
    <t>T301118</t>
  </si>
  <si>
    <t xml:space="preserve">T115UR030085   </t>
  </si>
  <si>
    <t>旗津校區/海資系/系所躍升計畫6月份工讀金－陳韋安、李知學、劉宥廷</t>
  </si>
  <si>
    <t>T301119</t>
  </si>
  <si>
    <t xml:space="preserve">T115US040076   </t>
  </si>
  <si>
    <t>浩民-6月系上工讀薪資</t>
  </si>
  <si>
    <t>T301122</t>
  </si>
  <si>
    <t xml:space="preserve">T115UV000103   </t>
  </si>
  <si>
    <t>(楠梓-躍升計畫-商資系)115年6月份計畫工讀生11名(雇用日期：1150618-1150620)</t>
  </si>
  <si>
    <t>T301123</t>
  </si>
  <si>
    <t xml:space="preserve">T115UV000113   </t>
  </si>
  <si>
    <t>(楠梓-躍升計畫-商資系)115年6月份計畫工讀生1名(雇用日期：1150618-1150620/沈佑芯)</t>
  </si>
  <si>
    <t>1150718</t>
  </si>
  <si>
    <t xml:space="preserve">T115UE720224   </t>
  </si>
  <si>
    <t>受款人:林伯鴻 用途:收集研究資料※品名:OpenAI</t>
  </si>
  <si>
    <t>T301131</t>
  </si>
  <si>
    <t xml:space="preserve">T115UP030116   </t>
  </si>
  <si>
    <t>115年6月工讀金-蔡佳妤</t>
  </si>
  <si>
    <t xml:space="preserve">T115UE310150   </t>
  </si>
  <si>
    <t>產學合作討論</t>
  </si>
  <si>
    <t>鄭瑞鴻</t>
  </si>
  <si>
    <t>T301134</t>
  </si>
  <si>
    <t xml:space="preserve">T115UR030087   </t>
  </si>
  <si>
    <t>旗津校區/海資系/系所躍升計畫6月份工讀金－(水+日+皿)鶴翔、梁峻浤</t>
  </si>
  <si>
    <t>T301135</t>
  </si>
  <si>
    <t xml:space="preserve">T115UP030136   </t>
  </si>
  <si>
    <t>115年6月工讀金-施怡安</t>
  </si>
  <si>
    <t>T301136</t>
  </si>
  <si>
    <t xml:space="preserve">T115UP030117   </t>
  </si>
  <si>
    <t>115年6月工讀金-呂宥萲</t>
  </si>
  <si>
    <t>T301137</t>
  </si>
  <si>
    <t xml:space="preserve">T115UP030115   </t>
  </si>
  <si>
    <t>115年6月工讀金-陳珮珊</t>
  </si>
  <si>
    <t>T301148</t>
  </si>
  <si>
    <t xml:space="preserve">T115UC110163   </t>
  </si>
  <si>
    <t>執行躍升計畫-教師社群專題演講費</t>
  </si>
  <si>
    <t>T301149</t>
  </si>
  <si>
    <t xml:space="preserve">T115UV000114   </t>
  </si>
  <si>
    <t>(楠梓-躍升計畫-商資系)115年7月份計畫工讀生3名(雇用日期：1150704-11500705/鄭沛函、錢家敏、蔡宜珊)</t>
  </si>
  <si>
    <t>T203629</t>
  </si>
  <si>
    <t xml:space="preserve">T115UP030120   </t>
  </si>
  <si>
    <t>辦理2026博士生管理研究國際研討會-文具用品※品名:文具用品</t>
  </si>
  <si>
    <t>T203666</t>
  </si>
  <si>
    <t xml:space="preserve">T115UM740085   </t>
  </si>
  <si>
    <t>配合躍升計畫, 購置活動用之耳機麥克風及存取資料之隨身碟※品名:耳機麥克風、128GB隨身碟</t>
  </si>
  <si>
    <t>T203680</t>
  </si>
  <si>
    <t xml:space="preserve">T115UP030111   </t>
  </si>
  <si>
    <t>6/18林楚雄老師參加2026FeAT研討會-交通費</t>
  </si>
  <si>
    <t xml:space="preserve">T115UE150093   </t>
  </si>
  <si>
    <t>補助學生-梁晨恩                                                                                              於第31屆高性能計算及嵌入式編譯技術與系統軟體研討會進行論文報告。2026/5/28於國立陽明交通大學舉辦。交通費</t>
  </si>
  <si>
    <t>T203681</t>
  </si>
  <si>
    <t xml:space="preserve">T115UV000109   </t>
  </si>
  <si>
    <t>(楠梓-商資系-躍升計畫)執行計畫用印刷費及文具費※品名:文宣印刷、海報印刷、A4泡棉珍珠板(黑)、背膠磁片、方形魔術帶、壓克力麥克筆、旋轉蠟筆</t>
  </si>
  <si>
    <t>T203682</t>
  </si>
  <si>
    <t xml:space="preserve">T115UE150131   </t>
  </si>
  <si>
    <t>學術研究所需文具費用※品名:文具</t>
  </si>
  <si>
    <t>T301184</t>
  </si>
  <si>
    <t xml:space="preserve">T115UM740083   </t>
  </si>
  <si>
    <t>配合躍升計畫執行, 115.06.27，13點30分至16點，邀請駱駝旅棧(股)公司楊凱智總經理蒞校專題演講，共2.5節課，每節課2,000元。</t>
  </si>
  <si>
    <t xml:space="preserve">T115UM740084   </t>
  </si>
  <si>
    <t>配合躍升計畫執行, 115.06.28，9點至11點30分，邀請順發電腦(股)公司吳錦昌董事長蒞校專題演講，共2.5節課，每節課2,000元。</t>
  </si>
  <si>
    <t xml:space="preserve">T115UE720225   </t>
  </si>
  <si>
    <t>無鉛汽油與柴油:碳盤查與碳足跡課程計算GWP值與驗證使用※品名:超級柴油、98無鉛汽油、95無鉛汽油</t>
  </si>
  <si>
    <t xml:space="preserve">T115UN010150   </t>
  </si>
  <si>
    <t>【躍升計畫】工讀金-115年8月黃羚蓁</t>
  </si>
  <si>
    <t xml:space="preserve">T115UN010151   </t>
  </si>
  <si>
    <t>【躍升計畫】工讀金-115年9月黃羚蓁</t>
  </si>
  <si>
    <t xml:space="preserve">T115UN010152   </t>
  </si>
  <si>
    <t>【躍升計畫】工讀金-115年8月許博畯</t>
  </si>
  <si>
    <t xml:space="preserve">T115UN010153   </t>
  </si>
  <si>
    <t>【躍升計畫】工讀金-115年10月許博畯</t>
  </si>
  <si>
    <t>T203755</t>
  </si>
  <si>
    <t xml:space="preserve">T115UN040105   </t>
  </si>
  <si>
    <t>AI認證工作坊與證照補助款-餐費※品名:4/26 餐費、飲料、5/2 餐費</t>
  </si>
  <si>
    <t>T203760</t>
  </si>
  <si>
    <t xml:space="preserve">T115UD020150   </t>
  </si>
  <si>
    <t>辦理躍升計畫製作專題資料輸出※品名:複印費等</t>
  </si>
  <si>
    <t xml:space="preserve">T115UC450090   </t>
  </si>
  <si>
    <t>研習/講座等講義印刷費※品名:印刷費</t>
  </si>
  <si>
    <t>T203762</t>
  </si>
  <si>
    <t xml:space="preserve">T115UH530088   </t>
  </si>
  <si>
    <t>執行系所躍升計畫之研究使用※品名:通訊器材</t>
  </si>
  <si>
    <t>T203779</t>
  </si>
  <si>
    <t xml:space="preserve">T115UQ010134   </t>
  </si>
  <si>
    <t>115年6月16日專題演講劉冠汶博士交通費</t>
  </si>
  <si>
    <t xml:space="preserve">T115UE310163   </t>
  </si>
  <si>
    <t>教學教具開發耗材※品名:場效電晶體模組、電源供應器、伺服馬達、軸承、端子、馬達、電池、開關、轉接頭、六角起子、影印、甲醇</t>
  </si>
  <si>
    <t xml:space="preserve">T115UE310160   </t>
  </si>
  <si>
    <t>研究用電腦零件升級※品名:主機板、電源供應器</t>
  </si>
  <si>
    <t xml:space="preserve">T115UE310162   </t>
  </si>
  <si>
    <t>教學教具開發耗材※品名:LCD面板、3D列印耗材</t>
  </si>
  <si>
    <t>1150731</t>
  </si>
  <si>
    <t xml:space="preserve">T115UE310168   </t>
  </si>
  <si>
    <t>實驗室藥箱藥品補充※品名:OK繃、3M透氣膠帶、沖洗用食鹽水、無菌棉棒</t>
  </si>
  <si>
    <t xml:space="preserve">T115UE310167   </t>
  </si>
  <si>
    <t>115年度多功能實習工廠核定之材料費※品名:工具箱</t>
  </si>
  <si>
    <t xml:space="preserve">T115UE720233   </t>
  </si>
  <si>
    <t>實驗用燃油:量測碳足跡實驗使用※品名:98無鉛汽油、95無鉛汽油</t>
  </si>
  <si>
    <t>T203881</t>
  </si>
  <si>
    <t xml:space="preserve">T115UV000119   </t>
  </si>
  <si>
    <t>(楠梓-商資系)114學年度「SPSS及SmartPLS教育訓練課程」(115年7月6日-7月7日，每日9:00-16:00)※品名:教育訓練費</t>
  </si>
  <si>
    <t>T301252</t>
  </si>
  <si>
    <t xml:space="preserve">T115UJ030057   </t>
  </si>
  <si>
    <t>付應德系系辦工讀生劉懿諠、鐘丹怡、曾景泓、魏文儀六月之工讀金。</t>
  </si>
  <si>
    <t>T203988</t>
  </si>
  <si>
    <t xml:space="preserve">T115UQ010137   </t>
  </si>
  <si>
    <t>受款人：洪文玲，公務用科技英文課程材料費※品名:Double A A4單線簿 方格內頁，藍色，3本、Double A A4單線簿 方格內頁，藍色，2本</t>
  </si>
  <si>
    <t xml:space="preserve">T115UB000311   </t>
  </si>
  <si>
    <t>製作專題實驗用耗材※品名:二月桂酸二丁基錫</t>
  </si>
  <si>
    <t xml:space="preserve">T115UB000313   </t>
  </si>
  <si>
    <t>製作專題實驗用耗材※品名:矽粉、碘化鉛</t>
  </si>
  <si>
    <t>T301258</t>
  </si>
  <si>
    <t xml:space="preserve">T115UQ010123   </t>
  </si>
  <si>
    <t>115年6月9日專題演講李孟學博士鐘點費</t>
  </si>
  <si>
    <t xml:space="preserve">T115UQ010133   </t>
  </si>
  <si>
    <t>115年6月16日專題演講劉冠汶博士鐘點費</t>
  </si>
  <si>
    <t>T301261</t>
  </si>
  <si>
    <t xml:space="preserve">T115UC110172   </t>
  </si>
  <si>
    <t>協助躍升計畫執行工讀金-周(棨-木+口)昇</t>
  </si>
  <si>
    <t xml:space="preserve">T115US040104   </t>
  </si>
  <si>
    <t>實驗耗材 S26080300001※品名:甲醇</t>
  </si>
  <si>
    <t>蘇豐傑</t>
  </si>
  <si>
    <t>T301281</t>
  </si>
  <si>
    <t xml:space="preserve">T115US040081   </t>
  </si>
  <si>
    <t>承恩-6月份臨時工資</t>
  </si>
  <si>
    <t>T400953</t>
  </si>
  <si>
    <t xml:space="preserve">T115UO040100- 1   </t>
  </si>
  <si>
    <t>補助教師申請專利用印表機※品名:印表機、原廠極高容量碳粉匣</t>
  </si>
  <si>
    <t>T204053</t>
  </si>
  <si>
    <t xml:space="preserve">T115UD020157   </t>
  </si>
  <si>
    <t>辦理躍升計畫學生專題成果資料膠裝※品名:膠裝</t>
  </si>
  <si>
    <t>T204074</t>
  </si>
  <si>
    <t xml:space="preserve">T115UP010140   </t>
  </si>
  <si>
    <t>金融系洪世偉老師研究室電源插座及集線器※品名:電源插座、集線器</t>
  </si>
  <si>
    <t xml:space="preserve">T115UE310190   </t>
  </si>
  <si>
    <t>實驗-耗材(支出分攤:B115014160、D115008300)※品名:應變規單KFGS-5-120-C1-11L1M3R、營業稅</t>
  </si>
  <si>
    <t>郭承憲</t>
  </si>
  <si>
    <t xml:space="preserve">T115UJ010220   </t>
  </si>
  <si>
    <t>(未)朱津瑩10月薪資</t>
  </si>
  <si>
    <t>T204152</t>
  </si>
  <si>
    <t xml:space="preserve">T115UE150151   </t>
  </si>
  <si>
    <t>碩士論文口試所需之餐飲費用。(實支2001元;併案:D115007074)※品名:便當</t>
  </si>
  <si>
    <t>T204158</t>
  </si>
  <si>
    <t xml:space="preserve">T115UB000314   </t>
  </si>
  <si>
    <t>製作專題實驗用耗材※品名:擦拭紙、洛克開關、焊錫...等、四氧化三鐵粉末</t>
  </si>
  <si>
    <t xml:space="preserve">T115UB000312   </t>
  </si>
  <si>
    <t>製作專題實驗用耗材※品名:彩色橡皮、自動原子筆...等、散熱片、正電壓可調IC...等、電解電容、碳膜電阻...等</t>
  </si>
  <si>
    <t xml:space="preserve">T115UB000310   </t>
  </si>
  <si>
    <t>製作專題實驗用※品名:防焊膠帶、保險絲...等、繼電器、實驗室使用費-材料分析(中山大學材光系)、儀器使用費(中山大學貴儀中心)</t>
  </si>
  <si>
    <t>510301-4302機械及設備租金</t>
  </si>
  <si>
    <t xml:space="preserve">T115UB000325   </t>
  </si>
  <si>
    <t>製作專題實驗用耗材※品名:PVC手套、平面口罩...等</t>
  </si>
  <si>
    <t xml:space="preserve">T115UB000326   </t>
  </si>
  <si>
    <t>製作專題實驗用※品名:印刷品(海報)</t>
  </si>
  <si>
    <t xml:space="preserve">T115UB000327   </t>
  </si>
  <si>
    <t>製作專題實驗用耗材※品名:珍珠板、瓦楞板...等、金箔色紙、壓克力卡架、白板擦...等、海報(印刷)</t>
  </si>
  <si>
    <t xml:space="preserve">T115UB000333   </t>
  </si>
  <si>
    <t>製作專題實驗用耗材※品名:碳鋅電池</t>
  </si>
  <si>
    <t xml:space="preserve">T115UB000318   </t>
  </si>
  <si>
    <t>製作專題實驗用耗材※品名:瓦楞板、奈米萬能黏貼片、無痕貼...等、磁性掛勾、無痕掛勾</t>
  </si>
  <si>
    <t xml:space="preserve">T115UB000319   </t>
  </si>
  <si>
    <t>製作專題實驗用器材※品名:分貝器、有線滑鼠</t>
  </si>
  <si>
    <t xml:space="preserve">T115UB000320   </t>
  </si>
  <si>
    <t>製作專題實驗用※品名:果汁筆、強力橡皮擦..等、原文書籍</t>
  </si>
  <si>
    <t>510301-2708加工費</t>
  </si>
  <si>
    <t xml:space="preserve">T115UB000321   </t>
  </si>
  <si>
    <t>製作專題實驗用※品名:晶片製作封裝(委託製作費)</t>
  </si>
  <si>
    <t>T204210</t>
  </si>
  <si>
    <t xml:space="preserve">T115UH530099   </t>
  </si>
  <si>
    <t>執行系所躍升計畫之研究使用※品名:SPSS操作與應用、影印等</t>
  </si>
  <si>
    <t xml:space="preserve">T115UQ040096   </t>
  </si>
  <si>
    <t>因教學研究用實驗藥品及場所管理所需，進行教育訓練證照培訓。※品名:特定化學物質作業主管訓練費</t>
  </si>
  <si>
    <t>T204214</t>
  </si>
  <si>
    <t xml:space="preserve">T115UB000322   </t>
  </si>
  <si>
    <t>製作專題實驗用※品名:影印、印刷品、數位型溫控烙</t>
  </si>
  <si>
    <t xml:space="preserve">T115UB000315   </t>
  </si>
  <si>
    <t>製作專題實驗用耗材※品名:乙二醇、PCB電路板、鋁箔膠帶</t>
  </si>
  <si>
    <t>T301328</t>
  </si>
  <si>
    <t xml:space="preserve">T115UD020183   </t>
  </si>
  <si>
    <t>電子系(第一校區)7月份臨時工謝家畯</t>
  </si>
  <si>
    <t xml:space="preserve">T115UE310223   </t>
  </si>
  <si>
    <t>115年度多功能實習工廠核定之材料費---CNC銑床(財編3070102-01-1000027)維修更換空壓管材※品名:空壓管材含工資</t>
  </si>
  <si>
    <t xml:space="preserve">T115UE150190   </t>
  </si>
  <si>
    <t>購買3C產品設備供教學研究使用。※品名:隨身碟、行動硬碟保護殼與集線器、外接硬碟與皮套</t>
  </si>
  <si>
    <t xml:space="preserve">T115UE310225   </t>
  </si>
  <si>
    <t>教學用※品名:影印</t>
  </si>
  <si>
    <t>模具系</t>
  </si>
  <si>
    <t xml:space="preserve">T115US040116   </t>
  </si>
  <si>
    <t>海生系_鄭至玉老師實驗室HEPA濾網更換，優化實驗室教學研究環境,並確保實習精準度與師生健康，財產編號：5010106-03；序號：2001864※品名:HEPA濾網</t>
  </si>
  <si>
    <t>鄭至玉</t>
  </si>
  <si>
    <t>T204220</t>
  </si>
  <si>
    <t xml:space="preserve">T115UB000243   </t>
  </si>
  <si>
    <t>製作專題實驗用耗材※品名:密林置物籃、玻璃清潔劑、大圖、濾毒罐</t>
  </si>
  <si>
    <t xml:space="preserve">T115UB000244   </t>
  </si>
  <si>
    <t>製作專題實驗室用耗材※品名:乙醇、電子秤、燙傷藥膏、紗布...等</t>
  </si>
  <si>
    <t>510301-3208醫療用品（非醫療院所使用）</t>
  </si>
  <si>
    <t xml:space="preserve">T115UB000245   </t>
  </si>
  <si>
    <t>製作專題實驗用器材※品名:噴墨複合機、墨水匣</t>
  </si>
  <si>
    <t>T204224</t>
  </si>
  <si>
    <t xml:space="preserve">T115UB000302   </t>
  </si>
  <si>
    <t>製作專題實驗用耗材※品名:6插延長線</t>
  </si>
  <si>
    <t xml:space="preserve">T115UB000316   </t>
  </si>
  <si>
    <t>製作專題實驗用器材※品名:防潮箱</t>
  </si>
  <si>
    <t xml:space="preserve">T115UB000317   </t>
  </si>
  <si>
    <t>製作專題實驗用耗材※品名:電源供應器線材</t>
  </si>
  <si>
    <t xml:space="preserve">T115UB000323   </t>
  </si>
  <si>
    <t>製作專題實驗用※品名:影印</t>
  </si>
  <si>
    <t xml:space="preserve">T115UB000324   </t>
  </si>
  <si>
    <t>製作專題實驗用※品名:膠帶、橡皮圈、郵資</t>
  </si>
  <si>
    <t xml:space="preserve">T115UE150143   </t>
  </si>
  <si>
    <t>學術研究所需之ChatGPT使用費※品名:ChatGPT使用費</t>
  </si>
  <si>
    <t xml:space="preserve">T115UE150150   </t>
  </si>
  <si>
    <t>教學電腦所需之電腦零組件※品名:電腦零組件</t>
  </si>
  <si>
    <t>T204226</t>
  </si>
  <si>
    <t xml:space="preserve">T115US040086   </t>
  </si>
  <si>
    <t>實驗耗材※品名:BioMasher III, not sterile 50ea/box 組織研磨棒(消耗品)、Power Masher II 研磨器、營業稅</t>
  </si>
  <si>
    <t xml:space="preserve">T115US040092   </t>
  </si>
  <si>
    <t>實驗耗材-S26072100006※品名:液態氮</t>
  </si>
  <si>
    <t>T204227</t>
  </si>
  <si>
    <t xml:space="preserve">T115UQ010136   </t>
  </si>
  <si>
    <t>受款人：黃思詞，碩士班實習實驗材料費※品名:PVC2.5膠帶、充電器TypeC/2.1、PASTO傳輸線T/C、主動降噪真無線耳機 Neodote、影印</t>
  </si>
  <si>
    <t xml:space="preserve">T115UQ010138   </t>
  </si>
  <si>
    <t>受款人：葉鎧均，碩士班實習實驗材料費※品名:WORX 威克士 4V鋰電起子機 WX240、SP廣穎 A66 2TB外接硬碟</t>
  </si>
  <si>
    <t xml:space="preserve">T115UQ010139   </t>
  </si>
  <si>
    <t>受款人：石益嘉，碩士班實習實驗材料費※品名:RFID模組感應扣、電子零件(馬達驅動板*1、麵包板*1、焊接工作臺*1)、電子零件(馬達驅動板*4)、P/D3425A（電池盒並聯）、D16-40P-A(排針母座 易拆式)、D11-40P（排針 單排180°）、F15-3(杜邦頭)、CY531-40-1D(烙鐵頭)、CY531-40-1BB（烙鐵頭）、LM2577+LM2596（自動升降壓模組）、MTARDBVA（電壓檢測模塊）、NODEMCUESP32（WIFI藍芽開發版）、LK03174（萬用板）、1046B-20（40P杜邦線）、0710-2(SMA公對母+RG316)、線材、D15-40CIS（排針 單排18M/M）、D16-06P(排針母座180)、D16-04P（排針母座180）、TM1637（七段顯示器模組）、DHT18650（鋰電池）、L298N（步進馬達驅動版）、GY-BMP280（大氣壓力感測模組）、X0185（鋰電池保護板）、NODEMCU-32S（WIFI藍芽開發版）、X0140（鋰電池升壓模組）、GY-521（三軸加速度）、GB3-301（麵包板）、P/D3425A、18650*2+DC線、18650*3+DC線、P/D3427、NEO-6MGPS模組</t>
  </si>
  <si>
    <t xml:space="preserve">T115UQ010163   </t>
  </si>
  <si>
    <t>受款人：林煒庭，碩士班實習實驗材料費※品名:拉鍊袋等詳如明細</t>
  </si>
  <si>
    <t xml:space="preserve">T115UQ010164   </t>
  </si>
  <si>
    <t>受款人：曾志弘，碩士班實習實驗材料費※品名:瓦楞板等詳如明細</t>
  </si>
  <si>
    <t xml:space="preserve">T115UQ010166   </t>
  </si>
  <si>
    <t>受款人：廖辰維，碩士班實習實驗材料費※品名:風琴夾等詳如明細</t>
  </si>
  <si>
    <t xml:space="preserve">T115UQ010167   </t>
  </si>
  <si>
    <t>受款人：邵瀚玉，碩士班實習實驗材料費※品名:影印等詳如明細</t>
  </si>
  <si>
    <t xml:space="preserve">T115UQ010168   </t>
  </si>
  <si>
    <t>受款人：伍玅靜，碩士班實習實驗材料費※品名:延長線等詳如明細</t>
  </si>
  <si>
    <t>T204237</t>
  </si>
  <si>
    <t xml:space="preserve">T115UH530106   </t>
  </si>
  <si>
    <t>儲存研究資料用※品名:隨身碟等</t>
  </si>
  <si>
    <t>T204267</t>
  </si>
  <si>
    <t xml:space="preserve">T115UN020108   </t>
  </si>
  <si>
    <t>論文英文編修費(楊壽麟老師)※品名:論文英文編修費</t>
  </si>
  <si>
    <t>T204268</t>
  </si>
  <si>
    <t xml:space="preserve">T115UN020107   </t>
  </si>
  <si>
    <t>T204269</t>
  </si>
  <si>
    <t xml:space="preserve">T115UN020105   </t>
  </si>
  <si>
    <t>T204270</t>
  </si>
  <si>
    <t xml:space="preserve">T115UE720228   </t>
  </si>
  <si>
    <t>受款人：睿朱數位電商股份有限公司，耗材費※品名:碳粉匣KYOCERA TK-5236K、碳粉匣KYOCERA TK-5236C、碳粉匣KYOCERA TK-5236M、碳粉匣KYOCERA TK-5236Y、稅金</t>
  </si>
  <si>
    <t>T204287</t>
  </si>
  <si>
    <t xml:space="preserve">T115UN020106   </t>
  </si>
  <si>
    <t>T204334</t>
  </si>
  <si>
    <t xml:space="preserve">T115UH530102   </t>
  </si>
  <si>
    <t>儲存資料及與學生討論論文※品名:行動硬碟等</t>
  </si>
  <si>
    <t>T204335</t>
  </si>
  <si>
    <t xml:space="preserve">T115UP020079   </t>
  </si>
  <si>
    <t>2026國際研討會資料影印※品名:影印</t>
  </si>
  <si>
    <t xml:space="preserve">T115UP020080   </t>
  </si>
  <si>
    <t>T204336</t>
  </si>
  <si>
    <t xml:space="preserve">T115UP020077   </t>
  </si>
  <si>
    <t>115.7.14拜訪永豐銀行海外實業管理處，洽談學生海外實習機會(洪敏三)</t>
  </si>
  <si>
    <t xml:space="preserve">T115UE310227   </t>
  </si>
  <si>
    <t>115年度多功能實習工廠核定之材料費※品名:內六角螺絲</t>
  </si>
  <si>
    <t xml:space="preserve">T115UE310234   </t>
  </si>
  <si>
    <t>研究使用※品名:海報</t>
  </si>
  <si>
    <t xml:space="preserve">T115UE310243   </t>
  </si>
  <si>
    <t>教學研究用※品名:HP原廠黑色碳粉匣</t>
  </si>
  <si>
    <t>許文政</t>
  </si>
  <si>
    <t xml:space="preserve">T115UE310244   </t>
  </si>
  <si>
    <t>T301351</t>
  </si>
  <si>
    <t xml:space="preserve">T115UJ030066   </t>
  </si>
  <si>
    <t>付應德系系辦工讀生魏文儀、林旻昱、陳欣妤七月之工讀金。</t>
  </si>
  <si>
    <t xml:space="preserve">T115UH530118   </t>
  </si>
  <si>
    <t>執行系所躍升計畫之研究使用※品名:書籍等</t>
  </si>
  <si>
    <t xml:space="preserve">T115UE310247   </t>
  </si>
  <si>
    <t>研究使用※品名:軍規外接硬碟</t>
  </si>
  <si>
    <t xml:space="preserve">T115US190134   </t>
  </si>
  <si>
    <t>115年度漁管系執行改質躍升改善J教學環境冷氣清潔保養※品名:冷氣清潔保養</t>
  </si>
  <si>
    <t xml:space="preserve">T115UJ010228   </t>
  </si>
  <si>
    <t>(未)張芳榕工讀金(115年9月)</t>
  </si>
  <si>
    <t xml:space="preserve">T115UJ010229   </t>
  </si>
  <si>
    <t>(未)莊雅雁工讀金(115年9月)</t>
  </si>
  <si>
    <t xml:space="preserve">T115UJ010230   </t>
  </si>
  <si>
    <t>(未)林亞岑工讀金(115年9月)</t>
  </si>
  <si>
    <t xml:space="preserve">T115UJ010231   </t>
  </si>
  <si>
    <t>(未)陳璟達工讀金(115年9月)</t>
  </si>
  <si>
    <t xml:space="preserve">T115UJ010232   </t>
  </si>
  <si>
    <t>( 未)陳翊欣工讀金(115年9月)</t>
  </si>
  <si>
    <t xml:space="preserve">T115UJ010233   </t>
  </si>
  <si>
    <t>(未)吳慧君工讀金(115年9月)</t>
  </si>
  <si>
    <t xml:space="preserve">T115UJ010235   </t>
  </si>
  <si>
    <t>(未)陳璟達工讀金(115年10月)</t>
  </si>
  <si>
    <t xml:space="preserve">T115UJ010236   </t>
  </si>
  <si>
    <t>( 未)陳翊欣工讀金(115年10月)</t>
  </si>
  <si>
    <t xml:space="preserve">T115UJ010237   </t>
  </si>
  <si>
    <t>(未)張芳榕工讀金(115年10月)</t>
  </si>
  <si>
    <t xml:space="preserve">T115UJ010238   </t>
  </si>
  <si>
    <t>(未)莊雅雁工讀金(115年10月)</t>
  </si>
  <si>
    <t xml:space="preserve">T115UV000137   </t>
  </si>
  <si>
    <t>(楠梓-商資系-躍升計畫)商務資訊空間建置-監視設備※品名:紅外線鏡頭、網路線及電源線、接頭零料防水盒、安裝施工及設定</t>
  </si>
  <si>
    <t>T204447</t>
  </si>
  <si>
    <t xml:space="preserve">T115UE310137   </t>
  </si>
  <si>
    <t>115年度多功能實習工廠核定之材料費－空壓機保養材料及工資費費(財產編號:3070114-1391000001-1000001)※品名:空壓機保養工料費</t>
  </si>
  <si>
    <t>T204457</t>
  </si>
  <si>
    <t xml:space="preserve">T115UN020111   </t>
  </si>
  <si>
    <t>T204458</t>
  </si>
  <si>
    <t xml:space="preserve">T115UO030113   </t>
  </si>
  <si>
    <t>系上教室整理，改善教室環境，提升教學品質。※品名:輕鋼架電風扇、分離式冷氣排水器、更換門鎖、油漆粉刷、雜項工作</t>
  </si>
  <si>
    <t>T204464</t>
  </si>
  <si>
    <t xml:space="preserve">T115UN020112   </t>
  </si>
  <si>
    <t>論文英文編修費(李明聰老師)※品名:論文英文編修費</t>
  </si>
  <si>
    <t>T204467</t>
  </si>
  <si>
    <t xml:space="preserve">T115UH530116   </t>
  </si>
  <si>
    <t>報支躍升計畫用教學耗材一批※品名:延長線4.5米、256GB行動SSD、USB多功能集線器、200W訊號線、80磅彩色A4紙、無線鍵鼠組</t>
  </si>
  <si>
    <t>T204472</t>
  </si>
  <si>
    <t xml:space="preserve">T115US040108   </t>
  </si>
  <si>
    <t>15毫升、50毫升離心管、200微升微量滴管尖※品名:15ML 離心管、50ML 離心管、200uL微量滴管尖</t>
  </si>
  <si>
    <t>T204498</t>
  </si>
  <si>
    <t xml:space="preserve">T115UC450051   </t>
  </si>
  <si>
    <t>購置軟體以利學習與研究※品名:XQ全球贏家</t>
  </si>
  <si>
    <t>T204539</t>
  </si>
  <si>
    <t xml:space="preserve">T115UE310161   </t>
  </si>
  <si>
    <t>115年度多功能實習工廠核定之材料費--線切割油※品名:皂化液(線切割油)</t>
  </si>
  <si>
    <t xml:space="preserve">T115UE150201   </t>
  </si>
  <si>
    <t>8月工讀金(承育)</t>
  </si>
  <si>
    <t xml:space="preserve">T115US020238   </t>
  </si>
  <si>
    <t>研發產品之材料費※品名:白胡椒、佳味鮮甜粉、應稅</t>
  </si>
  <si>
    <t>T204554</t>
  </si>
  <si>
    <t xml:space="preserve">T115UO030118   </t>
  </si>
  <si>
    <t>更換3501、3508教室平板燈泡※品名:平板燈</t>
  </si>
  <si>
    <t>T204564</t>
  </si>
  <si>
    <t xml:space="preserve">T115UQ010132   </t>
  </si>
  <si>
    <t>受款人：李芳昇，碩士班實習實驗材料費※品名:500支十字圓頭割尾自攻螺絲釘304不鏽鋼、物流費、稅金、可煞車耐重七輪摺疊手推車、羅技G304滑鼠PCB小板、隨身碟64GB、羅技滑鼠、鋼珠筆、充電器</t>
  </si>
  <si>
    <t>T204567</t>
  </si>
  <si>
    <t xml:space="preserve">T115UM740092- 1   </t>
  </si>
  <si>
    <t>執行躍升計畫印刷資料所需用之辦公用紙※品名:影印紙</t>
  </si>
  <si>
    <t>T204568</t>
  </si>
  <si>
    <t xml:space="preserve">T115UP030143   </t>
  </si>
  <si>
    <t>執行計畫投稿用影印費※品名:影印</t>
  </si>
  <si>
    <t>T204574</t>
  </si>
  <si>
    <t xml:space="preserve">T115UJ020140   </t>
  </si>
  <si>
    <t>應日系教室E002教室更新_採購循環扇及遮光捲簾所使用之費用※品名:循環扇、遮光捲簾</t>
  </si>
  <si>
    <t>T204625</t>
  </si>
  <si>
    <t xml:space="preserve">T115UE720201   </t>
  </si>
  <si>
    <t>工作眼鏡:3D光固化列印時保護操作者眼睛避免紫外光照射※品名:工作眼鏡</t>
  </si>
  <si>
    <t>T301405</t>
  </si>
  <si>
    <t xml:space="preserve">T115UR030106   </t>
  </si>
  <si>
    <t>旗津校區/海資系/系所躍升計畫7月份工讀金－林岱俐</t>
  </si>
  <si>
    <t xml:space="preserve">T115UB000406   </t>
  </si>
  <si>
    <t>製作專題實驗用耗材※品名:音源線、T型三通接頭、電池、壓克力製品</t>
  </si>
  <si>
    <t xml:space="preserve">T115UH530122   </t>
  </si>
  <si>
    <t>報支115/8/22人力資源實務講座業界講師徐志鈞鐘點費</t>
  </si>
  <si>
    <t xml:space="preserve">T115UE160267   </t>
  </si>
  <si>
    <t>實驗用品耗材一批(附發票明細)※品名:影印論文耗材一批</t>
  </si>
  <si>
    <t>鄭力誠</t>
  </si>
  <si>
    <t xml:space="preserve">T115UO040127   </t>
  </si>
  <si>
    <t>補助教師申請專利※品名:專利事務所代收轉代收據、專利事務所(申請+領證年費)服務費</t>
  </si>
  <si>
    <t xml:space="preserve">T115US030156   </t>
  </si>
  <si>
    <t>海洋生物復育執行人員教育訓練課程費用_共7位:宋子源、黃郁婷、許郁萱、林志豪、林瑀容、林言修、葉靜瑩※品名:海洋生物復育執行人員教育訓練課程費用</t>
  </si>
  <si>
    <t>洪明昌</t>
  </si>
  <si>
    <t>T204693</t>
  </si>
  <si>
    <t xml:space="preserve">T115UE720197   </t>
  </si>
  <si>
    <t>差速器油:汽油引擎碳足跡量測耗油測試使用※品名:G5差速油&amp;運費</t>
  </si>
  <si>
    <t>T204694</t>
  </si>
  <si>
    <t xml:space="preserve">T115UE720198   </t>
  </si>
  <si>
    <t>變速箱油(含更換工資):碳足跡實驗之實驗車輛更換變速箱油(財產編號:3030901-045000001-5000001)
引擎機油(0w-30):碳足跡實驗之實驗車輛引擎油更換使用
機油運輸:包含機油運輸與變速箱運輸※品名:變速箱油更換(維修，財產編號3030901-04 5000001-5000001))與引擎油</t>
  </si>
  <si>
    <t>T204695</t>
  </si>
  <si>
    <t xml:space="preserve">T115UE720200   </t>
  </si>
  <si>
    <t>合板F3:碳足跡實驗之實驗室隔板材料(阻隔廢氣與噪
音使用)
單面保麗木心板:碳足跡實驗之實驗室隔音使用
F1木心板:碳足跡實驗之隔板(實驗人員安全防護用)※品名:合板F3、木心板等</t>
  </si>
  <si>
    <t>T204696</t>
  </si>
  <si>
    <t xml:space="preserve">T115UE720199   </t>
  </si>
  <si>
    <t>合板:碳足跡實驗之實驗室隔板材料(阻隔廢氣與噪音使用)※品名:合板F3(4*8*27CM)</t>
  </si>
  <si>
    <t>T204705</t>
  </si>
  <si>
    <t xml:space="preserve">T115UQ040123   </t>
  </si>
  <si>
    <t>執行躍升計畫-實驗設備空氣淨化活性碳濾網更換※品名:HEPA濾網、活性碳濾網</t>
  </si>
  <si>
    <t>T204716</t>
  </si>
  <si>
    <t xml:space="preserve">T115UO030122   </t>
  </si>
  <si>
    <t>躍升計畫-鼓勵教師申請計畫提升本系整體研究、產學量能_潘郁仁老師申請115年大專生專題計畫1件補助5000元、申請並通過國科會專題研究計畫1件補助10000元、申請並通過教學實踐研究計畫1件補助10000元，上述3類計畫共補助25000元。※品名:type c轉HDMI轉換器、HDMI to DP轉換器、無線鍵盤滑鼠組、USB3.0集線器、無線AP、3號充電電池組</t>
  </si>
  <si>
    <t>T204727</t>
  </si>
  <si>
    <t xml:space="preserve">T115UM740107   </t>
  </si>
  <si>
    <t>配合躍升計畫, 購置專業教室循環扇, 改善教室上課環境※品名:輕鋼架循環扇</t>
  </si>
  <si>
    <t xml:space="preserve">T115UB000409   </t>
  </si>
  <si>
    <t>製作專題實驗用※品名:除鏽亮光劑、鐵球刷..等、郵資</t>
  </si>
  <si>
    <t xml:space="preserve">T115UB000411   </t>
  </si>
  <si>
    <t>製作專題實驗用※品名:鈕扣電池、鋰電池</t>
  </si>
  <si>
    <t xml:space="preserve">T115UB000412   </t>
  </si>
  <si>
    <t>製作專題實驗用※品名:墨水匣、郵資</t>
  </si>
  <si>
    <t xml:space="preserve">T115UB000413   </t>
  </si>
  <si>
    <t>製作專題實驗用※品名:塑膠滴管、載玻片..等、製冰盒、塑膠管</t>
  </si>
  <si>
    <t xml:space="preserve">T115UB000414   </t>
  </si>
  <si>
    <t>製作專題實驗用※品名:玻璃離心管、燒杯、鏈條夾...等</t>
  </si>
  <si>
    <t xml:space="preserve">T115UB000415   </t>
  </si>
  <si>
    <t>製作專題實驗用※品名:儀器設備使用費</t>
  </si>
  <si>
    <t xml:space="preserve">T115UR030109   </t>
  </si>
  <si>
    <t>旗津校區/海資系/系所躍升計畫8月份工讀金－林岱俐</t>
  </si>
  <si>
    <t xml:space="preserve">T115UE310256   </t>
  </si>
  <si>
    <t>先進表面處理技術實務(應用與異常處理全解析)-教育訓練費※品名:工業訓練</t>
  </si>
  <si>
    <t xml:space="preserve">T115UE150207   </t>
  </si>
  <si>
    <t>因計畫設備供電及相關器材運作需要，購置延長線及電池，供計畫執行使用 (核銷638元)※品名:電池、延長線</t>
  </si>
  <si>
    <t xml:space="preserve">T115UE310259   </t>
  </si>
  <si>
    <t xml:space="preserve">預算:7,619,450,實支:3,682,313,簽證數:624,501,請購未銷:52,500,暫付:0,暫收:0,餘額:3,260,136 </t>
  </si>
  <si>
    <t>T201114</t>
  </si>
  <si>
    <t>510301-230204國外旅費-開會</t>
  </si>
  <si>
    <t xml:space="preserve">T115UR020044   </t>
  </si>
  <si>
    <t>計畫用-楊春陵老師115年2月28日至3月7日-日本ISPlasma2026研討會(國外出差費用總計70,157元，系所躍升計畫支應15,000元，剩餘55,157元不足的費用由建教合作結餘款-楊春陵項下支應)</t>
  </si>
  <si>
    <t>楊春陵</t>
  </si>
  <si>
    <t>T201171</t>
  </si>
  <si>
    <t xml:space="preserve">T115US040010   </t>
  </si>
  <si>
    <t>鄭至玉老師前往越南公差參訪與參加The 16th AFOB Regional Symposium (ARS 2026)</t>
  </si>
  <si>
    <t>T201751</t>
  </si>
  <si>
    <t>510301-230209國外旅費-業務洽談</t>
  </si>
  <si>
    <t xml:space="preserve">T115UM740027   </t>
  </si>
  <si>
    <t>盧正壽主任115年03月29日~04月05日前往法國馬賽與法國凱致商學院簽訂雙聯學制合約, 國外出差旅費</t>
  </si>
  <si>
    <t>T201944</t>
  </si>
  <si>
    <t>510301-230207國外旅費-研究</t>
  </si>
  <si>
    <t xml:space="preserve">T115UO030027   </t>
  </si>
  <si>
    <t>躍升計畫_補助潘郁仁教授115.1.19-115.1.24至日本參加「ICSIM 2026』國際研討會之差旅費24050元(本次公差共支出67,783元，扣除躍升計畫補助部分日支費24050元後，餘43733元分別由:
1.國際處出席國際學術會議補助經費支出日支費10000元。
2.由潘郁仁教授計畫結餘款支出日支費餘額4915元及機票28818元。</t>
  </si>
  <si>
    <t>T202311</t>
  </si>
  <si>
    <t xml:space="preserve">T115UR020043   </t>
  </si>
  <si>
    <t>徐國欽老師115年2月28日至3月7日-日本ISPlasma2026研討會(國外出差費用總計68,808元，系所躍升計畫支應15,000元，剩餘53,808元，金屬有機框架衍生物材料結合還原法修飾金屬氧化物開發具低能耗且高響應之氣體感測器(114B1118)支應41,738，不足12,070元由徐國欽老師自行支應)</t>
  </si>
  <si>
    <t>徐國欽</t>
  </si>
  <si>
    <t>T202419</t>
  </si>
  <si>
    <t xml:space="preserve">T115UD020067   </t>
  </si>
  <si>
    <t>115.04.13-115.04.17電子系吳毓恩老師至日本京都參加2026 ICASI國際學術研討會並發表論文(日本京都)-支出分攤:115TSD00-8 $2萬、114B1063 $6萬、K2-11014 $1424
(併B115007479、K115003152)</t>
  </si>
  <si>
    <t>T202483</t>
  </si>
  <si>
    <t xml:space="preserve">T115US040035   </t>
  </si>
  <si>
    <t>海生系助理教授蘇豐傑前往日本參加春季水產年會</t>
  </si>
  <si>
    <t>T202517</t>
  </si>
  <si>
    <t xml:space="preserve">T115UT030043   </t>
  </si>
  <si>
    <t>財稅系彭琪祿老師前往泰國曼谷參加「2026WEAI_18th International Conference」研討會115.3.31~115.4.4共5天差旅費總共$62,762;與D115003744購案$10,962分攤支應</t>
  </si>
  <si>
    <t>T202518</t>
  </si>
  <si>
    <t>510301-230201國外旅費-考察</t>
  </si>
  <si>
    <t xml:space="preserve">T115UE230048   </t>
  </si>
  <si>
    <t>差旅費:王裕仁教授 事由：2/03-2/12赴日本大阪進行學術交流{02/03-02/12}併K115002834</t>
  </si>
  <si>
    <t>王裕仁</t>
  </si>
  <si>
    <t>T202559</t>
  </si>
  <si>
    <t xml:space="preserve">T115UR020084   </t>
  </si>
  <si>
    <t>輪機系_115年4月7日至15日孫建中老師赴日本東京參加2026 the 10th International Conference on Innovation in Artificial Intelligence (ICIAI 2026)補助差旅費用。
總額101489元，由115TSD00-8系所要升計畫第二期第二年支應15000元(T115UR020084)不足額度由114B1185(B115007783)分攤支應。</t>
  </si>
  <si>
    <t>T202788</t>
  </si>
  <si>
    <t xml:space="preserve">T115UN010066   </t>
  </si>
  <si>
    <t>【躍升計畫】：資管系曾守正老師115.5.13-17前往日本京都參加ICMHI 2026研討會並發表論文(114B1098、115TSD00-8支出分攤分別52,375元及10,000元）</t>
  </si>
  <si>
    <t xml:space="preserve">T115UE230103   </t>
  </si>
  <si>
    <t>差旅費:黃亦敏老師 事由：6/13-6/22至維也納參加國際研討會(併B115011340)</t>
  </si>
  <si>
    <t xml:space="preserve">T115UH530103   </t>
  </si>
  <si>
    <t>鄭昱宏老師參加歐洲管理學院年度會議之國外差旅費(日支費)實支</t>
  </si>
  <si>
    <t>鄭昱宏</t>
  </si>
  <si>
    <t xml:space="preserve">T115UE230153   </t>
  </si>
  <si>
    <t>參加NME2026研討會</t>
  </si>
  <si>
    <t>高政宏</t>
  </si>
  <si>
    <t>T203702</t>
  </si>
  <si>
    <t>510301-230203國外旅費-訪問</t>
  </si>
  <si>
    <t xml:space="preserve">T115UV010002   </t>
  </si>
  <si>
    <t>(楠梓-商資系-躍升計畫)林繼昌副教授赴南韓中央大學短期移地教學之生活費(4月28日至4月30日生活費：290美金/天×31.775台幣匯率×3日)</t>
  </si>
  <si>
    <t>林繼昌</t>
  </si>
  <si>
    <t xml:space="preserve">T115UN010156   </t>
  </si>
  <si>
    <t>資管系張芳凱老師115.07.14-07.20前往日本金澤參加IAM2026 Ssummer研討會(114B2017、115TSD00-8支出分攤分別53,354元及10,000元）</t>
  </si>
  <si>
    <t>1150730</t>
  </si>
  <si>
    <t xml:space="preserve">T115UD020187   </t>
  </si>
  <si>
    <t xml:space="preserve">陳俊吉老師至日本東京拜訪東洋大學，商議國際學術交流事宜(支出分攤115TSD00-8-$18000、K1-UD02-A-$18433)(併K115005699)
</t>
  </si>
  <si>
    <t>T203963</t>
  </si>
  <si>
    <t xml:space="preserve">T115UF080103   </t>
  </si>
  <si>
    <t>工設系陳孟君至日本名古屋學藝大學參加2026三國設計工作營所需出差旅費(1150627-1150704)</t>
  </si>
  <si>
    <t xml:space="preserve">T115UN010164   </t>
  </si>
  <si>
    <t>【躍升計畫】資管系周棟祥老師115.07.03-07.09前往印尼雅加達參加 PACIS 2026 研討會(114B1099、115TSD00-8支出分攤分別73,357元及10,000元)</t>
  </si>
  <si>
    <t xml:space="preserve">T115UD020194   </t>
  </si>
  <si>
    <t>許耀文老師至日本東京拜訪東洋大學，商議國際學術交流事宜(支出分攤115TSD00-8-$18000、K1-UD02-A-$16994)(併K115005779)</t>
  </si>
  <si>
    <t>T204046</t>
  </si>
  <si>
    <t xml:space="preserve">T115UC110143   </t>
  </si>
  <si>
    <t>赴日本進行企業實務與大學學術交流差旅費--邱魏頌正</t>
  </si>
  <si>
    <t>T204047</t>
  </si>
  <si>
    <t xml:space="preserve">T115UC110147   </t>
  </si>
  <si>
    <t>赴日本進行企業實務與大學學術交流差旅費--李仁耀</t>
  </si>
  <si>
    <t>T204048</t>
  </si>
  <si>
    <t xml:space="preserve">T115UC110145   </t>
  </si>
  <si>
    <t>赴日本進行企業實務與大學學術交流差旅費--陳怡君(核銷額度30,000元)</t>
  </si>
  <si>
    <t>T204050</t>
  </si>
  <si>
    <t xml:space="preserve">T115UC110144   </t>
  </si>
  <si>
    <t>赴日本進行企業實務與大學學術交流差旅費--李威龍(核銷額度30,000元)</t>
  </si>
  <si>
    <t>T204153</t>
  </si>
  <si>
    <t xml:space="preserve">T115UC110150   </t>
  </si>
  <si>
    <t>赴日本進行企業實務與大學學術交流差旅費--陳昇鴻(併案D115007244)</t>
  </si>
  <si>
    <t>T204154</t>
  </si>
  <si>
    <t xml:space="preserve">T115UF080109   </t>
  </si>
  <si>
    <t>工設系葉恒志至日本名古屋學藝大學參加2026三國設計工作營所需出差旅費(1150627-1150704)</t>
  </si>
  <si>
    <t xml:space="preserve">T115UR010218   </t>
  </si>
  <si>
    <t>航技系蔡朝祿老師赴新加坡參加IAME2026國際研討會機票費+註冊費(1150630-1150704)(備註:生活費另以請購單號K115005974支應)</t>
  </si>
  <si>
    <t xml:space="preserve">T115UE230181   </t>
  </si>
  <si>
    <t>赴馬來西亞吉隆坡參加「EASEC-19國際研討會」並口頭論文發表。</t>
  </si>
  <si>
    <t>張高豪</t>
  </si>
  <si>
    <t xml:space="preserve">T115UF090211   </t>
  </si>
  <si>
    <t>2026至日本愛媛大學友好交流參訪_薛博文(日期:2026.7.1-2026.7.6)</t>
  </si>
  <si>
    <t xml:space="preserve">T115UN010167   </t>
  </si>
  <si>
    <t>【躍升計畫】資管系蘇國瑋老師115.08.01-08.06前往新加坡參加 ACED 2026研討會(112B2029、115TSD00-8及DUN01-1支出分攤分別為78,257元、10,000元及4,955元)</t>
  </si>
  <si>
    <t>T204332</t>
  </si>
  <si>
    <t xml:space="preserve">T115UF080104   </t>
  </si>
  <si>
    <t>工設系林龍吟至日本名古屋學藝大學參加2026三國設計工作營所需出差旅費(1150627-1150704)</t>
  </si>
  <si>
    <t xml:space="preserve">T115UP020095   </t>
  </si>
  <si>
    <t>115.7.20-24前往韓國首爾進行學術交流參訪(郭訓志老師)，經費實支22750元</t>
  </si>
  <si>
    <t xml:space="preserve">T115UP020096   </t>
  </si>
  <si>
    <t>115.7.20-24前往韓國首爾進行學術交流參訪(周百隆老師)，（DUP02-1計畫，清冊編號：D115008643分攤34,258元）</t>
  </si>
  <si>
    <t xml:space="preserve">T115UP020097   </t>
  </si>
  <si>
    <t>115.7.20-24前往韓國首爾進行學術交流參訪(陳青浩老師)，（DUP02-1計畫，清冊編號：D115008644分攤34,258元）</t>
  </si>
  <si>
    <t>T204371</t>
  </si>
  <si>
    <t>510301-230202國外旅費-視察</t>
  </si>
  <si>
    <t xml:space="preserve">T115UJ020104   </t>
  </si>
  <si>
    <t>115海外實習訪視 學生林玳儀 實習地點 日本熊本(天草) 實習機構 sea cruise</t>
  </si>
  <si>
    <t>林蕙美</t>
  </si>
  <si>
    <t>T204380</t>
  </si>
  <si>
    <t xml:space="preserve">T115UP010146   </t>
  </si>
  <si>
    <t>開會.美國.丹佛；WEAI 2026年會(併:T204380、E201823、A201646)</t>
  </si>
  <si>
    <t>楊德源</t>
  </si>
  <si>
    <t>T204569</t>
  </si>
  <si>
    <t xml:space="preserve">T115UP020093   </t>
  </si>
  <si>
    <t>115.7.20-24前往韓國首爾進行學術交流參訪，（DUP02-1計畫，清冊編號：D115008410分攤34,389元）</t>
  </si>
  <si>
    <t xml:space="preserve">T115UE150202   </t>
  </si>
  <si>
    <t>參加日本大阪舉行的AMLDS2026國際研討會</t>
  </si>
  <si>
    <t>T204603</t>
  </si>
  <si>
    <t xml:space="preserve">T115UD020186   </t>
  </si>
  <si>
    <t>陳浩暉老師至日本東京拜訪東洋大學，商議國際學術交流事宜(併K115005691)
(支出分攤115TSD00-8-$18000、K1-UD02-A-$29296)</t>
  </si>
  <si>
    <t xml:space="preserve">T115UD010026   </t>
  </si>
  <si>
    <t>「本案係為執行系所改質躍升計畫四大關鍵任務之國際化」-杜國洋老師帶領學生到加拿大參加FIRA 2026 RoboWorld Cup  
-國外差旅費99872元,由115TSD00-8 支出22200元(T115UD010026), 由FUE27-15支出77672元(F115000642)</t>
  </si>
  <si>
    <t>杜國洋</t>
  </si>
  <si>
    <t xml:space="preserve">T115UN010173   </t>
  </si>
  <si>
    <t>【躍升計畫】資管系蔡耀德老師115.07.26-08.06前往新加坡參加ACED 2026研討會(K2-11466-B、115TSD00-8支出分攤分別99,082元及10,000元）</t>
  </si>
  <si>
    <t xml:space="preserve">T115UO040128   </t>
  </si>
  <si>
    <t>國外旅費參加The 3rd AI Sensors and Transducers (AIS 2026)國際研討會(115.07.31~115.08.09)發表論文</t>
  </si>
  <si>
    <t>T204725</t>
  </si>
  <si>
    <t xml:space="preserve">T115UN010099   </t>
  </si>
  <si>
    <t>【躍升計畫】資管系洪郁雯老師115.06.11-06.20前往義大利米蘭參加ECIS2026研討會(114B2016、115TSD00-8、DUN01-1支出分攤分別149,500元、14,000元、5,402元)</t>
  </si>
  <si>
    <t xml:space="preserve">T115UF090219   </t>
  </si>
  <si>
    <t>2026至日本愛媛大學友好交流參訪_劉東官(日期:2026.7.1-2026.7.6)</t>
  </si>
  <si>
    <t xml:space="preserve">T115UF090220   </t>
  </si>
  <si>
    <t>2026至日本愛媛大學友好交流參訪_鄭永長(日期:2026.7.1-2026.7.6)</t>
  </si>
  <si>
    <t xml:space="preserve">T115UR020211   </t>
  </si>
  <si>
    <t>輪機系_115年8月17日至8月21日古忠傑赴日本東京平塚市參加2026年第4屆控制與機器人技術國際研討會活動，補助國外差旅費用$15000元不足經費由114B1127(B115015386)計畫支應。</t>
  </si>
  <si>
    <t xml:space="preserve">T115UR020213   </t>
  </si>
  <si>
    <t xml:space="preserve">預算:1,635,400,實支:602,128,簽證數:489,706,請購未銷:0,暫付:0,暫收:0,餘額:543,566 </t>
  </si>
  <si>
    <t xml:space="preserve">預算:30,000,實支:0,簽證數:0,請購未銷:0,暫付:0,暫收:0,餘額:30,000 </t>
  </si>
  <si>
    <t>T200785</t>
  </si>
  <si>
    <t xml:space="preserve">T115UT030021   </t>
  </si>
  <si>
    <t>1150327</t>
  </si>
  <si>
    <t xml:space="preserve">T115UE720030   </t>
  </si>
  <si>
    <t>工管系 蘇明鴻教師 研究用軟體：品質模式與抽樣分析R※品名:研究用軟體：品質模式與抽樣分析R</t>
  </si>
  <si>
    <t>蘇明鴻</t>
  </si>
  <si>
    <t>T201537</t>
  </si>
  <si>
    <t xml:space="preserve">T115UH530024   </t>
  </si>
  <si>
    <t>報支nuHRM人資系統(2年期租賃)※品名:nuHRM人資系統</t>
  </si>
  <si>
    <t xml:space="preserve">T115UE310060   </t>
  </si>
  <si>
    <t>購置逆向工程軟體※品名:逆向工程軟體</t>
  </si>
  <si>
    <t>1150609</t>
  </si>
  <si>
    <t xml:space="preserve">T115UF010079   </t>
  </si>
  <si>
    <t>(7/24決標)執行計畫教學研究用之MTS軟體※品名:MTS軟體</t>
  </si>
  <si>
    <t>T202733</t>
  </si>
  <si>
    <t xml:space="preserve">T115UP010016- 1   </t>
  </si>
  <si>
    <t>金融系執行躍昇計畫所需採購TESG永續發展指標※品名:TESG永續發展指標</t>
  </si>
  <si>
    <t>T202740</t>
  </si>
  <si>
    <t xml:space="preserve">T115UH530047   </t>
  </si>
  <si>
    <t>學術研究及教學使用之書籍、文具、資訊設備及軟體等※品名:DaVinci Resolve Studio 正版軟體</t>
  </si>
  <si>
    <t xml:space="preserve">T115UR020166   </t>
  </si>
  <si>
    <t>輪機系_執行躍升計畫二期應教學需求故採購無形資產_工業配電模擬軟體(FluidSIM_E_12人授權，附USB dongle*1)※品名:工業配電模擬軟體</t>
  </si>
  <si>
    <t>T203082</t>
  </si>
  <si>
    <t xml:space="preserve">T115UH530062   </t>
  </si>
  <si>
    <t>學術研究及教學使用之書籍、文具、資訊設備及軟體等※品名:MathType（五年期）</t>
  </si>
  <si>
    <t>T203227</t>
  </si>
  <si>
    <t xml:space="preserve">T115UH530073   </t>
  </si>
  <si>
    <t>執行系所躍升計畫使用之軟體※品名:統計軟體IBM SPSS</t>
  </si>
  <si>
    <t>T203324</t>
  </si>
  <si>
    <t xml:space="preserve">T115UM740010- 1   </t>
  </si>
  <si>
    <t>配合躍升計畫,購置教學及研究用軟體※品名:Arena軟體系統網路2年使用版</t>
  </si>
  <si>
    <t>T203471</t>
  </si>
  <si>
    <t xml:space="preserve">T115UP040019- 2   </t>
  </si>
  <si>
    <t>114.2(燕巢會資系)-MA325電腦教室-購置JCAATs AI稽核軟體單機教育版20套-教學用※品名:JCAATs AI稽核軟體單機教育版</t>
  </si>
  <si>
    <t xml:space="preserve">T115UJ030060   </t>
  </si>
  <si>
    <t>應用德語系Gemini AI Pro 軟體使用費※品名:軟體使用費</t>
  </si>
  <si>
    <t>T203724</t>
  </si>
  <si>
    <t xml:space="preserve">T115UE720122   </t>
  </si>
  <si>
    <t>IOT雲端空氣檢測軟體:ESG相關課程使用。※品名:IOT雲端空氣檢測軟體</t>
  </si>
  <si>
    <t xml:space="preserve">T115UE720227   </t>
  </si>
  <si>
    <t>張正文老師研究用 ：無伺服器網站後台管理系統※品名:無伺服器網站後台管理 系統</t>
  </si>
  <si>
    <t>張正文</t>
  </si>
  <si>
    <t>T203929</t>
  </si>
  <si>
    <t xml:space="preserve">T115UC110173   </t>
  </si>
  <si>
    <t>執行躍升計畫-教師與研究生研究用軟體※品名:Mplus 9 軟體</t>
  </si>
  <si>
    <t>T203965</t>
  </si>
  <si>
    <t xml:space="preserve">T115UH530097   </t>
  </si>
  <si>
    <t>報支教學用SPSS最新版BASE軟體※品名:SPSS</t>
  </si>
  <si>
    <t>T203966</t>
  </si>
  <si>
    <t xml:space="preserve">T115UH530098   </t>
  </si>
  <si>
    <t>躍升計畫軟體使用費※品名:Mplus</t>
  </si>
  <si>
    <t>T203967</t>
  </si>
  <si>
    <t xml:space="preserve">T115UH530100   </t>
  </si>
  <si>
    <t>躍升計畫軟體使用費※品名:Smart PLS單機版</t>
  </si>
  <si>
    <t>T204465</t>
  </si>
  <si>
    <t xml:space="preserve">T115UH530113   </t>
  </si>
  <si>
    <t>報支Mplus統計軟體4套※品名:Mplus9.1 Base Program and Combination Add-On</t>
  </si>
  <si>
    <t xml:space="preserve">T115UJ030070   </t>
  </si>
  <si>
    <t>應用德語系D209電腦教室教學所需多媒體系統※品名:Neo SUITE、ETS數位影音圖文同步教學互動系統</t>
  </si>
  <si>
    <t>T204592</t>
  </si>
  <si>
    <t xml:space="preserve">T115UQ010066- 1   </t>
  </si>
  <si>
    <t>教學及研究用船舶性能設計與分析軟體永久授權商業版，買斷※品名:MAXSURF永久授權商業版，買斷</t>
  </si>
  <si>
    <t xml:space="preserve">T115UH530123   </t>
  </si>
  <si>
    <t>報支躍升計畫教學研究用統計軟體一式※品名:AMOS 單機版、SPSS  BASE (2年租賃版)、HLM (2年租賃版)、SPSS  advanced (2年租賃版)</t>
  </si>
  <si>
    <t>T204642</t>
  </si>
  <si>
    <t xml:space="preserve">T115UP040059- 2   </t>
  </si>
  <si>
    <t>(燕巢會資系)-Stata/BE 19-教學研究用※品名:Stata /BE 19</t>
  </si>
  <si>
    <t xml:space="preserve">T115UC110208   </t>
  </si>
  <si>
    <t>執行躍升計劃-提升師生學術研究能力-資料庫系統※品名:Workspace  資料庫 3users</t>
  </si>
  <si>
    <t xml:space="preserve">預算:7,326,500,實支:3,290,706,簽證數:334,128,請購未銷:2,948,000,暫付:0,暫收:0,餘額:753,666 </t>
  </si>
  <si>
    <t>成批暫付</t>
  </si>
  <si>
    <t xml:space="preserve">預算:0,實支:0,簽證數:0,請購未銷:0,暫付:0,暫收:0,餘額: </t>
  </si>
  <si>
    <t>資管系</t>
    <phoneticPr fontId="1" type="noConversion"/>
  </si>
  <si>
    <t>T115UN01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</si>
</sst>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76" formatCode="#,##0_ "/>
    <numFmt numFmtId="177" formatCode="#,##0_);[Red]\(#,##0\)"/>
    <numFmt numFmtId="178" formatCode="0.00_);[Red]\(0.00\)"/>
  </numFmts>
  <fonts count="7" x14ac:knownFonts="1">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
      <sz val="12"/>
      <color rgb="FFFF0000"/>
      <name val="標楷體"/>
      <family val="4"/>
    </font>
    <font>
      <sz val="12"/>
      <color rgb="FFFF0000"/>
      <name val="標楷體"/>
      <family val="4"/>
      <charset val="136"/>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color auto="1"/>
      </bottom>
      <diagonal/>
    </border>
    <border>
      <left/>
      <right/>
      <top/>
      <bottom style="thin">
        <color auto="1"/>
      </bottom>
      <diagonal/>
    </border>
  </borders>
  <cellStyleXfs count="3">
    <xf numFmtId="0" fontId="0" fillId="0" borderId="0">
      <alignment vertical="center"/>
    </xf>
    <xf numFmtId="43" fontId="4" fillId="0" borderId="0">
      <alignment vertical="center"/>
    </xf>
    <xf numFmtId="9" fontId="4" fillId="0" borderId="0">
      <alignment vertical="center"/>
    </xf>
  </cellStyleXfs>
  <cellXfs count="53">
    <xf numFmtId="0" fontId="0" fillId="0" borderId="0" xfId="0" applyNumberFormat="1" applyFont="1" applyFill="1" applyBorder="1">
      <alignment vertical="center"/>
    </xf>
    <xf numFmtId="0" fontId="1" fillId="0" borderId="0" xfId="0" applyNumberFormat="1" applyFont="1" applyFill="1" applyBorder="1">
      <alignment vertical="center"/>
    </xf>
    <xf numFmtId="176" fontId="1" fillId="0" borderId="1" xfId="0" applyNumberFormat="1" applyFont="1" applyFill="1" applyBorder="1" applyAlignment="1">
      <alignment vertical="center" wrapText="1"/>
    </xf>
    <xf numFmtId="176" fontId="1" fillId="0" borderId="1" xfId="0" applyNumberFormat="1" applyFont="1" applyFill="1" applyBorder="1" applyAlignment="1">
      <alignment horizontal="right" vertical="center" wrapText="1"/>
    </xf>
    <xf numFmtId="177" fontId="1" fillId="0" borderId="1" xfId="0" applyNumberFormat="1" applyFont="1" applyFill="1" applyBorder="1" applyAlignment="1">
      <alignment vertical="center" wrapText="1"/>
    </xf>
    <xf numFmtId="176" fontId="1" fillId="0" borderId="1" xfId="0" applyNumberFormat="1" applyFont="1" applyFill="1" applyBorder="1" applyAlignment="1">
      <alignment horizontal="center" vertical="center"/>
    </xf>
    <xf numFmtId="176" fontId="1" fillId="0" borderId="0" xfId="0" applyNumberFormat="1" applyFont="1" applyFill="1" applyBorder="1">
      <alignment vertical="center"/>
    </xf>
    <xf numFmtId="0" fontId="1" fillId="0" borderId="1" xfId="0" applyNumberFormat="1" applyFont="1" applyFill="1" applyBorder="1" applyAlignment="1">
      <alignment horizontal="center" vertical="center"/>
    </xf>
    <xf numFmtId="0" fontId="1" fillId="0" borderId="1" xfId="0" applyNumberFormat="1" applyFont="1" applyFill="1" applyBorder="1" applyAlignment="1">
      <alignment horizontal="center" vertical="center" wrapText="1"/>
    </xf>
    <xf numFmtId="0" fontId="1" fillId="0" borderId="0" xfId="0" applyNumberFormat="1" applyFont="1" applyFill="1" applyBorder="1" applyAlignment="1">
      <alignment vertical="center" wrapText="1"/>
    </xf>
    <xf numFmtId="0" fontId="2" fillId="0" borderId="1" xfId="0" applyNumberFormat="1" applyFont="1" applyFill="1" applyBorder="1" applyAlignment="1">
      <alignment horizontal="left" vertical="center" wrapText="1"/>
    </xf>
    <xf numFmtId="176" fontId="1" fillId="0" borderId="3" xfId="0" applyNumberFormat="1" applyFont="1" applyFill="1" applyBorder="1" applyAlignment="1">
      <alignment horizontal="center" vertical="center"/>
    </xf>
    <xf numFmtId="0" fontId="1" fillId="0" borderId="0" xfId="0" applyNumberFormat="1" applyFont="1" applyFill="1" applyBorder="1" applyAlignment="1">
      <alignment horizontal="left" vertical="center" wrapText="1"/>
    </xf>
    <xf numFmtId="0" fontId="1" fillId="0" borderId="1" xfId="0" applyNumberFormat="1" applyFont="1" applyFill="1" applyBorder="1" applyAlignment="1">
      <alignment vertical="center" wrapText="1"/>
    </xf>
    <xf numFmtId="0" fontId="1" fillId="0" borderId="1" xfId="0" applyNumberFormat="1" applyFont="1" applyFill="1" applyBorder="1">
      <alignment vertical="center"/>
    </xf>
    <xf numFmtId="176" fontId="1" fillId="0" borderId="1" xfId="0" applyNumberFormat="1" applyFont="1" applyFill="1" applyBorder="1">
      <alignment vertical="center"/>
    </xf>
    <xf numFmtId="176" fontId="1" fillId="0" borderId="1" xfId="1" applyNumberFormat="1" applyFont="1" applyFill="1" applyBorder="1" applyAlignment="1">
      <alignment horizontal="right" vertical="center" wrapText="1"/>
    </xf>
    <xf numFmtId="3" fontId="1" fillId="0" borderId="0" xfId="0" applyNumberFormat="1" applyFont="1" applyFill="1" applyBorder="1" applyAlignment="1">
      <alignment vertical="center" wrapText="1"/>
    </xf>
    <xf numFmtId="0" fontId="1" fillId="0" borderId="1" xfId="0" applyNumberFormat="1" applyFont="1" applyFill="1" applyBorder="1" applyAlignment="1">
      <alignment horizontal="right" vertical="center" wrapText="1"/>
    </xf>
    <xf numFmtId="0" fontId="1" fillId="0" borderId="1" xfId="0" applyNumberFormat="1" applyFont="1" applyFill="1" applyBorder="1" applyAlignment="1">
      <alignment horizontal="right" vertical="center"/>
    </xf>
    <xf numFmtId="176" fontId="1" fillId="0" borderId="0" xfId="0" applyNumberFormat="1" applyFont="1" applyFill="1" applyBorder="1" applyAlignment="1">
      <alignment vertical="center" wrapText="1"/>
    </xf>
    <xf numFmtId="0" fontId="1" fillId="0" borderId="10" xfId="0" applyNumberFormat="1" applyFont="1" applyFill="1" applyBorder="1">
      <alignment vertical="center"/>
    </xf>
    <xf numFmtId="0" fontId="1" fillId="0" borderId="10" xfId="0" applyNumberFormat="1" applyFont="1" applyFill="1" applyBorder="1" applyAlignment="1">
      <alignment vertical="center" wrapText="1"/>
    </xf>
    <xf numFmtId="3" fontId="1" fillId="0" borderId="10" xfId="0" applyNumberFormat="1" applyFont="1" applyFill="1" applyBorder="1" applyAlignment="1">
      <alignment vertical="center" wrapText="1"/>
    </xf>
    <xf numFmtId="0" fontId="2" fillId="0" borderId="10" xfId="0" applyNumberFormat="1" applyFont="1" applyFill="1" applyBorder="1">
      <alignment vertical="center"/>
    </xf>
    <xf numFmtId="0" fontId="1" fillId="0" borderId="11" xfId="0" applyNumberFormat="1" applyFont="1" applyFill="1" applyBorder="1">
      <alignment vertical="center"/>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0" fontId="2" fillId="0" borderId="11" xfId="0" applyNumberFormat="1" applyFont="1" applyFill="1" applyBorder="1">
      <alignment vertical="center"/>
    </xf>
    <xf numFmtId="176" fontId="1" fillId="0" borderId="10" xfId="0" applyNumberFormat="1" applyFont="1" applyFill="1" applyBorder="1" applyAlignment="1">
      <alignment vertical="center" wrapText="1"/>
    </xf>
    <xf numFmtId="176" fontId="1" fillId="0" borderId="10" xfId="0" applyNumberFormat="1" applyFont="1" applyFill="1" applyBorder="1">
      <alignment vertical="center"/>
    </xf>
    <xf numFmtId="3" fontId="1" fillId="0" borderId="11" xfId="0" applyNumberFormat="1" applyFont="1" applyFill="1" applyBorder="1" applyAlignment="1">
      <alignment vertical="center" wrapText="1"/>
    </xf>
    <xf numFmtId="0"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vertical="center" wrapText="1"/>
    </xf>
    <xf numFmtId="0" fontId="1" fillId="0" borderId="3"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center" wrapText="1"/>
    </xf>
    <xf numFmtId="178" fontId="1" fillId="0" borderId="3" xfId="2" applyNumberFormat="1" applyFont="1" applyFill="1" applyBorder="1" applyAlignment="1">
      <alignment horizontal="right" vertical="center" wrapText="1"/>
    </xf>
    <xf numFmtId="178" fontId="1" fillId="0" borderId="4" xfId="2" applyNumberFormat="1" applyFont="1" applyFill="1" applyBorder="1" applyAlignment="1">
      <alignment horizontal="right" vertical="center" wrapText="1"/>
    </xf>
    <xf numFmtId="0" fontId="1" fillId="0" borderId="5" xfId="0" applyNumberFormat="1" applyFont="1" applyFill="1" applyBorder="1" applyAlignment="1">
      <alignment horizontal="center" vertical="center"/>
    </xf>
    <xf numFmtId="0" fontId="1" fillId="0" borderId="6" xfId="0" applyNumberFormat="1" applyFont="1" applyFill="1" applyBorder="1" applyAlignment="1">
      <alignment horizontal="center" vertical="center"/>
    </xf>
    <xf numFmtId="0" fontId="3" fillId="0" borderId="0" xfId="0" applyNumberFormat="1" applyFont="1" applyFill="1" applyBorder="1" applyAlignment="1">
      <alignment horizontal="center" vertical="center"/>
    </xf>
    <xf numFmtId="0" fontId="1" fillId="0" borderId="7" xfId="0" applyNumberFormat="1" applyFont="1" applyFill="1" applyBorder="1" applyAlignment="1">
      <alignment horizontal="left" vertical="center" wrapText="1"/>
    </xf>
    <xf numFmtId="0" fontId="1" fillId="0" borderId="8" xfId="0" applyNumberFormat="1" applyFont="1" applyFill="1" applyBorder="1" applyAlignment="1">
      <alignment horizontal="left" vertical="center" wrapText="1"/>
    </xf>
    <xf numFmtId="0" fontId="1" fillId="0" borderId="9" xfId="0" applyNumberFormat="1" applyFont="1" applyFill="1" applyBorder="1" applyAlignment="1">
      <alignment horizontal="left" vertical="center" wrapText="1"/>
    </xf>
    <xf numFmtId="0" fontId="1" fillId="0" borderId="11" xfId="0" applyNumberFormat="1" applyFont="1" applyFill="1" applyBorder="1" applyAlignment="1">
      <alignment vertical="center" wrapText="1"/>
    </xf>
    <xf numFmtId="176" fontId="1" fillId="0" borderId="11" xfId="0" applyNumberFormat="1" applyFont="1" applyFill="1" applyBorder="1" applyAlignment="1">
      <alignment vertical="center" wrapText="1"/>
    </xf>
    <xf numFmtId="176" fontId="1" fillId="0" borderId="11" xfId="0" applyNumberFormat="1" applyFont="1" applyFill="1" applyBorder="1">
      <alignment vertical="center"/>
    </xf>
    <xf numFmtId="3" fontId="1" fillId="0" borderId="11" xfId="0" applyNumberFormat="1" applyFont="1" applyFill="1" applyBorder="1" applyAlignment="1">
      <alignment vertical="center" wrapText="1"/>
    </xf>
    <xf numFmtId="176" fontId="5" fillId="0" borderId="11" xfId="0" applyNumberFormat="1" applyFont="1" applyFill="1" applyBorder="1" applyAlignment="1">
      <alignment vertical="center" wrapText="1"/>
    </xf>
    <xf numFmtId="176" fontId="6" fillId="0" borderId="11" xfId="0" applyNumberFormat="1" applyFont="1" applyFill="1" applyBorder="1" applyAlignment="1">
      <alignment vertical="center" wrapText="1"/>
    </xf>
    <xf numFmtId="0" fontId="5" fillId="0" borderId="11" xfId="0" applyNumberFormat="1" applyFont="1" applyFill="1" applyBorder="1" applyAlignment="1">
      <alignment vertical="center" wrapText="1"/>
    </xf>
    <xf numFmtId="0" fontId="6" fillId="0" borderId="11" xfId="0" applyNumberFormat="1" applyFont="1" applyFill="1" applyBorder="1" applyAlignment="1">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850"/>
  <sheetViews>
    <sheetView tabSelected="1" topLeftCell="A142" zoomScaleNormal="100" workbookViewId="0">
      <selection activeCell="A25" sqref="A25"/>
    </sheetView>
  </sheetViews>
  <sheetFormatPr defaultRowHeight="16.5" x14ac:dyDescent="0.25"/>
  <cols>
    <col min="1" max="1" width="20.625" style="1" customWidth="1"/>
    <col min="2" max="3" width="18.625" style="1" customWidth="1"/>
    <col min="4" max="4" width="21" style="20" customWidth="1"/>
    <col min="5" max="5" width="20" style="6" customWidth="1"/>
    <col min="6" max="6" width="15.625" style="17" customWidth="1"/>
    <col min="7" max="7" width="15.625" style="9" customWidth="1"/>
    <col min="8" max="8" width="45.625" style="9" customWidth="1"/>
    <col min="9" max="9" width="15.5" style="9" customWidth="1"/>
    <col min="10" max="10" width="20.625" style="9" customWidth="1"/>
    <col min="11" max="11" width="9" style="1" customWidth="1"/>
    <col min="12" max="16384" width="9" style="1"/>
  </cols>
  <sheetData>
    <row r="1" spans="1:10" x14ac:dyDescent="0.25">
      <c r="A1" s="1" t="s">
        <v>0</v>
      </c>
      <c r="D1" s="6"/>
      <c r="F1" s="9"/>
    </row>
    <row r="2" spans="1:10" ht="27.75" x14ac:dyDescent="0.25">
      <c r="A2" s="41" t="s">
        <v>1</v>
      </c>
      <c r="B2" s="41"/>
      <c r="C2" s="41"/>
      <c r="D2" s="41"/>
      <c r="E2" s="41"/>
      <c r="F2" s="41"/>
      <c r="G2" s="41"/>
      <c r="H2" s="41"/>
      <c r="I2" s="41"/>
      <c r="J2" s="41"/>
    </row>
    <row r="3" spans="1:10" ht="27.75" x14ac:dyDescent="0.25">
      <c r="A3" s="41" t="s">
        <v>2</v>
      </c>
      <c r="B3" s="41"/>
      <c r="C3" s="41"/>
      <c r="D3" s="41"/>
      <c r="E3" s="41"/>
      <c r="F3" s="41"/>
      <c r="G3" s="41"/>
      <c r="H3" s="41"/>
      <c r="I3" s="41"/>
      <c r="J3" s="41"/>
    </row>
    <row r="4" spans="1:10" ht="33" x14ac:dyDescent="0.25">
      <c r="D4" s="1"/>
      <c r="E4" s="1"/>
      <c r="F4" s="1"/>
      <c r="G4" s="1"/>
      <c r="H4" s="1"/>
      <c r="I4" s="1"/>
      <c r="J4" s="12" t="s">
        <v>3</v>
      </c>
    </row>
    <row r="5" spans="1:10" x14ac:dyDescent="0.25">
      <c r="A5" s="7" t="s">
        <v>4</v>
      </c>
      <c r="B5" s="33" t="s">
        <v>5</v>
      </c>
      <c r="C5" s="33"/>
      <c r="D5" s="33"/>
      <c r="E5" s="33"/>
      <c r="F5" s="8" t="s">
        <v>6</v>
      </c>
      <c r="G5" s="33" t="s">
        <v>7</v>
      </c>
      <c r="H5" s="33"/>
      <c r="I5" s="33"/>
      <c r="J5" s="33"/>
    </row>
    <row r="6" spans="1:10" x14ac:dyDescent="0.25">
      <c r="A6" s="7" t="s">
        <v>8</v>
      </c>
      <c r="B6" s="42" t="s">
        <v>7</v>
      </c>
      <c r="C6" s="43"/>
      <c r="D6" s="43"/>
      <c r="E6" s="44"/>
      <c r="F6" s="8" t="s">
        <v>9</v>
      </c>
      <c r="G6" s="33" t="s">
        <v>10</v>
      </c>
      <c r="H6" s="33"/>
      <c r="I6" s="33"/>
      <c r="J6" s="33"/>
    </row>
    <row r="7" spans="1:10" x14ac:dyDescent="0.25">
      <c r="A7" s="39" t="s">
        <v>11</v>
      </c>
      <c r="B7" s="32" t="s">
        <v>12</v>
      </c>
      <c r="C7" s="32"/>
      <c r="D7" s="32"/>
      <c r="E7" s="32"/>
      <c r="F7" s="32"/>
      <c r="G7" s="32"/>
      <c r="H7" s="32"/>
      <c r="I7" s="32"/>
      <c r="J7" s="32"/>
    </row>
    <row r="8" spans="1:10" x14ac:dyDescent="0.25">
      <c r="A8" s="40"/>
      <c r="B8" s="32"/>
      <c r="C8" s="32"/>
      <c r="D8" s="32"/>
      <c r="E8" s="32"/>
      <c r="F8" s="32"/>
      <c r="G8" s="32"/>
      <c r="H8" s="32"/>
      <c r="I8" s="32"/>
      <c r="J8" s="32"/>
    </row>
    <row r="9" spans="1:10" x14ac:dyDescent="0.25">
      <c r="A9" s="7" t="s">
        <v>13</v>
      </c>
      <c r="B9" s="32" t="s">
        <v>14</v>
      </c>
      <c r="C9" s="32"/>
      <c r="D9" s="32"/>
      <c r="E9" s="32"/>
      <c r="F9" s="8" t="s">
        <v>15</v>
      </c>
      <c r="G9" s="33" t="s">
        <v>10</v>
      </c>
      <c r="H9" s="33"/>
      <c r="I9" s="33"/>
      <c r="J9" s="33"/>
    </row>
    <row r="10" spans="1:10" x14ac:dyDescent="0.25">
      <c r="A10" s="7" t="s">
        <v>16</v>
      </c>
      <c r="B10" s="7" t="s">
        <v>17</v>
      </c>
      <c r="C10" s="7" t="s">
        <v>18</v>
      </c>
      <c r="D10" s="5" t="s">
        <v>19</v>
      </c>
      <c r="E10" s="8" t="s">
        <v>20</v>
      </c>
      <c r="F10" s="8" t="s">
        <v>21</v>
      </c>
      <c r="G10" s="8" t="s">
        <v>22</v>
      </c>
      <c r="H10" s="8" t="s">
        <v>23</v>
      </c>
      <c r="I10" s="34" t="s">
        <v>24</v>
      </c>
      <c r="J10" s="36"/>
    </row>
    <row r="11" spans="1:10" ht="33" x14ac:dyDescent="0.25">
      <c r="A11" s="10" t="s">
        <v>25</v>
      </c>
      <c r="B11" s="3">
        <v>58988650</v>
      </c>
      <c r="C11" s="3">
        <v>21930770</v>
      </c>
      <c r="D11" s="3">
        <v>0</v>
      </c>
      <c r="E11" s="3">
        <v>3617939</v>
      </c>
      <c r="F11" s="3">
        <v>0</v>
      </c>
      <c r="G11" s="3">
        <v>23358346</v>
      </c>
      <c r="H11" s="2">
        <f>B11-C11-D11-E11-F11-G11</f>
        <v>10081595</v>
      </c>
      <c r="I11" s="37">
        <f t="shared" ref="I11:I16" si="0">IF(B11,(C11/B11)*100,0)</f>
        <v>37.177948639272131</v>
      </c>
      <c r="J11" s="38"/>
    </row>
    <row r="12" spans="1:10" x14ac:dyDescent="0.25">
      <c r="A12" s="10" t="s">
        <v>26</v>
      </c>
      <c r="B12" s="3">
        <v>7619450</v>
      </c>
      <c r="C12" s="3">
        <v>3682313</v>
      </c>
      <c r="D12" s="3">
        <v>0</v>
      </c>
      <c r="E12" s="3">
        <v>624501</v>
      </c>
      <c r="F12" s="3">
        <v>0</v>
      </c>
      <c r="G12" s="3">
        <v>52500</v>
      </c>
      <c r="H12" s="2">
        <f>B12-C12-D12-E12-F12-G12</f>
        <v>3260136</v>
      </c>
      <c r="I12" s="37">
        <f t="shared" si="0"/>
        <v>48.327805812755514</v>
      </c>
      <c r="J12" s="38"/>
    </row>
    <row r="13" spans="1:10" ht="33" x14ac:dyDescent="0.25">
      <c r="A13" s="10" t="s">
        <v>27</v>
      </c>
      <c r="B13" s="3">
        <v>1635400</v>
      </c>
      <c r="C13" s="3">
        <v>602128</v>
      </c>
      <c r="D13" s="3">
        <v>0</v>
      </c>
      <c r="E13" s="3">
        <v>489706</v>
      </c>
      <c r="F13" s="3">
        <v>0</v>
      </c>
      <c r="G13" s="3">
        <v>0</v>
      </c>
      <c r="H13" s="2">
        <f>B13-C13-D13-E13-F13-G13</f>
        <v>543566</v>
      </c>
      <c r="I13" s="37">
        <f t="shared" si="0"/>
        <v>36.818393053687174</v>
      </c>
      <c r="J13" s="38"/>
    </row>
    <row r="14" spans="1:10" ht="33" x14ac:dyDescent="0.25">
      <c r="A14" s="10" t="s">
        <v>28</v>
      </c>
      <c r="B14" s="3">
        <v>30000</v>
      </c>
      <c r="C14" s="3">
        <v>0</v>
      </c>
      <c r="D14" s="3">
        <v>0</v>
      </c>
      <c r="E14" s="3">
        <v>0</v>
      </c>
      <c r="F14" s="3">
        <v>0</v>
      </c>
      <c r="G14" s="3">
        <v>0</v>
      </c>
      <c r="H14" s="2">
        <f>B14-C14-D14-E14-F14-G14</f>
        <v>30000</v>
      </c>
      <c r="I14" s="37">
        <f t="shared" si="0"/>
        <v>0</v>
      </c>
      <c r="J14" s="38"/>
    </row>
    <row r="15" spans="1:10" ht="33" x14ac:dyDescent="0.25">
      <c r="A15" s="10" t="s">
        <v>29</v>
      </c>
      <c r="B15" s="3">
        <v>7326500</v>
      </c>
      <c r="C15" s="3">
        <v>3290706</v>
      </c>
      <c r="D15" s="3">
        <v>0</v>
      </c>
      <c r="E15" s="3">
        <v>334128</v>
      </c>
      <c r="F15" s="3">
        <v>0</v>
      </c>
      <c r="G15" s="3">
        <v>2948000</v>
      </c>
      <c r="H15" s="2">
        <f>B15-C15-D15-E15-F15-G15</f>
        <v>753666</v>
      </c>
      <c r="I15" s="37">
        <f t="shared" si="0"/>
        <v>44.915116358424896</v>
      </c>
      <c r="J15" s="38"/>
    </row>
    <row r="16" spans="1:10" x14ac:dyDescent="0.25">
      <c r="A16" s="7" t="s">
        <v>30</v>
      </c>
      <c r="B16" s="3">
        <v>75600000</v>
      </c>
      <c r="C16" s="3">
        <v>29505917</v>
      </c>
      <c r="D16" s="3">
        <v>0</v>
      </c>
      <c r="E16" s="3">
        <v>5066274</v>
      </c>
      <c r="F16" s="3">
        <v>0</v>
      </c>
      <c r="G16" s="3">
        <v>26358846</v>
      </c>
      <c r="H16" s="4">
        <f>B16-C16-D16-E16-F16-G16-F17</f>
        <v>14668963</v>
      </c>
      <c r="I16" s="37">
        <f t="shared" si="0"/>
        <v>39.028990740740745</v>
      </c>
      <c r="J16" s="38"/>
    </row>
    <row r="17" spans="1:13" x14ac:dyDescent="0.25">
      <c r="A17" s="7" t="s">
        <v>31</v>
      </c>
      <c r="B17" s="3">
        <v>0</v>
      </c>
      <c r="C17" s="7" t="s">
        <v>32</v>
      </c>
      <c r="D17" s="3">
        <v>0</v>
      </c>
      <c r="E17" s="3"/>
      <c r="F17" s="18"/>
      <c r="G17" s="3"/>
      <c r="H17" s="13"/>
      <c r="I17" s="8"/>
      <c r="J17" s="3"/>
    </row>
    <row r="18" spans="1:13" x14ac:dyDescent="0.25">
      <c r="A18" s="7" t="s">
        <v>33</v>
      </c>
      <c r="B18" s="16">
        <v>0</v>
      </c>
      <c r="C18" s="7"/>
      <c r="D18" s="16"/>
      <c r="E18" s="16"/>
      <c r="F18" s="19"/>
      <c r="G18" s="19"/>
      <c r="H18" s="14"/>
      <c r="I18" s="8" t="s">
        <v>34</v>
      </c>
      <c r="J18" s="15">
        <v>-60931037</v>
      </c>
    </row>
    <row r="19" spans="1:13" x14ac:dyDescent="0.25">
      <c r="B19" s="9"/>
      <c r="D19" s="6"/>
      <c r="F19" s="9"/>
    </row>
    <row r="20" spans="1:13" x14ac:dyDescent="0.25">
      <c r="A20" s="7" t="s">
        <v>16</v>
      </c>
      <c r="B20" s="7" t="s">
        <v>35</v>
      </c>
      <c r="C20" s="7" t="s">
        <v>36</v>
      </c>
      <c r="D20" s="5" t="s">
        <v>37</v>
      </c>
      <c r="E20" s="11" t="s">
        <v>38</v>
      </c>
      <c r="F20" s="8" t="s">
        <v>39</v>
      </c>
      <c r="G20" s="34" t="s">
        <v>40</v>
      </c>
      <c r="H20" s="35"/>
      <c r="I20" s="8" t="s">
        <v>41</v>
      </c>
      <c r="J20" s="8" t="s">
        <v>42</v>
      </c>
      <c r="K20" s="9"/>
      <c r="L20" s="9"/>
      <c r="M20" s="9"/>
    </row>
    <row r="21" spans="1:13" x14ac:dyDescent="0.25">
      <c r="A21" s="24" t="s">
        <v>43</v>
      </c>
      <c r="B21" s="21"/>
      <c r="C21" s="21"/>
      <c r="D21" s="22"/>
      <c r="E21" s="21"/>
      <c r="F21" s="23"/>
      <c r="G21" s="22"/>
      <c r="H21" s="22"/>
      <c r="I21" s="22"/>
      <c r="J21" s="22"/>
    </row>
    <row r="22" spans="1:13" x14ac:dyDescent="0.25">
      <c r="B22" s="28" t="s">
        <v>44</v>
      </c>
      <c r="C22" s="45" t="s">
        <v>45</v>
      </c>
      <c r="D22" s="46"/>
      <c r="E22" s="47"/>
      <c r="F22" s="48"/>
      <c r="G22" s="45"/>
      <c r="H22" s="45"/>
      <c r="I22" s="45"/>
      <c r="J22" s="45"/>
    </row>
    <row r="23" spans="1:13" x14ac:dyDescent="0.25">
      <c r="A23" s="24" t="s">
        <v>46</v>
      </c>
      <c r="B23" s="21"/>
      <c r="C23" s="21"/>
      <c r="D23" s="29"/>
      <c r="E23" s="30"/>
      <c r="F23" s="23"/>
      <c r="G23" s="22"/>
      <c r="H23" s="22"/>
      <c r="I23" s="22"/>
      <c r="J23" s="22"/>
    </row>
    <row r="24" spans="1:13" x14ac:dyDescent="0.25">
      <c r="B24" s="28" t="s">
        <v>44</v>
      </c>
      <c r="C24" s="45" t="s">
        <v>47</v>
      </c>
      <c r="D24" s="46"/>
      <c r="E24" s="47"/>
      <c r="F24" s="48"/>
      <c r="G24" s="45"/>
      <c r="H24" s="45"/>
      <c r="I24" s="45"/>
      <c r="J24" s="45"/>
    </row>
    <row r="25" spans="1:13" x14ac:dyDescent="0.25">
      <c r="A25" s="24" t="s">
        <v>25</v>
      </c>
      <c r="B25" s="21"/>
      <c r="C25" s="21"/>
      <c r="D25" s="29"/>
      <c r="E25" s="30"/>
      <c r="F25" s="23"/>
      <c r="G25" s="22"/>
      <c r="H25" s="22"/>
      <c r="I25" s="22"/>
      <c r="J25" s="22"/>
    </row>
    <row r="26" spans="1:13" ht="33" x14ac:dyDescent="0.25">
      <c r="A26" s="1" t="s">
        <v>48</v>
      </c>
      <c r="B26" s="25" t="s">
        <v>49</v>
      </c>
      <c r="C26" s="25" t="s">
        <v>50</v>
      </c>
      <c r="D26" s="27" t="s">
        <v>51</v>
      </c>
      <c r="E26" s="27" t="s">
        <v>52</v>
      </c>
      <c r="F26" s="31">
        <v>38370</v>
      </c>
      <c r="G26" s="45" t="s">
        <v>53</v>
      </c>
      <c r="H26" s="45"/>
      <c r="I26" s="26" t="s">
        <v>54</v>
      </c>
      <c r="J26" s="26" t="s">
        <v>7</v>
      </c>
    </row>
    <row r="27" spans="1:13" ht="33" x14ac:dyDescent="0.25">
      <c r="A27" s="1" t="s">
        <v>48</v>
      </c>
      <c r="B27" s="25" t="s">
        <v>49</v>
      </c>
      <c r="C27" s="25" t="s">
        <v>55</v>
      </c>
      <c r="D27" s="27" t="s">
        <v>51</v>
      </c>
      <c r="E27" s="27" t="s">
        <v>56</v>
      </c>
      <c r="F27" s="31">
        <v>32900</v>
      </c>
      <c r="G27" s="45" t="s">
        <v>57</v>
      </c>
      <c r="H27" s="45"/>
      <c r="I27" s="26" t="s">
        <v>58</v>
      </c>
      <c r="J27" s="26" t="s">
        <v>7</v>
      </c>
    </row>
    <row r="28" spans="1:13" ht="33" x14ac:dyDescent="0.25">
      <c r="A28" s="1" t="s">
        <v>48</v>
      </c>
      <c r="B28" s="25" t="s">
        <v>49</v>
      </c>
      <c r="C28" s="25" t="s">
        <v>59</v>
      </c>
      <c r="D28" s="27" t="s">
        <v>51</v>
      </c>
      <c r="E28" s="27" t="s">
        <v>60</v>
      </c>
      <c r="F28" s="31">
        <v>55000</v>
      </c>
      <c r="G28" s="45" t="s">
        <v>61</v>
      </c>
      <c r="H28" s="45"/>
      <c r="I28" s="26" t="s">
        <v>62</v>
      </c>
      <c r="J28" s="26" t="s">
        <v>7</v>
      </c>
    </row>
    <row r="29" spans="1:13" ht="33" x14ac:dyDescent="0.25">
      <c r="A29" s="1" t="s">
        <v>48</v>
      </c>
      <c r="B29" s="25" t="s">
        <v>63</v>
      </c>
      <c r="C29" s="25" t="s">
        <v>64</v>
      </c>
      <c r="D29" s="27" t="s">
        <v>51</v>
      </c>
      <c r="E29" s="27" t="s">
        <v>65</v>
      </c>
      <c r="F29" s="31">
        <v>25387</v>
      </c>
      <c r="G29" s="45" t="s">
        <v>66</v>
      </c>
      <c r="H29" s="45"/>
      <c r="I29" s="26" t="s">
        <v>67</v>
      </c>
      <c r="J29" s="26" t="s">
        <v>7</v>
      </c>
    </row>
    <row r="30" spans="1:13" ht="33" x14ac:dyDescent="0.25">
      <c r="A30" s="1" t="s">
        <v>22</v>
      </c>
      <c r="B30" s="25" t="s">
        <v>68</v>
      </c>
      <c r="C30" s="25" t="s">
        <v>69</v>
      </c>
      <c r="D30" s="27" t="s">
        <v>7</v>
      </c>
      <c r="E30" s="27" t="s">
        <v>70</v>
      </c>
      <c r="F30" s="31">
        <v>2000000</v>
      </c>
      <c r="G30" s="45" t="s">
        <v>71</v>
      </c>
      <c r="H30" s="45"/>
      <c r="I30" s="26" t="s">
        <v>72</v>
      </c>
      <c r="J30" s="26" t="s">
        <v>7</v>
      </c>
    </row>
    <row r="31" spans="1:13" x14ac:dyDescent="0.25">
      <c r="A31" s="1" t="s">
        <v>22</v>
      </c>
      <c r="B31" s="25" t="s">
        <v>73</v>
      </c>
      <c r="C31" s="25" t="s">
        <v>69</v>
      </c>
      <c r="D31" s="27" t="s">
        <v>7</v>
      </c>
      <c r="E31" s="27" t="s">
        <v>74</v>
      </c>
      <c r="F31" s="31">
        <v>1490000</v>
      </c>
      <c r="G31" s="45" t="s">
        <v>75</v>
      </c>
      <c r="H31" s="45"/>
      <c r="I31" s="26" t="s">
        <v>76</v>
      </c>
      <c r="J31" s="26" t="s">
        <v>7</v>
      </c>
    </row>
    <row r="32" spans="1:13" ht="33" x14ac:dyDescent="0.25">
      <c r="A32" s="1" t="s">
        <v>48</v>
      </c>
      <c r="B32" s="25" t="s">
        <v>77</v>
      </c>
      <c r="C32" s="25" t="s">
        <v>78</v>
      </c>
      <c r="D32" s="27" t="s">
        <v>79</v>
      </c>
      <c r="E32" s="27" t="s">
        <v>80</v>
      </c>
      <c r="F32" s="31">
        <v>17590</v>
      </c>
      <c r="G32" s="45" t="s">
        <v>81</v>
      </c>
      <c r="H32" s="45"/>
      <c r="I32" s="26" t="s">
        <v>82</v>
      </c>
      <c r="J32" s="26" t="s">
        <v>7</v>
      </c>
    </row>
    <row r="33" spans="1:10" ht="33" x14ac:dyDescent="0.25">
      <c r="A33" s="1" t="s">
        <v>48</v>
      </c>
      <c r="B33" s="25" t="s">
        <v>77</v>
      </c>
      <c r="C33" s="25" t="s">
        <v>83</v>
      </c>
      <c r="D33" s="27" t="s">
        <v>79</v>
      </c>
      <c r="E33" s="27" t="s">
        <v>84</v>
      </c>
      <c r="F33" s="31">
        <v>111000</v>
      </c>
      <c r="G33" s="45" t="s">
        <v>85</v>
      </c>
      <c r="H33" s="45"/>
      <c r="I33" s="26" t="s">
        <v>86</v>
      </c>
      <c r="J33" s="26" t="s">
        <v>7</v>
      </c>
    </row>
    <row r="34" spans="1:10" ht="33" x14ac:dyDescent="0.25">
      <c r="A34" s="1" t="s">
        <v>48</v>
      </c>
      <c r="B34" s="25" t="s">
        <v>77</v>
      </c>
      <c r="C34" s="25" t="s">
        <v>87</v>
      </c>
      <c r="D34" s="27" t="s">
        <v>88</v>
      </c>
      <c r="E34" s="27" t="s">
        <v>89</v>
      </c>
      <c r="F34" s="31">
        <v>12400</v>
      </c>
      <c r="G34" s="45" t="s">
        <v>90</v>
      </c>
      <c r="H34" s="45"/>
      <c r="I34" s="26" t="s">
        <v>58</v>
      </c>
      <c r="J34" s="26" t="s">
        <v>7</v>
      </c>
    </row>
    <row r="35" spans="1:10" ht="33" x14ac:dyDescent="0.25">
      <c r="A35" s="1" t="s">
        <v>48</v>
      </c>
      <c r="B35" s="25" t="s">
        <v>91</v>
      </c>
      <c r="C35" s="25" t="s">
        <v>92</v>
      </c>
      <c r="D35" s="27" t="s">
        <v>51</v>
      </c>
      <c r="E35" s="27" t="s">
        <v>93</v>
      </c>
      <c r="F35" s="31">
        <v>39480</v>
      </c>
      <c r="G35" s="45" t="s">
        <v>94</v>
      </c>
      <c r="H35" s="45"/>
      <c r="I35" s="26" t="s">
        <v>95</v>
      </c>
      <c r="J35" s="26" t="s">
        <v>7</v>
      </c>
    </row>
    <row r="36" spans="1:10" ht="33" x14ac:dyDescent="0.25">
      <c r="A36" s="1" t="s">
        <v>48</v>
      </c>
      <c r="B36" s="25" t="s">
        <v>96</v>
      </c>
      <c r="C36" s="25" t="s">
        <v>97</v>
      </c>
      <c r="D36" s="27" t="s">
        <v>51</v>
      </c>
      <c r="E36" s="27" t="s">
        <v>98</v>
      </c>
      <c r="F36" s="31">
        <v>145200</v>
      </c>
      <c r="G36" s="45" t="s">
        <v>99</v>
      </c>
      <c r="H36" s="45"/>
      <c r="I36" s="26" t="s">
        <v>100</v>
      </c>
      <c r="J36" s="26" t="s">
        <v>7</v>
      </c>
    </row>
    <row r="37" spans="1:10" x14ac:dyDescent="0.25">
      <c r="A37" s="1" t="s">
        <v>22</v>
      </c>
      <c r="B37" s="25" t="s">
        <v>96</v>
      </c>
      <c r="C37" s="25" t="s">
        <v>69</v>
      </c>
      <c r="D37" s="27" t="s">
        <v>7</v>
      </c>
      <c r="E37" s="27" t="s">
        <v>101</v>
      </c>
      <c r="F37" s="31">
        <v>20000</v>
      </c>
      <c r="G37" s="45" t="s">
        <v>102</v>
      </c>
      <c r="H37" s="45"/>
      <c r="I37" s="26" t="s">
        <v>103</v>
      </c>
      <c r="J37" s="26" t="s">
        <v>7</v>
      </c>
    </row>
    <row r="38" spans="1:10" ht="33" x14ac:dyDescent="0.25">
      <c r="A38" s="1" t="s">
        <v>48</v>
      </c>
      <c r="B38" s="25" t="s">
        <v>104</v>
      </c>
      <c r="C38" s="25" t="s">
        <v>105</v>
      </c>
      <c r="D38" s="27" t="s">
        <v>51</v>
      </c>
      <c r="E38" s="27" t="s">
        <v>106</v>
      </c>
      <c r="F38" s="31">
        <v>11360</v>
      </c>
      <c r="G38" s="45" t="s">
        <v>107</v>
      </c>
      <c r="H38" s="45"/>
      <c r="I38" s="26" t="s">
        <v>58</v>
      </c>
      <c r="J38" s="26" t="s">
        <v>7</v>
      </c>
    </row>
    <row r="39" spans="1:10" ht="33" x14ac:dyDescent="0.25">
      <c r="A39" s="1" t="s">
        <v>48</v>
      </c>
      <c r="B39" s="25" t="s">
        <v>104</v>
      </c>
      <c r="C39" s="25" t="s">
        <v>108</v>
      </c>
      <c r="D39" s="27" t="s">
        <v>79</v>
      </c>
      <c r="E39" s="27" t="s">
        <v>109</v>
      </c>
      <c r="F39" s="31">
        <v>22374</v>
      </c>
      <c r="G39" s="45" t="s">
        <v>110</v>
      </c>
      <c r="H39" s="45"/>
      <c r="I39" s="26" t="s">
        <v>62</v>
      </c>
      <c r="J39" s="26" t="s">
        <v>7</v>
      </c>
    </row>
    <row r="40" spans="1:10" ht="33" x14ac:dyDescent="0.25">
      <c r="A40" s="1" t="s">
        <v>48</v>
      </c>
      <c r="B40" s="25" t="s">
        <v>104</v>
      </c>
      <c r="C40" s="25" t="s">
        <v>111</v>
      </c>
      <c r="D40" s="27" t="s">
        <v>51</v>
      </c>
      <c r="E40" s="27" t="s">
        <v>112</v>
      </c>
      <c r="F40" s="31">
        <v>79735</v>
      </c>
      <c r="G40" s="45" t="s">
        <v>113</v>
      </c>
      <c r="H40" s="45"/>
      <c r="I40" s="26" t="s">
        <v>82</v>
      </c>
      <c r="J40" s="26" t="s">
        <v>7</v>
      </c>
    </row>
    <row r="41" spans="1:10" ht="46.5" customHeight="1" x14ac:dyDescent="0.25">
      <c r="A41" s="1" t="s">
        <v>48</v>
      </c>
      <c r="B41" s="25" t="s">
        <v>114</v>
      </c>
      <c r="C41" s="25" t="s">
        <v>115</v>
      </c>
      <c r="D41" s="27" t="s">
        <v>51</v>
      </c>
      <c r="E41" s="27" t="s">
        <v>116</v>
      </c>
      <c r="F41" s="31">
        <v>1400000</v>
      </c>
      <c r="G41" s="45" t="s">
        <v>117</v>
      </c>
      <c r="H41" s="45"/>
      <c r="I41" s="26" t="s">
        <v>118</v>
      </c>
      <c r="J41" s="26" t="s">
        <v>7</v>
      </c>
    </row>
    <row r="42" spans="1:10" ht="33" x14ac:dyDescent="0.25">
      <c r="A42" s="1" t="s">
        <v>48</v>
      </c>
      <c r="B42" s="25" t="s">
        <v>114</v>
      </c>
      <c r="C42" s="25" t="s">
        <v>119</v>
      </c>
      <c r="D42" s="27" t="s">
        <v>51</v>
      </c>
      <c r="E42" s="27" t="s">
        <v>120</v>
      </c>
      <c r="F42" s="31">
        <v>149800</v>
      </c>
      <c r="G42" s="45" t="s">
        <v>121</v>
      </c>
      <c r="H42" s="45"/>
      <c r="I42" s="26" t="s">
        <v>122</v>
      </c>
      <c r="J42" s="26" t="s">
        <v>7</v>
      </c>
    </row>
    <row r="43" spans="1:10" ht="33" x14ac:dyDescent="0.25">
      <c r="A43" s="1" t="s">
        <v>48</v>
      </c>
      <c r="B43" s="25" t="s">
        <v>114</v>
      </c>
      <c r="C43" s="25" t="s">
        <v>123</v>
      </c>
      <c r="D43" s="27" t="s">
        <v>51</v>
      </c>
      <c r="E43" s="27" t="s">
        <v>124</v>
      </c>
      <c r="F43" s="31">
        <v>143557</v>
      </c>
      <c r="G43" s="45" t="s">
        <v>125</v>
      </c>
      <c r="H43" s="45"/>
      <c r="I43" s="26" t="s">
        <v>126</v>
      </c>
      <c r="J43" s="26" t="s">
        <v>7</v>
      </c>
    </row>
    <row r="44" spans="1:10" ht="33" x14ac:dyDescent="0.25">
      <c r="A44" s="1" t="s">
        <v>48</v>
      </c>
      <c r="B44" s="25" t="s">
        <v>114</v>
      </c>
      <c r="C44" s="25" t="s">
        <v>127</v>
      </c>
      <c r="D44" s="27" t="s">
        <v>88</v>
      </c>
      <c r="E44" s="27" t="s">
        <v>128</v>
      </c>
      <c r="F44" s="31">
        <v>385579</v>
      </c>
      <c r="G44" s="45" t="s">
        <v>129</v>
      </c>
      <c r="H44" s="45"/>
      <c r="I44" s="26" t="s">
        <v>54</v>
      </c>
      <c r="J44" s="26" t="s">
        <v>7</v>
      </c>
    </row>
    <row r="45" spans="1:10" ht="33" x14ac:dyDescent="0.25">
      <c r="A45" s="1" t="s">
        <v>48</v>
      </c>
      <c r="B45" s="25" t="s">
        <v>114</v>
      </c>
      <c r="C45" s="25" t="s">
        <v>130</v>
      </c>
      <c r="D45" s="27" t="s">
        <v>51</v>
      </c>
      <c r="E45" s="27" t="s">
        <v>131</v>
      </c>
      <c r="F45" s="31">
        <v>234545</v>
      </c>
      <c r="G45" s="45" t="s">
        <v>132</v>
      </c>
      <c r="H45" s="45"/>
      <c r="I45" s="26" t="s">
        <v>133</v>
      </c>
      <c r="J45" s="26" t="s">
        <v>7</v>
      </c>
    </row>
    <row r="46" spans="1:10" ht="33" x14ac:dyDescent="0.25">
      <c r="A46" s="1" t="s">
        <v>48</v>
      </c>
      <c r="B46" s="25" t="s">
        <v>134</v>
      </c>
      <c r="C46" s="25" t="s">
        <v>135</v>
      </c>
      <c r="D46" s="27" t="s">
        <v>51</v>
      </c>
      <c r="E46" s="27" t="s">
        <v>136</v>
      </c>
      <c r="F46" s="31">
        <v>50000</v>
      </c>
      <c r="G46" s="45" t="s">
        <v>137</v>
      </c>
      <c r="H46" s="45"/>
      <c r="I46" s="26" t="s">
        <v>138</v>
      </c>
      <c r="J46" s="26" t="s">
        <v>7</v>
      </c>
    </row>
    <row r="47" spans="1:10" x14ac:dyDescent="0.25">
      <c r="A47" s="1" t="s">
        <v>22</v>
      </c>
      <c r="B47" s="25" t="s">
        <v>134</v>
      </c>
      <c r="C47" s="25" t="s">
        <v>69</v>
      </c>
      <c r="D47" s="27" t="s">
        <v>7</v>
      </c>
      <c r="E47" s="27" t="s">
        <v>139</v>
      </c>
      <c r="F47" s="31">
        <v>1385000</v>
      </c>
      <c r="G47" s="45" t="s">
        <v>140</v>
      </c>
      <c r="H47" s="45"/>
      <c r="I47" s="26" t="s">
        <v>141</v>
      </c>
      <c r="J47" s="26" t="s">
        <v>7</v>
      </c>
    </row>
    <row r="48" spans="1:10" ht="33" x14ac:dyDescent="0.25">
      <c r="A48" s="1" t="s">
        <v>48</v>
      </c>
      <c r="B48" s="25" t="s">
        <v>142</v>
      </c>
      <c r="C48" s="25" t="s">
        <v>143</v>
      </c>
      <c r="D48" s="27" t="s">
        <v>88</v>
      </c>
      <c r="E48" s="27" t="s">
        <v>144</v>
      </c>
      <c r="F48" s="31">
        <v>12400</v>
      </c>
      <c r="G48" s="45" t="s">
        <v>90</v>
      </c>
      <c r="H48" s="45"/>
      <c r="I48" s="26" t="s">
        <v>58</v>
      </c>
      <c r="J48" s="26" t="s">
        <v>7</v>
      </c>
    </row>
    <row r="49" spans="1:10" ht="33" x14ac:dyDescent="0.25">
      <c r="A49" s="1" t="s">
        <v>48</v>
      </c>
      <c r="B49" s="25" t="s">
        <v>142</v>
      </c>
      <c r="C49" s="25" t="s">
        <v>145</v>
      </c>
      <c r="D49" s="27" t="s">
        <v>146</v>
      </c>
      <c r="E49" s="27" t="s">
        <v>147</v>
      </c>
      <c r="F49" s="31">
        <v>147000</v>
      </c>
      <c r="G49" s="45" t="s">
        <v>148</v>
      </c>
      <c r="H49" s="45"/>
      <c r="I49" s="26" t="s">
        <v>149</v>
      </c>
      <c r="J49" s="26" t="s">
        <v>7</v>
      </c>
    </row>
    <row r="50" spans="1:10" ht="33" x14ac:dyDescent="0.25">
      <c r="A50" s="1" t="s">
        <v>48</v>
      </c>
      <c r="B50" s="25" t="s">
        <v>150</v>
      </c>
      <c r="C50" s="25" t="s">
        <v>151</v>
      </c>
      <c r="D50" s="27" t="s">
        <v>79</v>
      </c>
      <c r="E50" s="27" t="s">
        <v>152</v>
      </c>
      <c r="F50" s="31">
        <v>210000</v>
      </c>
      <c r="G50" s="45" t="s">
        <v>153</v>
      </c>
      <c r="H50" s="45"/>
      <c r="I50" s="26" t="s">
        <v>126</v>
      </c>
      <c r="J50" s="26" t="s">
        <v>7</v>
      </c>
    </row>
    <row r="51" spans="1:10" ht="33" x14ac:dyDescent="0.25">
      <c r="A51" s="1" t="s">
        <v>22</v>
      </c>
      <c r="B51" s="25" t="s">
        <v>150</v>
      </c>
      <c r="C51" s="25" t="s">
        <v>69</v>
      </c>
      <c r="D51" s="27" t="s">
        <v>7</v>
      </c>
      <c r="E51" s="27" t="s">
        <v>154</v>
      </c>
      <c r="F51" s="31">
        <v>1400000</v>
      </c>
      <c r="G51" s="45" t="s">
        <v>155</v>
      </c>
      <c r="H51" s="45"/>
      <c r="I51" s="26" t="s">
        <v>156</v>
      </c>
      <c r="J51" s="26" t="s">
        <v>7</v>
      </c>
    </row>
    <row r="52" spans="1:10" ht="33" x14ac:dyDescent="0.25">
      <c r="A52" s="1" t="s">
        <v>48</v>
      </c>
      <c r="B52" s="25" t="s">
        <v>157</v>
      </c>
      <c r="C52" s="25" t="s">
        <v>158</v>
      </c>
      <c r="D52" s="27" t="s">
        <v>51</v>
      </c>
      <c r="E52" s="27" t="s">
        <v>159</v>
      </c>
      <c r="F52" s="31">
        <v>33612</v>
      </c>
      <c r="G52" s="45" t="s">
        <v>160</v>
      </c>
      <c r="H52" s="45"/>
      <c r="I52" s="26" t="s">
        <v>103</v>
      </c>
      <c r="J52" s="26" t="s">
        <v>7</v>
      </c>
    </row>
    <row r="53" spans="1:10" ht="33" x14ac:dyDescent="0.25">
      <c r="A53" s="1" t="s">
        <v>48</v>
      </c>
      <c r="B53" s="25" t="s">
        <v>157</v>
      </c>
      <c r="C53" s="25" t="s">
        <v>161</v>
      </c>
      <c r="D53" s="27" t="s">
        <v>51</v>
      </c>
      <c r="E53" s="27" t="s">
        <v>162</v>
      </c>
      <c r="F53" s="31">
        <v>122256</v>
      </c>
      <c r="G53" s="45" t="s">
        <v>163</v>
      </c>
      <c r="H53" s="45"/>
      <c r="I53" s="26" t="s">
        <v>103</v>
      </c>
      <c r="J53" s="26" t="s">
        <v>7</v>
      </c>
    </row>
    <row r="54" spans="1:10" x14ac:dyDescent="0.25">
      <c r="A54" s="1" t="s">
        <v>22</v>
      </c>
      <c r="B54" s="25" t="s">
        <v>157</v>
      </c>
      <c r="C54" s="25" t="s">
        <v>69</v>
      </c>
      <c r="D54" s="27" t="s">
        <v>7</v>
      </c>
      <c r="E54" s="27" t="s">
        <v>164</v>
      </c>
      <c r="F54" s="31">
        <v>800000</v>
      </c>
      <c r="G54" s="45" t="s">
        <v>165</v>
      </c>
      <c r="H54" s="45"/>
      <c r="I54" s="26" t="s">
        <v>166</v>
      </c>
      <c r="J54" s="26" t="s">
        <v>7</v>
      </c>
    </row>
    <row r="55" spans="1:10" ht="33" x14ac:dyDescent="0.25">
      <c r="A55" s="1" t="s">
        <v>48</v>
      </c>
      <c r="B55" s="25" t="s">
        <v>167</v>
      </c>
      <c r="C55" s="25" t="s">
        <v>168</v>
      </c>
      <c r="D55" s="27" t="s">
        <v>51</v>
      </c>
      <c r="E55" s="27" t="s">
        <v>169</v>
      </c>
      <c r="F55" s="31">
        <v>1400000</v>
      </c>
      <c r="G55" s="45" t="s">
        <v>170</v>
      </c>
      <c r="H55" s="45"/>
      <c r="I55" s="26" t="s">
        <v>171</v>
      </c>
      <c r="J55" s="26" t="s">
        <v>7</v>
      </c>
    </row>
    <row r="56" spans="1:10" ht="33" x14ac:dyDescent="0.25">
      <c r="A56" s="1" t="s">
        <v>48</v>
      </c>
      <c r="B56" s="25" t="s">
        <v>172</v>
      </c>
      <c r="C56" s="25" t="s">
        <v>173</v>
      </c>
      <c r="D56" s="27" t="s">
        <v>88</v>
      </c>
      <c r="E56" s="27" t="s">
        <v>174</v>
      </c>
      <c r="F56" s="31">
        <v>47407</v>
      </c>
      <c r="G56" s="45" t="s">
        <v>175</v>
      </c>
      <c r="H56" s="45"/>
      <c r="I56" s="26" t="s">
        <v>82</v>
      </c>
      <c r="J56" s="26" t="s">
        <v>7</v>
      </c>
    </row>
    <row r="57" spans="1:10" x14ac:dyDescent="0.25">
      <c r="A57" s="1" t="s">
        <v>22</v>
      </c>
      <c r="B57" s="25" t="s">
        <v>176</v>
      </c>
      <c r="C57" s="25" t="s">
        <v>69</v>
      </c>
      <c r="D57" s="27" t="s">
        <v>7</v>
      </c>
      <c r="E57" s="27" t="s">
        <v>177</v>
      </c>
      <c r="F57" s="31">
        <v>160164</v>
      </c>
      <c r="G57" s="45" t="s">
        <v>178</v>
      </c>
      <c r="H57" s="45"/>
      <c r="I57" s="26" t="s">
        <v>179</v>
      </c>
      <c r="J57" s="26" t="s">
        <v>7</v>
      </c>
    </row>
    <row r="58" spans="1:10" ht="33" x14ac:dyDescent="0.25">
      <c r="A58" s="1" t="s">
        <v>48</v>
      </c>
      <c r="B58" s="25" t="s">
        <v>180</v>
      </c>
      <c r="C58" s="25" t="s">
        <v>181</v>
      </c>
      <c r="D58" s="27" t="s">
        <v>51</v>
      </c>
      <c r="E58" s="27" t="s">
        <v>182</v>
      </c>
      <c r="F58" s="31">
        <v>40000</v>
      </c>
      <c r="G58" s="45" t="s">
        <v>183</v>
      </c>
      <c r="H58" s="45"/>
      <c r="I58" s="26" t="s">
        <v>184</v>
      </c>
      <c r="J58" s="26" t="s">
        <v>7</v>
      </c>
    </row>
    <row r="59" spans="1:10" ht="33" x14ac:dyDescent="0.25">
      <c r="A59" s="1" t="s">
        <v>48</v>
      </c>
      <c r="B59" s="25" t="s">
        <v>185</v>
      </c>
      <c r="C59" s="25" t="s">
        <v>186</v>
      </c>
      <c r="D59" s="27" t="s">
        <v>51</v>
      </c>
      <c r="E59" s="27" t="s">
        <v>187</v>
      </c>
      <c r="F59" s="31">
        <v>11940</v>
      </c>
      <c r="G59" s="45" t="s">
        <v>188</v>
      </c>
      <c r="H59" s="45"/>
      <c r="I59" s="26" t="s">
        <v>189</v>
      </c>
      <c r="J59" s="26" t="s">
        <v>7</v>
      </c>
    </row>
    <row r="60" spans="1:10" ht="33" x14ac:dyDescent="0.25">
      <c r="A60" s="1" t="s">
        <v>48</v>
      </c>
      <c r="B60" s="25" t="s">
        <v>185</v>
      </c>
      <c r="C60" s="25" t="s">
        <v>190</v>
      </c>
      <c r="D60" s="27" t="s">
        <v>88</v>
      </c>
      <c r="E60" s="27" t="s">
        <v>191</v>
      </c>
      <c r="F60" s="31">
        <v>35000</v>
      </c>
      <c r="G60" s="45" t="s">
        <v>192</v>
      </c>
      <c r="H60" s="45"/>
      <c r="I60" s="26" t="s">
        <v>193</v>
      </c>
      <c r="J60" s="26" t="s">
        <v>7</v>
      </c>
    </row>
    <row r="61" spans="1:10" ht="33" x14ac:dyDescent="0.25">
      <c r="A61" s="1" t="s">
        <v>48</v>
      </c>
      <c r="B61" s="25" t="s">
        <v>185</v>
      </c>
      <c r="C61" s="25" t="s">
        <v>194</v>
      </c>
      <c r="D61" s="27" t="s">
        <v>51</v>
      </c>
      <c r="E61" s="27" t="s">
        <v>195</v>
      </c>
      <c r="F61" s="31">
        <v>149993</v>
      </c>
      <c r="G61" s="45" t="s">
        <v>196</v>
      </c>
      <c r="H61" s="45"/>
      <c r="I61" s="26" t="s">
        <v>62</v>
      </c>
      <c r="J61" s="26" t="s">
        <v>7</v>
      </c>
    </row>
    <row r="62" spans="1:10" x14ac:dyDescent="0.25">
      <c r="A62" s="1" t="s">
        <v>22</v>
      </c>
      <c r="B62" s="25" t="s">
        <v>197</v>
      </c>
      <c r="C62" s="25" t="s">
        <v>69</v>
      </c>
      <c r="D62" s="27" t="s">
        <v>7</v>
      </c>
      <c r="E62" s="27" t="s">
        <v>198</v>
      </c>
      <c r="F62" s="31">
        <v>59136</v>
      </c>
      <c r="G62" s="45" t="s">
        <v>199</v>
      </c>
      <c r="H62" s="45"/>
      <c r="I62" s="26" t="s">
        <v>200</v>
      </c>
      <c r="J62" s="26" t="s">
        <v>7</v>
      </c>
    </row>
    <row r="63" spans="1:10" x14ac:dyDescent="0.25">
      <c r="A63" s="1" t="s">
        <v>22</v>
      </c>
      <c r="B63" s="25" t="s">
        <v>201</v>
      </c>
      <c r="C63" s="25" t="s">
        <v>69</v>
      </c>
      <c r="D63" s="27" t="s">
        <v>7</v>
      </c>
      <c r="E63" s="27" t="s">
        <v>202</v>
      </c>
      <c r="F63" s="31">
        <v>1355150</v>
      </c>
      <c r="G63" s="45" t="s">
        <v>203</v>
      </c>
      <c r="H63" s="45"/>
      <c r="I63" s="26" t="s">
        <v>204</v>
      </c>
      <c r="J63" s="26" t="s">
        <v>7</v>
      </c>
    </row>
    <row r="64" spans="1:10" x14ac:dyDescent="0.25">
      <c r="A64" s="1" t="s">
        <v>22</v>
      </c>
      <c r="B64" s="25" t="s">
        <v>205</v>
      </c>
      <c r="C64" s="25" t="s">
        <v>69</v>
      </c>
      <c r="D64" s="27" t="s">
        <v>7</v>
      </c>
      <c r="E64" s="27" t="s">
        <v>206</v>
      </c>
      <c r="F64" s="31">
        <v>490000</v>
      </c>
      <c r="G64" s="45" t="s">
        <v>207</v>
      </c>
      <c r="H64" s="45"/>
      <c r="I64" s="26" t="s">
        <v>208</v>
      </c>
      <c r="J64" s="26" t="s">
        <v>7</v>
      </c>
    </row>
    <row r="65" spans="1:10" ht="33" x14ac:dyDescent="0.25">
      <c r="A65" s="1" t="s">
        <v>48</v>
      </c>
      <c r="B65" s="25" t="s">
        <v>209</v>
      </c>
      <c r="C65" s="25" t="s">
        <v>210</v>
      </c>
      <c r="D65" s="27" t="s">
        <v>51</v>
      </c>
      <c r="E65" s="27" t="s">
        <v>211</v>
      </c>
      <c r="F65" s="31">
        <v>139500</v>
      </c>
      <c r="G65" s="45" t="s">
        <v>212</v>
      </c>
      <c r="H65" s="45"/>
      <c r="I65" s="26" t="s">
        <v>213</v>
      </c>
      <c r="J65" s="26" t="s">
        <v>7</v>
      </c>
    </row>
    <row r="66" spans="1:10" ht="33" x14ac:dyDescent="0.25">
      <c r="A66" s="1" t="s">
        <v>48</v>
      </c>
      <c r="B66" s="25" t="s">
        <v>209</v>
      </c>
      <c r="C66" s="25" t="s">
        <v>214</v>
      </c>
      <c r="D66" s="27" t="s">
        <v>51</v>
      </c>
      <c r="E66" s="27" t="s">
        <v>215</v>
      </c>
      <c r="F66" s="31">
        <v>209572</v>
      </c>
      <c r="G66" s="45" t="s">
        <v>216</v>
      </c>
      <c r="H66" s="45"/>
      <c r="I66" s="26" t="s">
        <v>62</v>
      </c>
      <c r="J66" s="26" t="s">
        <v>7</v>
      </c>
    </row>
    <row r="67" spans="1:10" x14ac:dyDescent="0.25">
      <c r="A67" s="1" t="s">
        <v>217</v>
      </c>
      <c r="B67" s="25" t="s">
        <v>209</v>
      </c>
      <c r="C67" s="25" t="s">
        <v>218</v>
      </c>
      <c r="D67" s="27" t="s">
        <v>7</v>
      </c>
      <c r="E67" s="27" t="s">
        <v>219</v>
      </c>
      <c r="F67" s="31">
        <v>87020</v>
      </c>
      <c r="G67" s="45" t="s">
        <v>220</v>
      </c>
      <c r="H67" s="45"/>
      <c r="I67" s="26" t="s">
        <v>122</v>
      </c>
      <c r="J67" s="26" t="s">
        <v>7</v>
      </c>
    </row>
    <row r="68" spans="1:10" ht="33" x14ac:dyDescent="0.25">
      <c r="A68" s="1" t="s">
        <v>48</v>
      </c>
      <c r="B68" s="25" t="s">
        <v>221</v>
      </c>
      <c r="C68" s="25" t="s">
        <v>222</v>
      </c>
      <c r="D68" s="27" t="s">
        <v>51</v>
      </c>
      <c r="E68" s="27" t="s">
        <v>223</v>
      </c>
      <c r="F68" s="31">
        <v>305275</v>
      </c>
      <c r="G68" s="45" t="s">
        <v>224</v>
      </c>
      <c r="H68" s="45"/>
      <c r="I68" s="26" t="s">
        <v>225</v>
      </c>
      <c r="J68" s="26" t="s">
        <v>7</v>
      </c>
    </row>
    <row r="69" spans="1:10" ht="33" x14ac:dyDescent="0.25">
      <c r="A69" s="1" t="s">
        <v>48</v>
      </c>
      <c r="B69" s="25" t="s">
        <v>221</v>
      </c>
      <c r="C69" s="25" t="s">
        <v>226</v>
      </c>
      <c r="D69" s="27" t="s">
        <v>51</v>
      </c>
      <c r="E69" s="27" t="s">
        <v>227</v>
      </c>
      <c r="F69" s="31">
        <v>34875</v>
      </c>
      <c r="G69" s="45" t="s">
        <v>228</v>
      </c>
      <c r="H69" s="45"/>
      <c r="I69" s="26" t="s">
        <v>82</v>
      </c>
      <c r="J69" s="26" t="s">
        <v>7</v>
      </c>
    </row>
    <row r="70" spans="1:10" ht="33" x14ac:dyDescent="0.25">
      <c r="A70" s="1" t="s">
        <v>48</v>
      </c>
      <c r="B70" s="25" t="s">
        <v>229</v>
      </c>
      <c r="C70" s="25" t="s">
        <v>230</v>
      </c>
      <c r="D70" s="27" t="s">
        <v>51</v>
      </c>
      <c r="E70" s="27" t="s">
        <v>231</v>
      </c>
      <c r="F70" s="31">
        <v>26000</v>
      </c>
      <c r="G70" s="45" t="s">
        <v>232</v>
      </c>
      <c r="H70" s="45"/>
      <c r="I70" s="26" t="s">
        <v>233</v>
      </c>
      <c r="J70" s="26" t="s">
        <v>7</v>
      </c>
    </row>
    <row r="71" spans="1:10" ht="33" x14ac:dyDescent="0.25">
      <c r="A71" s="1" t="s">
        <v>48</v>
      </c>
      <c r="B71" s="25" t="s">
        <v>229</v>
      </c>
      <c r="C71" s="25" t="s">
        <v>234</v>
      </c>
      <c r="D71" s="27" t="s">
        <v>51</v>
      </c>
      <c r="E71" s="27" t="s">
        <v>235</v>
      </c>
      <c r="F71" s="31">
        <v>33640</v>
      </c>
      <c r="G71" s="45" t="s">
        <v>236</v>
      </c>
      <c r="H71" s="45"/>
      <c r="I71" s="26" t="s">
        <v>237</v>
      </c>
      <c r="J71" s="26" t="s">
        <v>7</v>
      </c>
    </row>
    <row r="72" spans="1:10" ht="33" x14ac:dyDescent="0.25">
      <c r="A72" s="1" t="s">
        <v>48</v>
      </c>
      <c r="B72" s="25" t="s">
        <v>229</v>
      </c>
      <c r="C72" s="25" t="s">
        <v>238</v>
      </c>
      <c r="D72" s="27" t="s">
        <v>88</v>
      </c>
      <c r="E72" s="27" t="s">
        <v>239</v>
      </c>
      <c r="F72" s="31">
        <v>47617</v>
      </c>
      <c r="G72" s="45" t="s">
        <v>240</v>
      </c>
      <c r="H72" s="45"/>
      <c r="I72" s="26" t="s">
        <v>95</v>
      </c>
      <c r="J72" s="26" t="s">
        <v>7</v>
      </c>
    </row>
    <row r="73" spans="1:10" ht="33" x14ac:dyDescent="0.25">
      <c r="A73" s="1" t="s">
        <v>48</v>
      </c>
      <c r="B73" s="25" t="s">
        <v>241</v>
      </c>
      <c r="C73" s="25" t="s">
        <v>242</v>
      </c>
      <c r="D73" s="27" t="s">
        <v>88</v>
      </c>
      <c r="E73" s="27" t="s">
        <v>243</v>
      </c>
      <c r="F73" s="31">
        <v>39447</v>
      </c>
      <c r="G73" s="45" t="s">
        <v>244</v>
      </c>
      <c r="H73" s="45"/>
      <c r="I73" s="26" t="s">
        <v>103</v>
      </c>
      <c r="J73" s="26" t="s">
        <v>7</v>
      </c>
    </row>
    <row r="74" spans="1:10" ht="33" x14ac:dyDescent="0.25">
      <c r="A74" s="1" t="s">
        <v>48</v>
      </c>
      <c r="B74" s="25" t="s">
        <v>241</v>
      </c>
      <c r="C74" s="25" t="s">
        <v>245</v>
      </c>
      <c r="D74" s="27" t="s">
        <v>51</v>
      </c>
      <c r="E74" s="27" t="s">
        <v>246</v>
      </c>
      <c r="F74" s="31">
        <v>130007</v>
      </c>
      <c r="G74" s="45" t="s">
        <v>247</v>
      </c>
      <c r="H74" s="45"/>
      <c r="I74" s="26" t="s">
        <v>62</v>
      </c>
      <c r="J74" s="26" t="s">
        <v>7</v>
      </c>
    </row>
    <row r="75" spans="1:10" ht="33" x14ac:dyDescent="0.25">
      <c r="A75" s="1" t="s">
        <v>48</v>
      </c>
      <c r="B75" s="25" t="s">
        <v>241</v>
      </c>
      <c r="C75" s="25" t="s">
        <v>248</v>
      </c>
      <c r="D75" s="27" t="s">
        <v>88</v>
      </c>
      <c r="E75" s="27" t="s">
        <v>249</v>
      </c>
      <c r="F75" s="31">
        <v>24200</v>
      </c>
      <c r="G75" s="45" t="s">
        <v>250</v>
      </c>
      <c r="H75" s="45"/>
      <c r="I75" s="26" t="s">
        <v>149</v>
      </c>
      <c r="J75" s="26" t="s">
        <v>7</v>
      </c>
    </row>
    <row r="76" spans="1:10" ht="33" x14ac:dyDescent="0.25">
      <c r="A76" s="1" t="s">
        <v>48</v>
      </c>
      <c r="B76" s="25" t="s">
        <v>241</v>
      </c>
      <c r="C76" s="25" t="s">
        <v>251</v>
      </c>
      <c r="D76" s="27" t="s">
        <v>146</v>
      </c>
      <c r="E76" s="27" t="s">
        <v>252</v>
      </c>
      <c r="F76" s="31">
        <v>42000</v>
      </c>
      <c r="G76" s="45" t="s">
        <v>253</v>
      </c>
      <c r="H76" s="45"/>
      <c r="I76" s="26" t="s">
        <v>149</v>
      </c>
      <c r="J76" s="26" t="s">
        <v>7</v>
      </c>
    </row>
    <row r="77" spans="1:10" ht="33" x14ac:dyDescent="0.25">
      <c r="A77" s="1" t="s">
        <v>48</v>
      </c>
      <c r="B77" s="25" t="s">
        <v>241</v>
      </c>
      <c r="C77" s="25" t="s">
        <v>254</v>
      </c>
      <c r="D77" s="27" t="s">
        <v>51</v>
      </c>
      <c r="E77" s="27" t="s">
        <v>255</v>
      </c>
      <c r="F77" s="31">
        <v>42000</v>
      </c>
      <c r="G77" s="45" t="s">
        <v>256</v>
      </c>
      <c r="H77" s="45"/>
      <c r="I77" s="26" t="s">
        <v>166</v>
      </c>
      <c r="J77" s="26" t="s">
        <v>7</v>
      </c>
    </row>
    <row r="78" spans="1:10" ht="33" x14ac:dyDescent="0.25">
      <c r="A78" s="1" t="s">
        <v>48</v>
      </c>
      <c r="B78" s="25" t="s">
        <v>241</v>
      </c>
      <c r="C78" s="25" t="s">
        <v>257</v>
      </c>
      <c r="D78" s="27" t="s">
        <v>51</v>
      </c>
      <c r="E78" s="27" t="s">
        <v>258</v>
      </c>
      <c r="F78" s="31">
        <v>36460</v>
      </c>
      <c r="G78" s="45" t="s">
        <v>259</v>
      </c>
      <c r="H78" s="45"/>
      <c r="I78" s="26" t="s">
        <v>166</v>
      </c>
      <c r="J78" s="26" t="s">
        <v>7</v>
      </c>
    </row>
    <row r="79" spans="1:10" ht="33" x14ac:dyDescent="0.25">
      <c r="A79" s="1" t="s">
        <v>48</v>
      </c>
      <c r="B79" s="25" t="s">
        <v>241</v>
      </c>
      <c r="C79" s="25" t="s">
        <v>260</v>
      </c>
      <c r="D79" s="27" t="s">
        <v>51</v>
      </c>
      <c r="E79" s="27" t="s">
        <v>261</v>
      </c>
      <c r="F79" s="31">
        <v>107700</v>
      </c>
      <c r="G79" s="45" t="s">
        <v>262</v>
      </c>
      <c r="H79" s="45"/>
      <c r="I79" s="26" t="s">
        <v>193</v>
      </c>
      <c r="J79" s="26" t="s">
        <v>7</v>
      </c>
    </row>
    <row r="80" spans="1:10" ht="33" x14ac:dyDescent="0.25">
      <c r="A80" s="1" t="s">
        <v>48</v>
      </c>
      <c r="B80" s="25" t="s">
        <v>241</v>
      </c>
      <c r="C80" s="25" t="s">
        <v>263</v>
      </c>
      <c r="D80" s="27" t="s">
        <v>51</v>
      </c>
      <c r="E80" s="27" t="s">
        <v>264</v>
      </c>
      <c r="F80" s="31">
        <v>83290</v>
      </c>
      <c r="G80" s="45" t="s">
        <v>265</v>
      </c>
      <c r="H80" s="45"/>
      <c r="I80" s="26" t="s">
        <v>266</v>
      </c>
      <c r="J80" s="26" t="s">
        <v>7</v>
      </c>
    </row>
    <row r="81" spans="1:10" ht="33" x14ac:dyDescent="0.25">
      <c r="A81" s="1" t="s">
        <v>48</v>
      </c>
      <c r="B81" s="25" t="s">
        <v>267</v>
      </c>
      <c r="C81" s="25" t="s">
        <v>268</v>
      </c>
      <c r="D81" s="27" t="s">
        <v>51</v>
      </c>
      <c r="E81" s="27" t="s">
        <v>269</v>
      </c>
      <c r="F81" s="31">
        <v>135000</v>
      </c>
      <c r="G81" s="45" t="s">
        <v>270</v>
      </c>
      <c r="H81" s="45"/>
      <c r="I81" s="26" t="s">
        <v>271</v>
      </c>
      <c r="J81" s="26" t="s">
        <v>7</v>
      </c>
    </row>
    <row r="82" spans="1:10" ht="33" x14ac:dyDescent="0.25">
      <c r="A82" s="1" t="s">
        <v>48</v>
      </c>
      <c r="B82" s="25" t="s">
        <v>272</v>
      </c>
      <c r="C82" s="25" t="s">
        <v>273</v>
      </c>
      <c r="D82" s="27" t="s">
        <v>51</v>
      </c>
      <c r="E82" s="27" t="s">
        <v>274</v>
      </c>
      <c r="F82" s="31">
        <v>34875</v>
      </c>
      <c r="G82" s="45" t="s">
        <v>275</v>
      </c>
      <c r="H82" s="45"/>
      <c r="I82" s="26" t="s">
        <v>276</v>
      </c>
      <c r="J82" s="26" t="s">
        <v>7</v>
      </c>
    </row>
    <row r="83" spans="1:10" x14ac:dyDescent="0.25">
      <c r="A83" s="1" t="s">
        <v>22</v>
      </c>
      <c r="B83" s="25" t="s">
        <v>272</v>
      </c>
      <c r="C83" s="25" t="s">
        <v>69</v>
      </c>
      <c r="D83" s="27" t="s">
        <v>7</v>
      </c>
      <c r="E83" s="27" t="s">
        <v>277</v>
      </c>
      <c r="F83" s="31">
        <v>1400000</v>
      </c>
      <c r="G83" s="45" t="s">
        <v>278</v>
      </c>
      <c r="H83" s="45"/>
      <c r="I83" s="26" t="s">
        <v>279</v>
      </c>
      <c r="J83" s="26" t="s">
        <v>7</v>
      </c>
    </row>
    <row r="84" spans="1:10" ht="33" x14ac:dyDescent="0.25">
      <c r="A84" s="1" t="s">
        <v>48</v>
      </c>
      <c r="B84" s="25" t="s">
        <v>280</v>
      </c>
      <c r="C84" s="25" t="s">
        <v>281</v>
      </c>
      <c r="D84" s="27" t="s">
        <v>88</v>
      </c>
      <c r="E84" s="27" t="s">
        <v>282</v>
      </c>
      <c r="F84" s="31">
        <v>103500</v>
      </c>
      <c r="G84" s="45" t="s">
        <v>283</v>
      </c>
      <c r="H84" s="45"/>
      <c r="I84" s="26" t="s">
        <v>149</v>
      </c>
      <c r="J84" s="26" t="s">
        <v>7</v>
      </c>
    </row>
    <row r="85" spans="1:10" ht="33" x14ac:dyDescent="0.25">
      <c r="A85" s="1" t="s">
        <v>48</v>
      </c>
      <c r="B85" s="25" t="s">
        <v>280</v>
      </c>
      <c r="C85" s="25" t="s">
        <v>281</v>
      </c>
      <c r="D85" s="27" t="s">
        <v>51</v>
      </c>
      <c r="E85" s="27" t="s">
        <v>282</v>
      </c>
      <c r="F85" s="31">
        <v>37250</v>
      </c>
      <c r="G85" s="45" t="s">
        <v>283</v>
      </c>
      <c r="H85" s="45"/>
      <c r="I85" s="26" t="s">
        <v>149</v>
      </c>
      <c r="J85" s="26" t="s">
        <v>7</v>
      </c>
    </row>
    <row r="86" spans="1:10" ht="33" x14ac:dyDescent="0.25">
      <c r="A86" s="1" t="s">
        <v>48</v>
      </c>
      <c r="B86" s="25" t="s">
        <v>280</v>
      </c>
      <c r="C86" s="25" t="s">
        <v>284</v>
      </c>
      <c r="D86" s="27" t="s">
        <v>51</v>
      </c>
      <c r="E86" s="27" t="s">
        <v>285</v>
      </c>
      <c r="F86" s="31">
        <v>32056</v>
      </c>
      <c r="G86" s="45" t="s">
        <v>286</v>
      </c>
      <c r="H86" s="45"/>
      <c r="I86" s="26" t="s">
        <v>237</v>
      </c>
      <c r="J86" s="26" t="s">
        <v>7</v>
      </c>
    </row>
    <row r="87" spans="1:10" ht="33" x14ac:dyDescent="0.25">
      <c r="A87" s="1" t="s">
        <v>48</v>
      </c>
      <c r="B87" s="25" t="s">
        <v>280</v>
      </c>
      <c r="C87" s="25" t="s">
        <v>287</v>
      </c>
      <c r="D87" s="27" t="s">
        <v>88</v>
      </c>
      <c r="E87" s="27" t="s">
        <v>288</v>
      </c>
      <c r="F87" s="31">
        <v>103094</v>
      </c>
      <c r="G87" s="45" t="s">
        <v>289</v>
      </c>
      <c r="H87" s="45"/>
      <c r="I87" s="26" t="s">
        <v>290</v>
      </c>
      <c r="J87" s="26" t="s">
        <v>7</v>
      </c>
    </row>
    <row r="88" spans="1:10" ht="33" x14ac:dyDescent="0.25">
      <c r="A88" s="1" t="s">
        <v>48</v>
      </c>
      <c r="B88" s="25" t="s">
        <v>291</v>
      </c>
      <c r="C88" s="25" t="s">
        <v>292</v>
      </c>
      <c r="D88" s="27" t="s">
        <v>51</v>
      </c>
      <c r="E88" s="27" t="s">
        <v>293</v>
      </c>
      <c r="F88" s="31">
        <v>40000</v>
      </c>
      <c r="G88" s="45" t="s">
        <v>294</v>
      </c>
      <c r="H88" s="45"/>
      <c r="I88" s="26" t="s">
        <v>295</v>
      </c>
      <c r="J88" s="26" t="s">
        <v>7</v>
      </c>
    </row>
    <row r="89" spans="1:10" ht="33" x14ac:dyDescent="0.25">
      <c r="A89" s="1" t="s">
        <v>48</v>
      </c>
      <c r="B89" s="25" t="s">
        <v>291</v>
      </c>
      <c r="C89" s="25" t="s">
        <v>296</v>
      </c>
      <c r="D89" s="27" t="s">
        <v>51</v>
      </c>
      <c r="E89" s="27" t="s">
        <v>297</v>
      </c>
      <c r="F89" s="31">
        <v>91145</v>
      </c>
      <c r="G89" s="45" t="s">
        <v>298</v>
      </c>
      <c r="H89" s="45"/>
      <c r="I89" s="26" t="s">
        <v>299</v>
      </c>
      <c r="J89" s="26" t="s">
        <v>7</v>
      </c>
    </row>
    <row r="90" spans="1:10" ht="33" x14ac:dyDescent="0.25">
      <c r="A90" s="1" t="s">
        <v>48</v>
      </c>
      <c r="B90" s="25" t="s">
        <v>291</v>
      </c>
      <c r="C90" s="25" t="s">
        <v>300</v>
      </c>
      <c r="D90" s="27" t="s">
        <v>51</v>
      </c>
      <c r="E90" s="27" t="s">
        <v>301</v>
      </c>
      <c r="F90" s="31">
        <v>80000</v>
      </c>
      <c r="G90" s="45" t="s">
        <v>302</v>
      </c>
      <c r="H90" s="45"/>
      <c r="I90" s="26" t="s">
        <v>100</v>
      </c>
      <c r="J90" s="26" t="s">
        <v>7</v>
      </c>
    </row>
    <row r="91" spans="1:10" ht="33" x14ac:dyDescent="0.25">
      <c r="A91" s="1" t="s">
        <v>48</v>
      </c>
      <c r="B91" s="25" t="s">
        <v>291</v>
      </c>
      <c r="C91" s="25" t="s">
        <v>303</v>
      </c>
      <c r="D91" s="27" t="s">
        <v>51</v>
      </c>
      <c r="E91" s="27" t="s">
        <v>304</v>
      </c>
      <c r="F91" s="31">
        <v>20000</v>
      </c>
      <c r="G91" s="45" t="s">
        <v>305</v>
      </c>
      <c r="H91" s="45"/>
      <c r="I91" s="26" t="s">
        <v>306</v>
      </c>
      <c r="J91" s="26" t="s">
        <v>7</v>
      </c>
    </row>
    <row r="92" spans="1:10" ht="33" x14ac:dyDescent="0.25">
      <c r="A92" s="1" t="s">
        <v>48</v>
      </c>
      <c r="B92" s="25" t="s">
        <v>307</v>
      </c>
      <c r="C92" s="25" t="s">
        <v>308</v>
      </c>
      <c r="D92" s="27" t="s">
        <v>88</v>
      </c>
      <c r="E92" s="27" t="s">
        <v>309</v>
      </c>
      <c r="F92" s="31">
        <v>98409</v>
      </c>
      <c r="G92" s="45" t="s">
        <v>310</v>
      </c>
      <c r="H92" s="45"/>
      <c r="I92" s="26" t="s">
        <v>103</v>
      </c>
      <c r="J92" s="26" t="s">
        <v>7</v>
      </c>
    </row>
    <row r="93" spans="1:10" ht="33" x14ac:dyDescent="0.25">
      <c r="A93" s="1" t="s">
        <v>48</v>
      </c>
      <c r="B93" s="25" t="s">
        <v>307</v>
      </c>
      <c r="C93" s="25" t="s">
        <v>311</v>
      </c>
      <c r="D93" s="27" t="s">
        <v>51</v>
      </c>
      <c r="E93" s="27" t="s">
        <v>312</v>
      </c>
      <c r="F93" s="31">
        <v>99000</v>
      </c>
      <c r="G93" s="45" t="s">
        <v>313</v>
      </c>
      <c r="H93" s="45"/>
      <c r="I93" s="26" t="s">
        <v>62</v>
      </c>
      <c r="J93" s="26" t="s">
        <v>7</v>
      </c>
    </row>
    <row r="94" spans="1:10" ht="33" x14ac:dyDescent="0.25">
      <c r="A94" s="1" t="s">
        <v>48</v>
      </c>
      <c r="B94" s="25" t="s">
        <v>314</v>
      </c>
      <c r="C94" s="25" t="s">
        <v>315</v>
      </c>
      <c r="D94" s="27" t="s">
        <v>51</v>
      </c>
      <c r="E94" s="27" t="s">
        <v>316</v>
      </c>
      <c r="F94" s="31">
        <v>148480</v>
      </c>
      <c r="G94" s="45" t="s">
        <v>317</v>
      </c>
      <c r="H94" s="45"/>
      <c r="I94" s="26" t="s">
        <v>122</v>
      </c>
      <c r="J94" s="26" t="s">
        <v>7</v>
      </c>
    </row>
    <row r="95" spans="1:10" x14ac:dyDescent="0.25">
      <c r="A95" s="1" t="s">
        <v>22</v>
      </c>
      <c r="B95" s="25" t="s">
        <v>314</v>
      </c>
      <c r="C95" s="25" t="s">
        <v>69</v>
      </c>
      <c r="D95" s="27" t="s">
        <v>7</v>
      </c>
      <c r="E95" s="27" t="s">
        <v>318</v>
      </c>
      <c r="F95" s="31">
        <v>216102</v>
      </c>
      <c r="G95" s="45" t="s">
        <v>319</v>
      </c>
      <c r="H95" s="45"/>
      <c r="I95" s="26" t="s">
        <v>320</v>
      </c>
      <c r="J95" s="26" t="s">
        <v>7</v>
      </c>
    </row>
    <row r="96" spans="1:10" x14ac:dyDescent="0.25">
      <c r="A96" s="1" t="s">
        <v>22</v>
      </c>
      <c r="B96" s="25" t="s">
        <v>321</v>
      </c>
      <c r="C96" s="25" t="s">
        <v>69</v>
      </c>
      <c r="D96" s="27" t="s">
        <v>7</v>
      </c>
      <c r="E96" s="27" t="s">
        <v>322</v>
      </c>
      <c r="F96" s="31">
        <v>6740</v>
      </c>
      <c r="G96" s="45" t="s">
        <v>323</v>
      </c>
      <c r="H96" s="45"/>
      <c r="I96" s="26" t="s">
        <v>54</v>
      </c>
      <c r="J96" s="26" t="s">
        <v>7</v>
      </c>
    </row>
    <row r="97" spans="1:10" ht="33" x14ac:dyDescent="0.25">
      <c r="A97" s="1" t="s">
        <v>48</v>
      </c>
      <c r="B97" s="25" t="s">
        <v>324</v>
      </c>
      <c r="C97" s="25" t="s">
        <v>325</v>
      </c>
      <c r="D97" s="27" t="s">
        <v>88</v>
      </c>
      <c r="E97" s="27" t="s">
        <v>326</v>
      </c>
      <c r="F97" s="31">
        <v>39000</v>
      </c>
      <c r="G97" s="45" t="s">
        <v>327</v>
      </c>
      <c r="H97" s="45"/>
      <c r="I97" s="26" t="s">
        <v>67</v>
      </c>
      <c r="J97" s="26" t="s">
        <v>7</v>
      </c>
    </row>
    <row r="98" spans="1:10" ht="33" x14ac:dyDescent="0.25">
      <c r="A98" s="1" t="s">
        <v>48</v>
      </c>
      <c r="B98" s="25" t="s">
        <v>324</v>
      </c>
      <c r="C98" s="25" t="s">
        <v>325</v>
      </c>
      <c r="D98" s="27" t="s">
        <v>51</v>
      </c>
      <c r="E98" s="27" t="s">
        <v>326</v>
      </c>
      <c r="F98" s="31">
        <v>106500</v>
      </c>
      <c r="G98" s="45" t="s">
        <v>327</v>
      </c>
      <c r="H98" s="45"/>
      <c r="I98" s="26" t="s">
        <v>67</v>
      </c>
      <c r="J98" s="26" t="s">
        <v>7</v>
      </c>
    </row>
    <row r="99" spans="1:10" ht="33" x14ac:dyDescent="0.25">
      <c r="A99" s="1" t="s">
        <v>48</v>
      </c>
      <c r="B99" s="25" t="s">
        <v>324</v>
      </c>
      <c r="C99" s="25" t="s">
        <v>328</v>
      </c>
      <c r="D99" s="27" t="s">
        <v>51</v>
      </c>
      <c r="E99" s="27" t="s">
        <v>329</v>
      </c>
      <c r="F99" s="31">
        <v>65000</v>
      </c>
      <c r="G99" s="45" t="s">
        <v>330</v>
      </c>
      <c r="H99" s="45"/>
      <c r="I99" s="26" t="s">
        <v>237</v>
      </c>
      <c r="J99" s="26" t="s">
        <v>7</v>
      </c>
    </row>
    <row r="100" spans="1:10" ht="33" x14ac:dyDescent="0.25">
      <c r="A100" s="1" t="s">
        <v>48</v>
      </c>
      <c r="B100" s="25" t="s">
        <v>331</v>
      </c>
      <c r="C100" s="25" t="s">
        <v>332</v>
      </c>
      <c r="D100" s="27" t="s">
        <v>51</v>
      </c>
      <c r="E100" s="27" t="s">
        <v>333</v>
      </c>
      <c r="F100" s="31">
        <v>24500</v>
      </c>
      <c r="G100" s="45" t="s">
        <v>334</v>
      </c>
      <c r="H100" s="45"/>
      <c r="I100" s="26" t="s">
        <v>335</v>
      </c>
      <c r="J100" s="26" t="s">
        <v>7</v>
      </c>
    </row>
    <row r="101" spans="1:10" ht="33" x14ac:dyDescent="0.25">
      <c r="A101" s="1" t="s">
        <v>48</v>
      </c>
      <c r="B101" s="25" t="s">
        <v>331</v>
      </c>
      <c r="C101" s="25" t="s">
        <v>336</v>
      </c>
      <c r="D101" s="27" t="s">
        <v>88</v>
      </c>
      <c r="E101" s="27" t="s">
        <v>337</v>
      </c>
      <c r="F101" s="31">
        <v>45000</v>
      </c>
      <c r="G101" s="45" t="s">
        <v>338</v>
      </c>
      <c r="H101" s="45"/>
      <c r="I101" s="26" t="s">
        <v>290</v>
      </c>
      <c r="J101" s="26" t="s">
        <v>7</v>
      </c>
    </row>
    <row r="102" spans="1:10" ht="33" x14ac:dyDescent="0.25">
      <c r="A102" s="1" t="s">
        <v>48</v>
      </c>
      <c r="B102" s="25" t="s">
        <v>339</v>
      </c>
      <c r="C102" s="25" t="s">
        <v>340</v>
      </c>
      <c r="D102" s="27" t="s">
        <v>88</v>
      </c>
      <c r="E102" s="27" t="s">
        <v>341</v>
      </c>
      <c r="F102" s="31">
        <v>158070</v>
      </c>
      <c r="G102" s="45" t="s">
        <v>342</v>
      </c>
      <c r="H102" s="45"/>
      <c r="I102" s="26" t="s">
        <v>103</v>
      </c>
      <c r="J102" s="26" t="s">
        <v>7</v>
      </c>
    </row>
    <row r="103" spans="1:10" ht="33" x14ac:dyDescent="0.25">
      <c r="A103" s="1" t="s">
        <v>48</v>
      </c>
      <c r="B103" s="25" t="s">
        <v>343</v>
      </c>
      <c r="C103" s="25" t="s">
        <v>344</v>
      </c>
      <c r="D103" s="27" t="s">
        <v>51</v>
      </c>
      <c r="E103" s="27" t="s">
        <v>345</v>
      </c>
      <c r="F103" s="31">
        <v>143801</v>
      </c>
      <c r="G103" s="45" t="s">
        <v>346</v>
      </c>
      <c r="H103" s="45"/>
      <c r="I103" s="26" t="s">
        <v>347</v>
      </c>
      <c r="J103" s="26" t="s">
        <v>7</v>
      </c>
    </row>
    <row r="104" spans="1:10" ht="33" x14ac:dyDescent="0.25">
      <c r="A104" s="1" t="s">
        <v>48</v>
      </c>
      <c r="B104" s="25" t="s">
        <v>343</v>
      </c>
      <c r="C104" s="25" t="s">
        <v>348</v>
      </c>
      <c r="D104" s="27" t="s">
        <v>88</v>
      </c>
      <c r="E104" s="27" t="s">
        <v>349</v>
      </c>
      <c r="F104" s="31">
        <v>50300</v>
      </c>
      <c r="G104" s="45" t="s">
        <v>350</v>
      </c>
      <c r="H104" s="45"/>
      <c r="I104" s="26" t="s">
        <v>213</v>
      </c>
      <c r="J104" s="26" t="s">
        <v>7</v>
      </c>
    </row>
    <row r="105" spans="1:10" ht="33" x14ac:dyDescent="0.25">
      <c r="A105" s="1" t="s">
        <v>48</v>
      </c>
      <c r="B105" s="25" t="s">
        <v>343</v>
      </c>
      <c r="C105" s="25" t="s">
        <v>351</v>
      </c>
      <c r="D105" s="27" t="s">
        <v>88</v>
      </c>
      <c r="E105" s="27" t="s">
        <v>352</v>
      </c>
      <c r="F105" s="31">
        <v>131352</v>
      </c>
      <c r="G105" s="45" t="s">
        <v>353</v>
      </c>
      <c r="H105" s="45"/>
      <c r="I105" s="26" t="s">
        <v>95</v>
      </c>
      <c r="J105" s="26" t="s">
        <v>7</v>
      </c>
    </row>
    <row r="106" spans="1:10" ht="33" x14ac:dyDescent="0.25">
      <c r="A106" s="1" t="s">
        <v>48</v>
      </c>
      <c r="B106" s="25" t="s">
        <v>343</v>
      </c>
      <c r="C106" s="25" t="s">
        <v>354</v>
      </c>
      <c r="D106" s="27" t="s">
        <v>88</v>
      </c>
      <c r="E106" s="27" t="s">
        <v>355</v>
      </c>
      <c r="F106" s="31">
        <v>56000</v>
      </c>
      <c r="G106" s="45" t="s">
        <v>356</v>
      </c>
      <c r="H106" s="45"/>
      <c r="I106" s="26" t="s">
        <v>58</v>
      </c>
      <c r="J106" s="26" t="s">
        <v>7</v>
      </c>
    </row>
    <row r="107" spans="1:10" ht="33" x14ac:dyDescent="0.25">
      <c r="A107" s="1" t="s">
        <v>48</v>
      </c>
      <c r="B107" s="25" t="s">
        <v>343</v>
      </c>
      <c r="C107" s="25" t="s">
        <v>357</v>
      </c>
      <c r="D107" s="27" t="s">
        <v>88</v>
      </c>
      <c r="E107" s="27" t="s">
        <v>358</v>
      </c>
      <c r="F107" s="31">
        <v>73103</v>
      </c>
      <c r="G107" s="45" t="s">
        <v>359</v>
      </c>
      <c r="H107" s="45"/>
      <c r="I107" s="26" t="s">
        <v>360</v>
      </c>
      <c r="J107" s="26" t="s">
        <v>7</v>
      </c>
    </row>
    <row r="108" spans="1:10" ht="33" x14ac:dyDescent="0.25">
      <c r="A108" s="1" t="s">
        <v>48</v>
      </c>
      <c r="B108" s="25" t="s">
        <v>343</v>
      </c>
      <c r="C108" s="25" t="s">
        <v>361</v>
      </c>
      <c r="D108" s="27" t="s">
        <v>51</v>
      </c>
      <c r="E108" s="27" t="s">
        <v>362</v>
      </c>
      <c r="F108" s="31">
        <v>900834</v>
      </c>
      <c r="G108" s="45" t="s">
        <v>363</v>
      </c>
      <c r="H108" s="45"/>
      <c r="I108" s="26" t="s">
        <v>364</v>
      </c>
      <c r="J108" s="26" t="s">
        <v>7</v>
      </c>
    </row>
    <row r="109" spans="1:10" ht="33" x14ac:dyDescent="0.25">
      <c r="A109" s="1" t="s">
        <v>48</v>
      </c>
      <c r="B109" s="25" t="s">
        <v>343</v>
      </c>
      <c r="C109" s="25" t="s">
        <v>365</v>
      </c>
      <c r="D109" s="27" t="s">
        <v>51</v>
      </c>
      <c r="E109" s="27" t="s">
        <v>366</v>
      </c>
      <c r="F109" s="31">
        <v>11322</v>
      </c>
      <c r="G109" s="45" t="s">
        <v>367</v>
      </c>
      <c r="H109" s="45"/>
      <c r="I109" s="26" t="s">
        <v>103</v>
      </c>
      <c r="J109" s="26" t="s">
        <v>7</v>
      </c>
    </row>
    <row r="110" spans="1:10" ht="33" x14ac:dyDescent="0.25">
      <c r="A110" s="1" t="s">
        <v>48</v>
      </c>
      <c r="B110" s="25" t="s">
        <v>368</v>
      </c>
      <c r="C110" s="25" t="s">
        <v>369</v>
      </c>
      <c r="D110" s="27" t="s">
        <v>51</v>
      </c>
      <c r="E110" s="27" t="s">
        <v>370</v>
      </c>
      <c r="F110" s="31">
        <v>100000</v>
      </c>
      <c r="G110" s="45" t="s">
        <v>371</v>
      </c>
      <c r="H110" s="45"/>
      <c r="I110" s="26" t="s">
        <v>335</v>
      </c>
      <c r="J110" s="26" t="s">
        <v>7</v>
      </c>
    </row>
    <row r="111" spans="1:10" ht="33" x14ac:dyDescent="0.25">
      <c r="A111" s="1" t="s">
        <v>48</v>
      </c>
      <c r="B111" s="25" t="s">
        <v>368</v>
      </c>
      <c r="C111" s="25" t="s">
        <v>372</v>
      </c>
      <c r="D111" s="27" t="s">
        <v>51</v>
      </c>
      <c r="E111" s="27" t="s">
        <v>373</v>
      </c>
      <c r="F111" s="31">
        <v>15750</v>
      </c>
      <c r="G111" s="45" t="s">
        <v>374</v>
      </c>
      <c r="H111" s="45"/>
      <c r="I111" s="26" t="s">
        <v>335</v>
      </c>
      <c r="J111" s="26" t="s">
        <v>7</v>
      </c>
    </row>
    <row r="112" spans="1:10" x14ac:dyDescent="0.25">
      <c r="A112" s="1" t="s">
        <v>22</v>
      </c>
      <c r="B112" s="25" t="s">
        <v>368</v>
      </c>
      <c r="C112" s="25" t="s">
        <v>69</v>
      </c>
      <c r="D112" s="27" t="s">
        <v>7</v>
      </c>
      <c r="E112" s="27" t="s">
        <v>375</v>
      </c>
      <c r="F112" s="31">
        <v>495000</v>
      </c>
      <c r="G112" s="45" t="s">
        <v>376</v>
      </c>
      <c r="H112" s="45"/>
      <c r="I112" s="26" t="s">
        <v>377</v>
      </c>
      <c r="J112" s="26" t="s">
        <v>7</v>
      </c>
    </row>
    <row r="113" spans="1:10" ht="33" x14ac:dyDescent="0.25">
      <c r="A113" s="1" t="s">
        <v>48</v>
      </c>
      <c r="B113" s="25" t="s">
        <v>378</v>
      </c>
      <c r="C113" s="25" t="s">
        <v>379</v>
      </c>
      <c r="D113" s="27" t="s">
        <v>88</v>
      </c>
      <c r="E113" s="27" t="s">
        <v>380</v>
      </c>
      <c r="F113" s="31">
        <v>12286</v>
      </c>
      <c r="G113" s="45" t="s">
        <v>381</v>
      </c>
      <c r="H113" s="45"/>
      <c r="I113" s="26" t="s">
        <v>382</v>
      </c>
      <c r="J113" s="26" t="s">
        <v>7</v>
      </c>
    </row>
    <row r="114" spans="1:10" ht="33" x14ac:dyDescent="0.25">
      <c r="A114" s="1" t="s">
        <v>48</v>
      </c>
      <c r="B114" s="25" t="s">
        <v>378</v>
      </c>
      <c r="C114" s="25" t="s">
        <v>383</v>
      </c>
      <c r="D114" s="27" t="s">
        <v>51</v>
      </c>
      <c r="E114" s="27" t="s">
        <v>384</v>
      </c>
      <c r="F114" s="31">
        <v>1149095</v>
      </c>
      <c r="G114" s="45" t="s">
        <v>385</v>
      </c>
      <c r="H114" s="45"/>
      <c r="I114" s="26" t="s">
        <v>7</v>
      </c>
      <c r="J114" s="26" t="s">
        <v>7</v>
      </c>
    </row>
    <row r="115" spans="1:10" ht="33" x14ac:dyDescent="0.25">
      <c r="A115" s="1" t="s">
        <v>48</v>
      </c>
      <c r="B115" s="25" t="s">
        <v>378</v>
      </c>
      <c r="C115" s="25" t="s">
        <v>383</v>
      </c>
      <c r="D115" s="27" t="s">
        <v>88</v>
      </c>
      <c r="E115" s="27" t="s">
        <v>384</v>
      </c>
      <c r="F115" s="31">
        <v>72000</v>
      </c>
      <c r="G115" s="45" t="s">
        <v>385</v>
      </c>
      <c r="H115" s="45"/>
      <c r="I115" s="26" t="s">
        <v>7</v>
      </c>
      <c r="J115" s="26" t="s">
        <v>7</v>
      </c>
    </row>
    <row r="116" spans="1:10" ht="33" x14ac:dyDescent="0.25">
      <c r="A116" s="1" t="s">
        <v>48</v>
      </c>
      <c r="B116" s="25" t="s">
        <v>378</v>
      </c>
      <c r="C116" s="25" t="s">
        <v>386</v>
      </c>
      <c r="D116" s="27" t="s">
        <v>51</v>
      </c>
      <c r="E116" s="27" t="s">
        <v>387</v>
      </c>
      <c r="F116" s="31">
        <v>16680</v>
      </c>
      <c r="G116" s="45" t="s">
        <v>388</v>
      </c>
      <c r="H116" s="45"/>
      <c r="I116" s="26" t="s">
        <v>389</v>
      </c>
      <c r="J116" s="26" t="s">
        <v>7</v>
      </c>
    </row>
    <row r="117" spans="1:10" ht="33" x14ac:dyDescent="0.25">
      <c r="A117" s="1" t="s">
        <v>48</v>
      </c>
      <c r="B117" s="25" t="s">
        <v>378</v>
      </c>
      <c r="C117" s="25" t="s">
        <v>390</v>
      </c>
      <c r="D117" s="27" t="s">
        <v>51</v>
      </c>
      <c r="E117" s="27" t="s">
        <v>391</v>
      </c>
      <c r="F117" s="31">
        <v>40000</v>
      </c>
      <c r="G117" s="45" t="s">
        <v>392</v>
      </c>
      <c r="H117" s="45"/>
      <c r="I117" s="26" t="s">
        <v>393</v>
      </c>
      <c r="J117" s="26" t="s">
        <v>7</v>
      </c>
    </row>
    <row r="118" spans="1:10" ht="33" x14ac:dyDescent="0.25">
      <c r="A118" s="1" t="s">
        <v>48</v>
      </c>
      <c r="B118" s="25" t="s">
        <v>378</v>
      </c>
      <c r="C118" s="25" t="s">
        <v>394</v>
      </c>
      <c r="D118" s="27" t="s">
        <v>51</v>
      </c>
      <c r="E118" s="27" t="s">
        <v>395</v>
      </c>
      <c r="F118" s="31">
        <v>70000</v>
      </c>
      <c r="G118" s="45" t="s">
        <v>396</v>
      </c>
      <c r="H118" s="45"/>
      <c r="I118" s="26" t="s">
        <v>295</v>
      </c>
      <c r="J118" s="26" t="s">
        <v>7</v>
      </c>
    </row>
    <row r="119" spans="1:10" ht="33" x14ac:dyDescent="0.25">
      <c r="A119" s="1" t="s">
        <v>48</v>
      </c>
      <c r="B119" s="25" t="s">
        <v>378</v>
      </c>
      <c r="C119" s="25" t="s">
        <v>397</v>
      </c>
      <c r="D119" s="27" t="s">
        <v>51</v>
      </c>
      <c r="E119" s="27" t="s">
        <v>398</v>
      </c>
      <c r="F119" s="31">
        <v>45400</v>
      </c>
      <c r="G119" s="45" t="s">
        <v>399</v>
      </c>
      <c r="H119" s="45"/>
      <c r="I119" s="26" t="s">
        <v>400</v>
      </c>
      <c r="J119" s="26" t="s">
        <v>7</v>
      </c>
    </row>
    <row r="120" spans="1:10" x14ac:dyDescent="0.25">
      <c r="A120" s="1" t="s">
        <v>48</v>
      </c>
      <c r="B120" s="25" t="s">
        <v>378</v>
      </c>
      <c r="C120" s="25" t="s">
        <v>401</v>
      </c>
      <c r="D120" s="27" t="s">
        <v>402</v>
      </c>
      <c r="E120" s="27" t="s">
        <v>403</v>
      </c>
      <c r="F120" s="31">
        <v>13417</v>
      </c>
      <c r="G120" s="45" t="s">
        <v>404</v>
      </c>
      <c r="H120" s="45"/>
      <c r="I120" s="26" t="s">
        <v>82</v>
      </c>
      <c r="J120" s="26" t="s">
        <v>7</v>
      </c>
    </row>
    <row r="121" spans="1:10" ht="33" x14ac:dyDescent="0.25">
      <c r="A121" s="1" t="s">
        <v>48</v>
      </c>
      <c r="B121" s="25" t="s">
        <v>405</v>
      </c>
      <c r="C121" s="25" t="s">
        <v>406</v>
      </c>
      <c r="D121" s="27" t="s">
        <v>51</v>
      </c>
      <c r="E121" s="27" t="s">
        <v>407</v>
      </c>
      <c r="F121" s="31">
        <v>100000</v>
      </c>
      <c r="G121" s="45" t="s">
        <v>408</v>
      </c>
      <c r="H121" s="45"/>
      <c r="I121" s="26" t="s">
        <v>335</v>
      </c>
      <c r="J121" s="26" t="s">
        <v>7</v>
      </c>
    </row>
    <row r="122" spans="1:10" ht="33" x14ac:dyDescent="0.25">
      <c r="A122" s="1" t="s">
        <v>48</v>
      </c>
      <c r="B122" s="25" t="s">
        <v>405</v>
      </c>
      <c r="C122" s="25" t="s">
        <v>409</v>
      </c>
      <c r="D122" s="27" t="s">
        <v>51</v>
      </c>
      <c r="E122" s="27" t="s">
        <v>410</v>
      </c>
      <c r="F122" s="31">
        <v>50000</v>
      </c>
      <c r="G122" s="45" t="s">
        <v>411</v>
      </c>
      <c r="H122" s="45"/>
      <c r="I122" s="26" t="s">
        <v>335</v>
      </c>
      <c r="J122" s="26" t="s">
        <v>7</v>
      </c>
    </row>
    <row r="123" spans="1:10" ht="33" x14ac:dyDescent="0.25">
      <c r="A123" s="1" t="s">
        <v>48</v>
      </c>
      <c r="B123" s="25" t="s">
        <v>405</v>
      </c>
      <c r="C123" s="25" t="s">
        <v>412</v>
      </c>
      <c r="D123" s="27" t="s">
        <v>51</v>
      </c>
      <c r="E123" s="27" t="s">
        <v>413</v>
      </c>
      <c r="F123" s="31">
        <v>8060</v>
      </c>
      <c r="G123" s="45" t="s">
        <v>414</v>
      </c>
      <c r="H123" s="45"/>
      <c r="I123" s="26" t="s">
        <v>189</v>
      </c>
      <c r="J123" s="26" t="s">
        <v>7</v>
      </c>
    </row>
    <row r="124" spans="1:10" ht="33" x14ac:dyDescent="0.25">
      <c r="A124" s="1" t="s">
        <v>48</v>
      </c>
      <c r="B124" s="25" t="s">
        <v>405</v>
      </c>
      <c r="C124" s="25" t="s">
        <v>415</v>
      </c>
      <c r="D124" s="27" t="s">
        <v>51</v>
      </c>
      <c r="E124" s="27" t="s">
        <v>416</v>
      </c>
      <c r="F124" s="31">
        <v>37953</v>
      </c>
      <c r="G124" s="45" t="s">
        <v>417</v>
      </c>
      <c r="H124" s="45"/>
      <c r="I124" s="26" t="s">
        <v>295</v>
      </c>
      <c r="J124" s="26" t="s">
        <v>7</v>
      </c>
    </row>
    <row r="125" spans="1:10" ht="33" x14ac:dyDescent="0.25">
      <c r="A125" s="1" t="s">
        <v>48</v>
      </c>
      <c r="B125" s="25" t="s">
        <v>418</v>
      </c>
      <c r="C125" s="25" t="s">
        <v>419</v>
      </c>
      <c r="D125" s="27" t="s">
        <v>51</v>
      </c>
      <c r="E125" s="27" t="s">
        <v>420</v>
      </c>
      <c r="F125" s="31">
        <v>149800</v>
      </c>
      <c r="G125" s="45" t="s">
        <v>421</v>
      </c>
      <c r="H125" s="45"/>
      <c r="I125" s="26" t="s">
        <v>389</v>
      </c>
      <c r="J125" s="26" t="s">
        <v>7</v>
      </c>
    </row>
    <row r="126" spans="1:10" ht="33" x14ac:dyDescent="0.25">
      <c r="A126" s="1" t="s">
        <v>48</v>
      </c>
      <c r="B126" s="25" t="s">
        <v>418</v>
      </c>
      <c r="C126" s="25" t="s">
        <v>422</v>
      </c>
      <c r="D126" s="27" t="s">
        <v>51</v>
      </c>
      <c r="E126" s="27" t="s">
        <v>423</v>
      </c>
      <c r="F126" s="31">
        <v>77970</v>
      </c>
      <c r="G126" s="45" t="s">
        <v>424</v>
      </c>
      <c r="H126" s="45"/>
      <c r="I126" s="26" t="s">
        <v>100</v>
      </c>
      <c r="J126" s="26" t="s">
        <v>7</v>
      </c>
    </row>
    <row r="127" spans="1:10" ht="33" x14ac:dyDescent="0.25">
      <c r="A127" s="1" t="s">
        <v>48</v>
      </c>
      <c r="B127" s="25" t="s">
        <v>418</v>
      </c>
      <c r="C127" s="25" t="s">
        <v>425</v>
      </c>
      <c r="D127" s="27" t="s">
        <v>51</v>
      </c>
      <c r="E127" s="27" t="s">
        <v>426</v>
      </c>
      <c r="F127" s="31">
        <v>27950</v>
      </c>
      <c r="G127" s="45" t="s">
        <v>427</v>
      </c>
      <c r="H127" s="45"/>
      <c r="I127" s="26" t="s">
        <v>428</v>
      </c>
      <c r="J127" s="26" t="s">
        <v>7</v>
      </c>
    </row>
    <row r="128" spans="1:10" ht="33" x14ac:dyDescent="0.25">
      <c r="A128" s="1" t="s">
        <v>48</v>
      </c>
      <c r="B128" s="25" t="s">
        <v>418</v>
      </c>
      <c r="C128" s="25" t="s">
        <v>429</v>
      </c>
      <c r="D128" s="27" t="s">
        <v>79</v>
      </c>
      <c r="E128" s="27" t="s">
        <v>430</v>
      </c>
      <c r="F128" s="31">
        <v>10500</v>
      </c>
      <c r="G128" s="45" t="s">
        <v>431</v>
      </c>
      <c r="H128" s="45"/>
      <c r="I128" s="26" t="s">
        <v>432</v>
      </c>
      <c r="J128" s="26" t="s">
        <v>7</v>
      </c>
    </row>
    <row r="129" spans="1:10" ht="33" x14ac:dyDescent="0.25">
      <c r="A129" s="1" t="s">
        <v>48</v>
      </c>
      <c r="B129" s="25" t="s">
        <v>418</v>
      </c>
      <c r="C129" s="25" t="s">
        <v>433</v>
      </c>
      <c r="D129" s="27" t="s">
        <v>88</v>
      </c>
      <c r="E129" s="27" t="s">
        <v>434</v>
      </c>
      <c r="F129" s="31">
        <v>337620</v>
      </c>
      <c r="G129" s="45" t="s">
        <v>435</v>
      </c>
      <c r="H129" s="45"/>
      <c r="I129" s="26" t="s">
        <v>7</v>
      </c>
      <c r="J129" s="26" t="s">
        <v>7</v>
      </c>
    </row>
    <row r="130" spans="1:10" ht="33" x14ac:dyDescent="0.25">
      <c r="A130" s="1" t="s">
        <v>48</v>
      </c>
      <c r="B130" s="25" t="s">
        <v>418</v>
      </c>
      <c r="C130" s="25" t="s">
        <v>436</v>
      </c>
      <c r="D130" s="27" t="s">
        <v>51</v>
      </c>
      <c r="E130" s="27" t="s">
        <v>437</v>
      </c>
      <c r="F130" s="31">
        <v>141750</v>
      </c>
      <c r="G130" s="45" t="s">
        <v>438</v>
      </c>
      <c r="H130" s="45"/>
      <c r="I130" s="26" t="s">
        <v>54</v>
      </c>
      <c r="J130" s="26" t="s">
        <v>7</v>
      </c>
    </row>
    <row r="131" spans="1:10" ht="33" x14ac:dyDescent="0.25">
      <c r="A131" s="1" t="s">
        <v>48</v>
      </c>
      <c r="B131" s="25" t="s">
        <v>418</v>
      </c>
      <c r="C131" s="25" t="s">
        <v>439</v>
      </c>
      <c r="D131" s="27" t="s">
        <v>79</v>
      </c>
      <c r="E131" s="27" t="s">
        <v>440</v>
      </c>
      <c r="F131" s="31">
        <v>26280</v>
      </c>
      <c r="G131" s="45" t="s">
        <v>441</v>
      </c>
      <c r="H131" s="45"/>
      <c r="I131" s="26" t="s">
        <v>54</v>
      </c>
      <c r="J131" s="26" t="s">
        <v>7</v>
      </c>
    </row>
    <row r="132" spans="1:10" ht="33" x14ac:dyDescent="0.25">
      <c r="A132" s="1" t="s">
        <v>48</v>
      </c>
      <c r="B132" s="25" t="s">
        <v>418</v>
      </c>
      <c r="C132" s="25" t="s">
        <v>442</v>
      </c>
      <c r="D132" s="27" t="s">
        <v>51</v>
      </c>
      <c r="E132" s="27" t="s">
        <v>443</v>
      </c>
      <c r="F132" s="31">
        <v>72034</v>
      </c>
      <c r="G132" s="45" t="s">
        <v>444</v>
      </c>
      <c r="H132" s="45"/>
      <c r="I132" s="26" t="s">
        <v>133</v>
      </c>
      <c r="J132" s="26" t="s">
        <v>7</v>
      </c>
    </row>
    <row r="133" spans="1:10" ht="33" x14ac:dyDescent="0.25">
      <c r="A133" s="1" t="s">
        <v>48</v>
      </c>
      <c r="B133" s="25" t="s">
        <v>445</v>
      </c>
      <c r="C133" s="25" t="s">
        <v>446</v>
      </c>
      <c r="D133" s="27" t="s">
        <v>51</v>
      </c>
      <c r="E133" s="27" t="s">
        <v>447</v>
      </c>
      <c r="F133" s="31">
        <v>144000</v>
      </c>
      <c r="G133" s="45" t="s">
        <v>448</v>
      </c>
      <c r="H133" s="45"/>
      <c r="I133" s="26" t="s">
        <v>122</v>
      </c>
      <c r="J133" s="26" t="s">
        <v>7</v>
      </c>
    </row>
    <row r="134" spans="1:10" ht="33" x14ac:dyDescent="0.25">
      <c r="A134" s="1" t="s">
        <v>48</v>
      </c>
      <c r="B134" s="25" t="s">
        <v>445</v>
      </c>
      <c r="C134" s="25" t="s">
        <v>449</v>
      </c>
      <c r="D134" s="27" t="s">
        <v>88</v>
      </c>
      <c r="E134" s="27" t="s">
        <v>450</v>
      </c>
      <c r="F134" s="31">
        <v>55200</v>
      </c>
      <c r="G134" s="45" t="s">
        <v>451</v>
      </c>
      <c r="H134" s="45"/>
      <c r="I134" s="26" t="s">
        <v>233</v>
      </c>
      <c r="J134" s="26" t="s">
        <v>7</v>
      </c>
    </row>
    <row r="135" spans="1:10" ht="33" x14ac:dyDescent="0.25">
      <c r="A135" s="1" t="s">
        <v>48</v>
      </c>
      <c r="B135" s="25" t="s">
        <v>452</v>
      </c>
      <c r="C135" s="25" t="s">
        <v>453</v>
      </c>
      <c r="D135" s="27" t="s">
        <v>51</v>
      </c>
      <c r="E135" s="27" t="s">
        <v>454</v>
      </c>
      <c r="F135" s="31">
        <v>28199</v>
      </c>
      <c r="G135" s="45" t="s">
        <v>455</v>
      </c>
      <c r="H135" s="45"/>
      <c r="I135" s="26" t="s">
        <v>347</v>
      </c>
      <c r="J135" s="26" t="s">
        <v>7</v>
      </c>
    </row>
    <row r="136" spans="1:10" x14ac:dyDescent="0.25">
      <c r="A136" s="1" t="s">
        <v>22</v>
      </c>
      <c r="B136" s="25" t="s">
        <v>452</v>
      </c>
      <c r="C136" s="25" t="s">
        <v>69</v>
      </c>
      <c r="D136" s="27" t="s">
        <v>7</v>
      </c>
      <c r="E136" s="27" t="s">
        <v>456</v>
      </c>
      <c r="F136" s="31">
        <v>279000</v>
      </c>
      <c r="G136" s="45" t="s">
        <v>457</v>
      </c>
      <c r="H136" s="45"/>
      <c r="I136" s="26" t="s">
        <v>126</v>
      </c>
      <c r="J136" s="26" t="s">
        <v>7</v>
      </c>
    </row>
    <row r="137" spans="1:10" ht="33" x14ac:dyDescent="0.25">
      <c r="A137" s="1" t="s">
        <v>48</v>
      </c>
      <c r="B137" s="25" t="s">
        <v>458</v>
      </c>
      <c r="C137" s="25" t="s">
        <v>459</v>
      </c>
      <c r="D137" s="27" t="s">
        <v>51</v>
      </c>
      <c r="E137" s="27" t="s">
        <v>460</v>
      </c>
      <c r="F137" s="31">
        <v>148000</v>
      </c>
      <c r="G137" s="45" t="s">
        <v>461</v>
      </c>
      <c r="H137" s="45"/>
      <c r="I137" s="26" t="s">
        <v>462</v>
      </c>
      <c r="J137" s="26" t="s">
        <v>7</v>
      </c>
    </row>
    <row r="138" spans="1:10" ht="33" x14ac:dyDescent="0.25">
      <c r="A138" s="1" t="s">
        <v>48</v>
      </c>
      <c r="B138" s="25" t="s">
        <v>458</v>
      </c>
      <c r="C138" s="25" t="s">
        <v>463</v>
      </c>
      <c r="D138" s="27" t="s">
        <v>464</v>
      </c>
      <c r="E138" s="27" t="s">
        <v>465</v>
      </c>
      <c r="F138" s="31">
        <v>143000</v>
      </c>
      <c r="G138" s="45" t="s">
        <v>466</v>
      </c>
      <c r="H138" s="45"/>
      <c r="I138" s="26" t="s">
        <v>67</v>
      </c>
      <c r="J138" s="26" t="s">
        <v>7</v>
      </c>
    </row>
    <row r="139" spans="1:10" ht="33" x14ac:dyDescent="0.25">
      <c r="A139" s="1" t="s">
        <v>48</v>
      </c>
      <c r="B139" s="25" t="s">
        <v>458</v>
      </c>
      <c r="C139" s="25" t="s">
        <v>467</v>
      </c>
      <c r="D139" s="27" t="s">
        <v>51</v>
      </c>
      <c r="E139" s="27" t="s">
        <v>468</v>
      </c>
      <c r="F139" s="31">
        <v>110000</v>
      </c>
      <c r="G139" s="45" t="s">
        <v>469</v>
      </c>
      <c r="H139" s="45"/>
      <c r="I139" s="26" t="s">
        <v>122</v>
      </c>
      <c r="J139" s="26" t="s">
        <v>7</v>
      </c>
    </row>
    <row r="140" spans="1:10" ht="33" x14ac:dyDescent="0.25">
      <c r="A140" s="1" t="s">
        <v>48</v>
      </c>
      <c r="B140" s="25" t="s">
        <v>470</v>
      </c>
      <c r="C140" s="25" t="s">
        <v>471</v>
      </c>
      <c r="D140" s="27" t="s">
        <v>51</v>
      </c>
      <c r="E140" s="27" t="s">
        <v>472</v>
      </c>
      <c r="F140" s="31">
        <v>75165</v>
      </c>
      <c r="G140" s="45" t="s">
        <v>473</v>
      </c>
      <c r="H140" s="45"/>
      <c r="I140" s="26" t="s">
        <v>474</v>
      </c>
      <c r="J140" s="26" t="s">
        <v>7</v>
      </c>
    </row>
    <row r="141" spans="1:10" ht="33" x14ac:dyDescent="0.25">
      <c r="A141" s="1" t="s">
        <v>48</v>
      </c>
      <c r="B141" s="25" t="s">
        <v>470</v>
      </c>
      <c r="C141" s="25" t="s">
        <v>475</v>
      </c>
      <c r="D141" s="27" t="s">
        <v>51</v>
      </c>
      <c r="E141" s="27" t="s">
        <v>476</v>
      </c>
      <c r="F141" s="31">
        <v>83500</v>
      </c>
      <c r="G141" s="45" t="s">
        <v>477</v>
      </c>
      <c r="H141" s="45"/>
      <c r="I141" s="26" t="s">
        <v>54</v>
      </c>
      <c r="J141" s="26" t="s">
        <v>7</v>
      </c>
    </row>
    <row r="142" spans="1:10" ht="33" x14ac:dyDescent="0.25">
      <c r="A142" s="1" t="s">
        <v>48</v>
      </c>
      <c r="B142" s="25" t="s">
        <v>470</v>
      </c>
      <c r="C142" s="25" t="s">
        <v>478</v>
      </c>
      <c r="D142" s="27" t="s">
        <v>88</v>
      </c>
      <c r="E142" s="27" t="s">
        <v>479</v>
      </c>
      <c r="F142" s="31">
        <v>31200</v>
      </c>
      <c r="G142" s="45" t="s">
        <v>480</v>
      </c>
      <c r="H142" s="45"/>
      <c r="I142" s="26" t="s">
        <v>149</v>
      </c>
      <c r="J142" s="26" t="s">
        <v>7</v>
      </c>
    </row>
    <row r="143" spans="1:10" ht="33" x14ac:dyDescent="0.25">
      <c r="A143" s="1" t="s">
        <v>48</v>
      </c>
      <c r="B143" s="25" t="s">
        <v>470</v>
      </c>
      <c r="C143" s="25" t="s">
        <v>478</v>
      </c>
      <c r="D143" s="27" t="s">
        <v>51</v>
      </c>
      <c r="E143" s="27" t="s">
        <v>479</v>
      </c>
      <c r="F143" s="31">
        <v>64100</v>
      </c>
      <c r="G143" s="45" t="s">
        <v>480</v>
      </c>
      <c r="H143" s="45"/>
      <c r="I143" s="26" t="s">
        <v>149</v>
      </c>
      <c r="J143" s="26" t="s">
        <v>7</v>
      </c>
    </row>
    <row r="144" spans="1:10" ht="33" x14ac:dyDescent="0.25">
      <c r="A144" s="1" t="s">
        <v>48</v>
      </c>
      <c r="B144" s="25" t="s">
        <v>470</v>
      </c>
      <c r="C144" s="25" t="s">
        <v>481</v>
      </c>
      <c r="D144" s="27" t="s">
        <v>51</v>
      </c>
      <c r="E144" s="27" t="s">
        <v>482</v>
      </c>
      <c r="F144" s="31">
        <v>50000</v>
      </c>
      <c r="G144" s="45" t="s">
        <v>483</v>
      </c>
      <c r="H144" s="45"/>
      <c r="I144" s="26" t="s">
        <v>484</v>
      </c>
      <c r="J144" s="26" t="s">
        <v>7</v>
      </c>
    </row>
    <row r="145" spans="1:10" ht="33" x14ac:dyDescent="0.25">
      <c r="A145" s="1" t="s">
        <v>485</v>
      </c>
      <c r="B145" s="25" t="s">
        <v>470</v>
      </c>
      <c r="C145" s="25" t="s">
        <v>486</v>
      </c>
      <c r="D145" s="27" t="s">
        <v>51</v>
      </c>
      <c r="E145" s="49" t="s">
        <v>2336</v>
      </c>
      <c r="F145" s="31">
        <v>-2709</v>
      </c>
      <c r="G145" s="45" t="s">
        <v>487</v>
      </c>
      <c r="H145" s="45"/>
      <c r="I145" s="51" t="s">
        <v>2335</v>
      </c>
      <c r="J145" s="26" t="s">
        <v>7</v>
      </c>
    </row>
    <row r="146" spans="1:10" ht="33" x14ac:dyDescent="0.25">
      <c r="A146" s="1" t="s">
        <v>485</v>
      </c>
      <c r="B146" s="25" t="s">
        <v>470</v>
      </c>
      <c r="C146" s="25" t="s">
        <v>488</v>
      </c>
      <c r="D146" s="27" t="s">
        <v>51</v>
      </c>
      <c r="E146" s="50" t="s">
        <v>2336</v>
      </c>
      <c r="F146" s="31">
        <v>-780480</v>
      </c>
      <c r="G146" s="45" t="s">
        <v>489</v>
      </c>
      <c r="H146" s="45"/>
      <c r="I146" s="52" t="s">
        <v>2335</v>
      </c>
      <c r="J146" s="26" t="s">
        <v>7</v>
      </c>
    </row>
    <row r="147" spans="1:10" ht="33" x14ac:dyDescent="0.25">
      <c r="A147" s="1" t="s">
        <v>48</v>
      </c>
      <c r="B147" s="25" t="s">
        <v>490</v>
      </c>
      <c r="C147" s="25" t="s">
        <v>491</v>
      </c>
      <c r="D147" s="27" t="s">
        <v>51</v>
      </c>
      <c r="E147" s="27" t="s">
        <v>492</v>
      </c>
      <c r="F147" s="31">
        <v>442410</v>
      </c>
      <c r="G147" s="45" t="s">
        <v>493</v>
      </c>
      <c r="H147" s="45"/>
      <c r="I147" s="26" t="s">
        <v>7</v>
      </c>
      <c r="J147" s="26" t="s">
        <v>7</v>
      </c>
    </row>
    <row r="148" spans="1:10" ht="33" x14ac:dyDescent="0.25">
      <c r="A148" s="1" t="s">
        <v>48</v>
      </c>
      <c r="B148" s="25" t="s">
        <v>490</v>
      </c>
      <c r="C148" s="25" t="s">
        <v>494</v>
      </c>
      <c r="D148" s="27" t="s">
        <v>51</v>
      </c>
      <c r="E148" s="27" t="s">
        <v>495</v>
      </c>
      <c r="F148" s="31">
        <v>25990</v>
      </c>
      <c r="G148" s="45" t="s">
        <v>496</v>
      </c>
      <c r="H148" s="45"/>
      <c r="I148" s="26" t="s">
        <v>360</v>
      </c>
      <c r="J148" s="26" t="s">
        <v>7</v>
      </c>
    </row>
    <row r="149" spans="1:10" x14ac:dyDescent="0.25">
      <c r="A149" s="1" t="s">
        <v>22</v>
      </c>
      <c r="B149" s="25" t="s">
        <v>490</v>
      </c>
      <c r="C149" s="25" t="s">
        <v>69</v>
      </c>
      <c r="D149" s="27" t="s">
        <v>7</v>
      </c>
      <c r="E149" s="27" t="s">
        <v>497</v>
      </c>
      <c r="F149" s="31">
        <v>115000</v>
      </c>
      <c r="G149" s="45" t="s">
        <v>498</v>
      </c>
      <c r="H149" s="45"/>
      <c r="I149" s="26" t="s">
        <v>462</v>
      </c>
      <c r="J149" s="26" t="s">
        <v>7</v>
      </c>
    </row>
    <row r="150" spans="1:10" ht="33" x14ac:dyDescent="0.25">
      <c r="A150" s="1" t="s">
        <v>48</v>
      </c>
      <c r="B150" s="25" t="s">
        <v>499</v>
      </c>
      <c r="C150" s="25" t="s">
        <v>500</v>
      </c>
      <c r="D150" s="27" t="s">
        <v>51</v>
      </c>
      <c r="E150" s="27" t="s">
        <v>501</v>
      </c>
      <c r="F150" s="31">
        <v>37750</v>
      </c>
      <c r="G150" s="45" t="s">
        <v>502</v>
      </c>
      <c r="H150" s="45"/>
      <c r="I150" s="26" t="s">
        <v>271</v>
      </c>
      <c r="J150" s="26" t="s">
        <v>7</v>
      </c>
    </row>
    <row r="151" spans="1:10" ht="33" x14ac:dyDescent="0.25">
      <c r="A151" s="1" t="s">
        <v>48</v>
      </c>
      <c r="B151" s="25" t="s">
        <v>503</v>
      </c>
      <c r="C151" s="25" t="s">
        <v>504</v>
      </c>
      <c r="D151" s="27" t="s">
        <v>79</v>
      </c>
      <c r="E151" s="27" t="s">
        <v>505</v>
      </c>
      <c r="F151" s="31">
        <v>26600</v>
      </c>
      <c r="G151" s="45" t="s">
        <v>506</v>
      </c>
      <c r="H151" s="45"/>
      <c r="I151" s="26" t="s">
        <v>58</v>
      </c>
      <c r="J151" s="26" t="s">
        <v>7</v>
      </c>
    </row>
    <row r="152" spans="1:10" ht="33" x14ac:dyDescent="0.25">
      <c r="A152" s="1" t="s">
        <v>48</v>
      </c>
      <c r="B152" s="25" t="s">
        <v>503</v>
      </c>
      <c r="C152" s="25" t="s">
        <v>507</v>
      </c>
      <c r="D152" s="27" t="s">
        <v>51</v>
      </c>
      <c r="E152" s="27" t="s">
        <v>508</v>
      </c>
      <c r="F152" s="31">
        <v>199500</v>
      </c>
      <c r="G152" s="45" t="s">
        <v>509</v>
      </c>
      <c r="H152" s="45"/>
      <c r="I152" s="26" t="s">
        <v>320</v>
      </c>
      <c r="J152" s="26" t="s">
        <v>7</v>
      </c>
    </row>
    <row r="153" spans="1:10" x14ac:dyDescent="0.25">
      <c r="A153" s="1" t="s">
        <v>22</v>
      </c>
      <c r="B153" s="25" t="s">
        <v>503</v>
      </c>
      <c r="C153" s="25" t="s">
        <v>69</v>
      </c>
      <c r="D153" s="27" t="s">
        <v>7</v>
      </c>
      <c r="E153" s="27" t="s">
        <v>510</v>
      </c>
      <c r="F153" s="31">
        <v>1426415</v>
      </c>
      <c r="G153" s="45" t="s">
        <v>511</v>
      </c>
      <c r="H153" s="45"/>
      <c r="I153" s="26" t="s">
        <v>512</v>
      </c>
      <c r="J153" s="26" t="s">
        <v>7</v>
      </c>
    </row>
    <row r="154" spans="1:10" x14ac:dyDescent="0.25">
      <c r="A154" s="1" t="s">
        <v>22</v>
      </c>
      <c r="B154" s="25" t="s">
        <v>513</v>
      </c>
      <c r="C154" s="25" t="s">
        <v>69</v>
      </c>
      <c r="D154" s="27" t="s">
        <v>7</v>
      </c>
      <c r="E154" s="27" t="s">
        <v>514</v>
      </c>
      <c r="F154" s="31">
        <v>152861</v>
      </c>
      <c r="G154" s="45" t="s">
        <v>515</v>
      </c>
      <c r="H154" s="45"/>
      <c r="I154" s="26" t="s">
        <v>100</v>
      </c>
      <c r="J154" s="26" t="s">
        <v>7</v>
      </c>
    </row>
    <row r="155" spans="1:10" x14ac:dyDescent="0.25">
      <c r="A155" s="1" t="s">
        <v>217</v>
      </c>
      <c r="B155" s="25" t="s">
        <v>513</v>
      </c>
      <c r="C155" s="25" t="s">
        <v>69</v>
      </c>
      <c r="D155" s="27" t="s">
        <v>7</v>
      </c>
      <c r="E155" s="27" t="s">
        <v>516</v>
      </c>
      <c r="F155" s="31">
        <v>135950</v>
      </c>
      <c r="G155" s="45" t="s">
        <v>517</v>
      </c>
      <c r="H155" s="45"/>
      <c r="I155" s="26" t="s">
        <v>518</v>
      </c>
      <c r="J155" s="26" t="s">
        <v>7</v>
      </c>
    </row>
    <row r="156" spans="1:10" x14ac:dyDescent="0.25">
      <c r="A156" s="1" t="s">
        <v>217</v>
      </c>
      <c r="B156" s="25" t="s">
        <v>513</v>
      </c>
      <c r="C156" s="25" t="s">
        <v>69</v>
      </c>
      <c r="D156" s="27" t="s">
        <v>7</v>
      </c>
      <c r="E156" s="27" t="s">
        <v>519</v>
      </c>
      <c r="F156" s="31">
        <v>72050</v>
      </c>
      <c r="G156" s="45" t="s">
        <v>520</v>
      </c>
      <c r="H156" s="45"/>
      <c r="I156" s="26" t="s">
        <v>518</v>
      </c>
      <c r="J156" s="26" t="s">
        <v>7</v>
      </c>
    </row>
    <row r="157" spans="1:10" ht="33" x14ac:dyDescent="0.25">
      <c r="A157" s="1" t="s">
        <v>48</v>
      </c>
      <c r="B157" s="25" t="s">
        <v>521</v>
      </c>
      <c r="C157" s="25" t="s">
        <v>522</v>
      </c>
      <c r="D157" s="27" t="s">
        <v>51</v>
      </c>
      <c r="E157" s="27" t="s">
        <v>523</v>
      </c>
      <c r="F157" s="31">
        <v>76141</v>
      </c>
      <c r="G157" s="45" t="s">
        <v>524</v>
      </c>
      <c r="H157" s="45"/>
      <c r="I157" s="26" t="s">
        <v>237</v>
      </c>
      <c r="J157" s="26" t="s">
        <v>7</v>
      </c>
    </row>
    <row r="158" spans="1:10" ht="33" x14ac:dyDescent="0.25">
      <c r="A158" s="1" t="s">
        <v>48</v>
      </c>
      <c r="B158" s="25" t="s">
        <v>521</v>
      </c>
      <c r="C158" s="25" t="s">
        <v>525</v>
      </c>
      <c r="D158" s="27" t="s">
        <v>51</v>
      </c>
      <c r="E158" s="27" t="s">
        <v>526</v>
      </c>
      <c r="F158" s="31">
        <v>65000</v>
      </c>
      <c r="G158" s="45" t="s">
        <v>527</v>
      </c>
      <c r="H158" s="45"/>
      <c r="I158" s="26" t="s">
        <v>237</v>
      </c>
      <c r="J158" s="26" t="s">
        <v>7</v>
      </c>
    </row>
    <row r="159" spans="1:10" ht="33" x14ac:dyDescent="0.25">
      <c r="A159" s="1" t="s">
        <v>48</v>
      </c>
      <c r="B159" s="25" t="s">
        <v>521</v>
      </c>
      <c r="C159" s="25" t="s">
        <v>528</v>
      </c>
      <c r="D159" s="27" t="s">
        <v>79</v>
      </c>
      <c r="E159" s="27" t="s">
        <v>529</v>
      </c>
      <c r="F159" s="31">
        <v>83000</v>
      </c>
      <c r="G159" s="45" t="s">
        <v>530</v>
      </c>
      <c r="H159" s="45"/>
      <c r="I159" s="26" t="s">
        <v>67</v>
      </c>
      <c r="J159" s="26" t="s">
        <v>7</v>
      </c>
    </row>
    <row r="160" spans="1:10" ht="33" x14ac:dyDescent="0.25">
      <c r="A160" s="1" t="s">
        <v>48</v>
      </c>
      <c r="B160" s="25" t="s">
        <v>521</v>
      </c>
      <c r="C160" s="25" t="s">
        <v>528</v>
      </c>
      <c r="D160" s="27" t="s">
        <v>88</v>
      </c>
      <c r="E160" s="27" t="s">
        <v>529</v>
      </c>
      <c r="F160" s="31">
        <v>63500</v>
      </c>
      <c r="G160" s="45" t="s">
        <v>530</v>
      </c>
      <c r="H160" s="45"/>
      <c r="I160" s="26" t="s">
        <v>67</v>
      </c>
      <c r="J160" s="26" t="s">
        <v>7</v>
      </c>
    </row>
    <row r="161" spans="1:10" ht="33" x14ac:dyDescent="0.25">
      <c r="A161" s="1" t="s">
        <v>48</v>
      </c>
      <c r="B161" s="25" t="s">
        <v>521</v>
      </c>
      <c r="C161" s="25" t="s">
        <v>531</v>
      </c>
      <c r="D161" s="27" t="s">
        <v>51</v>
      </c>
      <c r="E161" s="27" t="s">
        <v>532</v>
      </c>
      <c r="F161" s="31">
        <v>61000</v>
      </c>
      <c r="G161" s="45" t="s">
        <v>533</v>
      </c>
      <c r="H161" s="45"/>
      <c r="I161" s="26" t="s">
        <v>149</v>
      </c>
      <c r="J161" s="26" t="s">
        <v>7</v>
      </c>
    </row>
    <row r="162" spans="1:10" ht="33" x14ac:dyDescent="0.25">
      <c r="A162" s="1" t="s">
        <v>48</v>
      </c>
      <c r="B162" s="25" t="s">
        <v>521</v>
      </c>
      <c r="C162" s="25" t="s">
        <v>534</v>
      </c>
      <c r="D162" s="27" t="s">
        <v>51</v>
      </c>
      <c r="E162" s="27" t="s">
        <v>535</v>
      </c>
      <c r="F162" s="31">
        <v>140000</v>
      </c>
      <c r="G162" s="45" t="s">
        <v>536</v>
      </c>
      <c r="H162" s="45"/>
      <c r="I162" s="26" t="s">
        <v>122</v>
      </c>
      <c r="J162" s="26" t="s">
        <v>7</v>
      </c>
    </row>
    <row r="163" spans="1:10" ht="33" x14ac:dyDescent="0.25">
      <c r="A163" s="1" t="s">
        <v>48</v>
      </c>
      <c r="B163" s="25" t="s">
        <v>521</v>
      </c>
      <c r="C163" s="25" t="s">
        <v>537</v>
      </c>
      <c r="D163" s="27" t="s">
        <v>51</v>
      </c>
      <c r="E163" s="27" t="s">
        <v>538</v>
      </c>
      <c r="F163" s="31">
        <v>147000</v>
      </c>
      <c r="G163" s="45" t="s">
        <v>539</v>
      </c>
      <c r="H163" s="45"/>
      <c r="I163" s="26" t="s">
        <v>213</v>
      </c>
      <c r="J163" s="26" t="s">
        <v>7</v>
      </c>
    </row>
    <row r="164" spans="1:10" ht="33" x14ac:dyDescent="0.25">
      <c r="A164" s="1" t="s">
        <v>48</v>
      </c>
      <c r="B164" s="25" t="s">
        <v>521</v>
      </c>
      <c r="C164" s="25" t="s">
        <v>540</v>
      </c>
      <c r="D164" s="27" t="s">
        <v>51</v>
      </c>
      <c r="E164" s="27" t="s">
        <v>541</v>
      </c>
      <c r="F164" s="31">
        <v>35913</v>
      </c>
      <c r="G164" s="45" t="s">
        <v>542</v>
      </c>
      <c r="H164" s="45"/>
      <c r="I164" s="26" t="s">
        <v>290</v>
      </c>
      <c r="J164" s="26" t="s">
        <v>7</v>
      </c>
    </row>
    <row r="165" spans="1:10" ht="33" x14ac:dyDescent="0.25">
      <c r="A165" s="1" t="s">
        <v>48</v>
      </c>
      <c r="B165" s="25" t="s">
        <v>543</v>
      </c>
      <c r="C165" s="25" t="s">
        <v>544</v>
      </c>
      <c r="D165" s="27" t="s">
        <v>79</v>
      </c>
      <c r="E165" s="27" t="s">
        <v>545</v>
      </c>
      <c r="F165" s="31">
        <v>920000</v>
      </c>
      <c r="G165" s="45" t="s">
        <v>546</v>
      </c>
      <c r="H165" s="45"/>
      <c r="I165" s="26" t="s">
        <v>547</v>
      </c>
      <c r="J165" s="26" t="s">
        <v>7</v>
      </c>
    </row>
    <row r="166" spans="1:10" ht="33" x14ac:dyDescent="0.25">
      <c r="A166" s="1" t="s">
        <v>48</v>
      </c>
      <c r="B166" s="25" t="s">
        <v>543</v>
      </c>
      <c r="C166" s="25" t="s">
        <v>548</v>
      </c>
      <c r="D166" s="27" t="s">
        <v>51</v>
      </c>
      <c r="E166" s="27" t="s">
        <v>549</v>
      </c>
      <c r="F166" s="31">
        <v>35000</v>
      </c>
      <c r="G166" s="45" t="s">
        <v>550</v>
      </c>
      <c r="H166" s="45"/>
      <c r="I166" s="26" t="s">
        <v>100</v>
      </c>
      <c r="J166" s="26" t="s">
        <v>7</v>
      </c>
    </row>
    <row r="167" spans="1:10" ht="33" x14ac:dyDescent="0.25">
      <c r="A167" s="1" t="s">
        <v>22</v>
      </c>
      <c r="B167" s="25" t="s">
        <v>551</v>
      </c>
      <c r="C167" s="25" t="s">
        <v>69</v>
      </c>
      <c r="D167" s="27" t="s">
        <v>7</v>
      </c>
      <c r="E167" s="27" t="s">
        <v>552</v>
      </c>
      <c r="F167" s="31">
        <v>1400000</v>
      </c>
      <c r="G167" s="45" t="s">
        <v>553</v>
      </c>
      <c r="H167" s="45"/>
      <c r="I167" s="26" t="s">
        <v>554</v>
      </c>
      <c r="J167" s="26" t="s">
        <v>7</v>
      </c>
    </row>
    <row r="168" spans="1:10" x14ac:dyDescent="0.25">
      <c r="A168" s="1" t="s">
        <v>217</v>
      </c>
      <c r="B168" s="25" t="s">
        <v>551</v>
      </c>
      <c r="C168" s="25" t="s">
        <v>218</v>
      </c>
      <c r="D168" s="27" t="s">
        <v>7</v>
      </c>
      <c r="E168" s="27" t="s">
        <v>555</v>
      </c>
      <c r="F168" s="31">
        <v>50000</v>
      </c>
      <c r="G168" s="45" t="s">
        <v>556</v>
      </c>
      <c r="H168" s="45"/>
      <c r="I168" s="26" t="s">
        <v>557</v>
      </c>
      <c r="J168" s="26" t="s">
        <v>7</v>
      </c>
    </row>
    <row r="169" spans="1:10" x14ac:dyDescent="0.25">
      <c r="A169" s="1" t="s">
        <v>217</v>
      </c>
      <c r="B169" s="25" t="s">
        <v>551</v>
      </c>
      <c r="C169" s="25" t="s">
        <v>218</v>
      </c>
      <c r="D169" s="27" t="s">
        <v>7</v>
      </c>
      <c r="E169" s="27" t="s">
        <v>558</v>
      </c>
      <c r="F169" s="31">
        <v>100000</v>
      </c>
      <c r="G169" s="45" t="s">
        <v>559</v>
      </c>
      <c r="H169" s="45"/>
      <c r="I169" s="26" t="s">
        <v>560</v>
      </c>
      <c r="J169" s="26" t="s">
        <v>7</v>
      </c>
    </row>
    <row r="170" spans="1:10" ht="33" x14ac:dyDescent="0.25">
      <c r="A170" s="1" t="s">
        <v>48</v>
      </c>
      <c r="B170" s="25" t="s">
        <v>561</v>
      </c>
      <c r="C170" s="25" t="s">
        <v>562</v>
      </c>
      <c r="D170" s="27" t="s">
        <v>563</v>
      </c>
      <c r="E170" s="27" t="s">
        <v>564</v>
      </c>
      <c r="F170" s="31">
        <v>2040</v>
      </c>
      <c r="G170" s="45" t="s">
        <v>565</v>
      </c>
      <c r="H170" s="45"/>
      <c r="I170" s="26" t="s">
        <v>133</v>
      </c>
      <c r="J170" s="26" t="s">
        <v>7</v>
      </c>
    </row>
    <row r="171" spans="1:10" ht="33" x14ac:dyDescent="0.25">
      <c r="A171" s="1" t="s">
        <v>48</v>
      </c>
      <c r="B171" s="25" t="s">
        <v>561</v>
      </c>
      <c r="C171" s="25" t="s">
        <v>566</v>
      </c>
      <c r="D171" s="27" t="s">
        <v>51</v>
      </c>
      <c r="E171" s="27" t="s">
        <v>567</v>
      </c>
      <c r="F171" s="31">
        <v>15000</v>
      </c>
      <c r="G171" s="45" t="s">
        <v>568</v>
      </c>
      <c r="H171" s="45"/>
      <c r="I171" s="26" t="s">
        <v>569</v>
      </c>
      <c r="J171" s="26" t="s">
        <v>7</v>
      </c>
    </row>
    <row r="172" spans="1:10" x14ac:dyDescent="0.25">
      <c r="A172" s="1" t="s">
        <v>22</v>
      </c>
      <c r="B172" s="25" t="s">
        <v>561</v>
      </c>
      <c r="C172" s="25" t="s">
        <v>218</v>
      </c>
      <c r="D172" s="27" t="s">
        <v>7</v>
      </c>
      <c r="E172" s="27" t="s">
        <v>570</v>
      </c>
      <c r="F172" s="31">
        <v>465040</v>
      </c>
      <c r="G172" s="45" t="s">
        <v>571</v>
      </c>
      <c r="H172" s="45"/>
      <c r="I172" s="26" t="s">
        <v>166</v>
      </c>
      <c r="J172" s="26" t="s">
        <v>7</v>
      </c>
    </row>
    <row r="173" spans="1:10" ht="33" x14ac:dyDescent="0.25">
      <c r="A173" s="1" t="s">
        <v>48</v>
      </c>
      <c r="B173" s="25" t="s">
        <v>572</v>
      </c>
      <c r="C173" s="25" t="s">
        <v>573</v>
      </c>
      <c r="D173" s="27" t="s">
        <v>51</v>
      </c>
      <c r="E173" s="27" t="s">
        <v>574</v>
      </c>
      <c r="F173" s="31">
        <v>57000</v>
      </c>
      <c r="G173" s="45" t="s">
        <v>575</v>
      </c>
      <c r="H173" s="45"/>
      <c r="I173" s="26" t="s">
        <v>432</v>
      </c>
      <c r="J173" s="26" t="s">
        <v>7</v>
      </c>
    </row>
    <row r="174" spans="1:10" ht="33" x14ac:dyDescent="0.25">
      <c r="A174" s="1" t="s">
        <v>48</v>
      </c>
      <c r="B174" s="25" t="s">
        <v>572</v>
      </c>
      <c r="C174" s="25" t="s">
        <v>576</v>
      </c>
      <c r="D174" s="27" t="s">
        <v>51</v>
      </c>
      <c r="E174" s="27" t="s">
        <v>577</v>
      </c>
      <c r="F174" s="31">
        <v>20000</v>
      </c>
      <c r="G174" s="45" t="s">
        <v>578</v>
      </c>
      <c r="H174" s="45"/>
      <c r="I174" s="26" t="s">
        <v>579</v>
      </c>
      <c r="J174" s="26" t="s">
        <v>7</v>
      </c>
    </row>
    <row r="175" spans="1:10" ht="33" x14ac:dyDescent="0.25">
      <c r="A175" s="1" t="s">
        <v>48</v>
      </c>
      <c r="B175" s="25" t="s">
        <v>572</v>
      </c>
      <c r="C175" s="25" t="s">
        <v>580</v>
      </c>
      <c r="D175" s="27" t="s">
        <v>88</v>
      </c>
      <c r="E175" s="27" t="s">
        <v>581</v>
      </c>
      <c r="F175" s="31">
        <v>16588</v>
      </c>
      <c r="G175" s="45" t="s">
        <v>582</v>
      </c>
      <c r="H175" s="45"/>
      <c r="I175" s="26" t="s">
        <v>266</v>
      </c>
      <c r="J175" s="26" t="s">
        <v>7</v>
      </c>
    </row>
    <row r="176" spans="1:10" ht="33" x14ac:dyDescent="0.25">
      <c r="A176" s="1" t="s">
        <v>48</v>
      </c>
      <c r="B176" s="25" t="s">
        <v>572</v>
      </c>
      <c r="C176" s="25" t="s">
        <v>583</v>
      </c>
      <c r="D176" s="27" t="s">
        <v>51</v>
      </c>
      <c r="E176" s="27" t="s">
        <v>584</v>
      </c>
      <c r="F176" s="31">
        <v>48895</v>
      </c>
      <c r="G176" s="45" t="s">
        <v>585</v>
      </c>
      <c r="H176" s="45"/>
      <c r="I176" s="26" t="s">
        <v>400</v>
      </c>
      <c r="J176" s="26" t="s">
        <v>7</v>
      </c>
    </row>
    <row r="177" spans="1:10" ht="33" x14ac:dyDescent="0.25">
      <c r="A177" s="1" t="s">
        <v>48</v>
      </c>
      <c r="B177" s="25" t="s">
        <v>572</v>
      </c>
      <c r="C177" s="25" t="s">
        <v>583</v>
      </c>
      <c r="D177" s="27" t="s">
        <v>79</v>
      </c>
      <c r="E177" s="27" t="s">
        <v>584</v>
      </c>
      <c r="F177" s="31">
        <v>37670</v>
      </c>
      <c r="G177" s="45" t="s">
        <v>585</v>
      </c>
      <c r="H177" s="45"/>
      <c r="I177" s="26" t="s">
        <v>400</v>
      </c>
      <c r="J177" s="26" t="s">
        <v>7</v>
      </c>
    </row>
    <row r="178" spans="1:10" ht="33" x14ac:dyDescent="0.25">
      <c r="A178" s="1" t="s">
        <v>48</v>
      </c>
      <c r="B178" s="25" t="s">
        <v>572</v>
      </c>
      <c r="C178" s="25" t="s">
        <v>586</v>
      </c>
      <c r="D178" s="27" t="s">
        <v>51</v>
      </c>
      <c r="E178" s="27" t="s">
        <v>587</v>
      </c>
      <c r="F178" s="31">
        <v>24045</v>
      </c>
      <c r="G178" s="45" t="s">
        <v>588</v>
      </c>
      <c r="H178" s="45"/>
      <c r="I178" s="26" t="s">
        <v>133</v>
      </c>
      <c r="J178" s="26" t="s">
        <v>7</v>
      </c>
    </row>
    <row r="179" spans="1:10" ht="33" x14ac:dyDescent="0.25">
      <c r="A179" s="1" t="s">
        <v>48</v>
      </c>
      <c r="B179" s="25" t="s">
        <v>572</v>
      </c>
      <c r="C179" s="25" t="s">
        <v>589</v>
      </c>
      <c r="D179" s="27" t="s">
        <v>51</v>
      </c>
      <c r="E179" s="27" t="s">
        <v>590</v>
      </c>
      <c r="F179" s="31">
        <v>59800</v>
      </c>
      <c r="G179" s="45" t="s">
        <v>591</v>
      </c>
      <c r="H179" s="45"/>
      <c r="I179" s="26" t="s">
        <v>271</v>
      </c>
      <c r="J179" s="26" t="s">
        <v>7</v>
      </c>
    </row>
    <row r="180" spans="1:10" x14ac:dyDescent="0.25">
      <c r="A180" s="1" t="s">
        <v>217</v>
      </c>
      <c r="B180" s="25" t="s">
        <v>572</v>
      </c>
      <c r="C180" s="25" t="s">
        <v>218</v>
      </c>
      <c r="D180" s="27" t="s">
        <v>7</v>
      </c>
      <c r="E180" s="27" t="s">
        <v>592</v>
      </c>
      <c r="F180" s="31">
        <v>9900</v>
      </c>
      <c r="G180" s="45" t="s">
        <v>7</v>
      </c>
      <c r="H180" s="45"/>
      <c r="I180" s="26" t="s">
        <v>593</v>
      </c>
      <c r="J180" s="26" t="s">
        <v>7</v>
      </c>
    </row>
    <row r="181" spans="1:10" x14ac:dyDescent="0.25">
      <c r="A181" s="1" t="s">
        <v>22</v>
      </c>
      <c r="B181" s="25" t="s">
        <v>594</v>
      </c>
      <c r="C181" s="25" t="s">
        <v>69</v>
      </c>
      <c r="D181" s="27" t="s">
        <v>7</v>
      </c>
      <c r="E181" s="27" t="s">
        <v>595</v>
      </c>
      <c r="F181" s="31">
        <v>469232</v>
      </c>
      <c r="G181" s="45" t="s">
        <v>596</v>
      </c>
      <c r="H181" s="45"/>
      <c r="I181" s="26" t="s">
        <v>266</v>
      </c>
      <c r="J181" s="26" t="s">
        <v>7</v>
      </c>
    </row>
    <row r="182" spans="1:10" x14ac:dyDescent="0.25">
      <c r="A182" s="1" t="s">
        <v>217</v>
      </c>
      <c r="B182" s="25" t="s">
        <v>597</v>
      </c>
      <c r="C182" s="25" t="s">
        <v>69</v>
      </c>
      <c r="D182" s="27" t="s">
        <v>7</v>
      </c>
      <c r="E182" s="27" t="s">
        <v>598</v>
      </c>
      <c r="F182" s="31">
        <v>11340</v>
      </c>
      <c r="G182" s="45" t="s">
        <v>599</v>
      </c>
      <c r="H182" s="45"/>
      <c r="I182" s="26" t="s">
        <v>600</v>
      </c>
      <c r="J182" s="26" t="s">
        <v>7</v>
      </c>
    </row>
    <row r="183" spans="1:10" ht="33" x14ac:dyDescent="0.25">
      <c r="A183" s="1" t="s">
        <v>22</v>
      </c>
      <c r="B183" s="25" t="s">
        <v>601</v>
      </c>
      <c r="C183" s="25" t="s">
        <v>69</v>
      </c>
      <c r="D183" s="27" t="s">
        <v>7</v>
      </c>
      <c r="E183" s="27" t="s">
        <v>602</v>
      </c>
      <c r="F183" s="31">
        <v>272155</v>
      </c>
      <c r="G183" s="45" t="s">
        <v>603</v>
      </c>
      <c r="H183" s="45"/>
      <c r="I183" s="26" t="s">
        <v>118</v>
      </c>
      <c r="J183" s="26" t="s">
        <v>7</v>
      </c>
    </row>
    <row r="184" spans="1:10" x14ac:dyDescent="0.25">
      <c r="A184" s="1" t="s">
        <v>22</v>
      </c>
      <c r="B184" s="25" t="s">
        <v>604</v>
      </c>
      <c r="C184" s="25" t="s">
        <v>69</v>
      </c>
      <c r="D184" s="27" t="s">
        <v>7</v>
      </c>
      <c r="E184" s="27" t="s">
        <v>605</v>
      </c>
      <c r="F184" s="31">
        <v>254601</v>
      </c>
      <c r="G184" s="45" t="s">
        <v>606</v>
      </c>
      <c r="H184" s="45"/>
      <c r="I184" s="26" t="s">
        <v>607</v>
      </c>
      <c r="J184" s="26" t="s">
        <v>7</v>
      </c>
    </row>
    <row r="185" spans="1:10" x14ac:dyDescent="0.25">
      <c r="A185" s="1" t="s">
        <v>22</v>
      </c>
      <c r="B185" s="25" t="s">
        <v>604</v>
      </c>
      <c r="C185" s="25" t="s">
        <v>69</v>
      </c>
      <c r="D185" s="27" t="s">
        <v>7</v>
      </c>
      <c r="E185" s="27" t="s">
        <v>608</v>
      </c>
      <c r="F185" s="31">
        <v>1098340</v>
      </c>
      <c r="G185" s="45" t="s">
        <v>609</v>
      </c>
      <c r="H185" s="45"/>
      <c r="I185" s="26" t="s">
        <v>58</v>
      </c>
      <c r="J185" s="26" t="s">
        <v>7</v>
      </c>
    </row>
    <row r="186" spans="1:10" x14ac:dyDescent="0.25">
      <c r="A186" s="1" t="s">
        <v>217</v>
      </c>
      <c r="B186" s="25" t="s">
        <v>604</v>
      </c>
      <c r="C186" s="25" t="s">
        <v>218</v>
      </c>
      <c r="D186" s="27" t="s">
        <v>7</v>
      </c>
      <c r="E186" s="27" t="s">
        <v>610</v>
      </c>
      <c r="F186" s="31">
        <v>13430</v>
      </c>
      <c r="G186" s="45" t="s">
        <v>611</v>
      </c>
      <c r="H186" s="45"/>
      <c r="I186" s="26" t="s">
        <v>600</v>
      </c>
      <c r="J186" s="26" t="s">
        <v>7</v>
      </c>
    </row>
    <row r="187" spans="1:10" x14ac:dyDescent="0.25">
      <c r="A187" s="1" t="s">
        <v>217</v>
      </c>
      <c r="B187" s="25" t="s">
        <v>604</v>
      </c>
      <c r="C187" s="25" t="s">
        <v>218</v>
      </c>
      <c r="D187" s="27" t="s">
        <v>7</v>
      </c>
      <c r="E187" s="27" t="s">
        <v>612</v>
      </c>
      <c r="F187" s="31">
        <v>95000</v>
      </c>
      <c r="G187" s="45" t="s">
        <v>613</v>
      </c>
      <c r="H187" s="45"/>
      <c r="I187" s="26" t="s">
        <v>614</v>
      </c>
      <c r="J187" s="26" t="s">
        <v>7</v>
      </c>
    </row>
    <row r="188" spans="1:10" ht="33" x14ac:dyDescent="0.25">
      <c r="A188" s="1" t="s">
        <v>48</v>
      </c>
      <c r="B188" s="25" t="s">
        <v>615</v>
      </c>
      <c r="C188" s="25" t="s">
        <v>616</v>
      </c>
      <c r="D188" s="27" t="s">
        <v>88</v>
      </c>
      <c r="E188" s="27" t="s">
        <v>617</v>
      </c>
      <c r="F188" s="31">
        <v>148800</v>
      </c>
      <c r="G188" s="45" t="s">
        <v>618</v>
      </c>
      <c r="H188" s="45"/>
      <c r="I188" s="26" t="s">
        <v>67</v>
      </c>
      <c r="J188" s="26" t="s">
        <v>7</v>
      </c>
    </row>
    <row r="189" spans="1:10" ht="33" x14ac:dyDescent="0.25">
      <c r="A189" s="1" t="s">
        <v>48</v>
      </c>
      <c r="B189" s="25" t="s">
        <v>615</v>
      </c>
      <c r="C189" s="25" t="s">
        <v>619</v>
      </c>
      <c r="D189" s="27" t="s">
        <v>88</v>
      </c>
      <c r="E189" s="27" t="s">
        <v>620</v>
      </c>
      <c r="F189" s="31">
        <v>54527</v>
      </c>
      <c r="G189" s="45" t="s">
        <v>621</v>
      </c>
      <c r="H189" s="45"/>
      <c r="I189" s="26" t="s">
        <v>276</v>
      </c>
      <c r="J189" s="26" t="s">
        <v>7</v>
      </c>
    </row>
    <row r="190" spans="1:10" ht="33" x14ac:dyDescent="0.25">
      <c r="A190" s="1" t="s">
        <v>48</v>
      </c>
      <c r="B190" s="25" t="s">
        <v>615</v>
      </c>
      <c r="C190" s="25" t="s">
        <v>622</v>
      </c>
      <c r="D190" s="27" t="s">
        <v>79</v>
      </c>
      <c r="E190" s="27" t="s">
        <v>623</v>
      </c>
      <c r="F190" s="31">
        <v>149972</v>
      </c>
      <c r="G190" s="45" t="s">
        <v>624</v>
      </c>
      <c r="H190" s="45"/>
      <c r="I190" s="26" t="s">
        <v>62</v>
      </c>
      <c r="J190" s="26" t="s">
        <v>7</v>
      </c>
    </row>
    <row r="191" spans="1:10" ht="33" x14ac:dyDescent="0.25">
      <c r="A191" s="1" t="s">
        <v>48</v>
      </c>
      <c r="B191" s="25" t="s">
        <v>615</v>
      </c>
      <c r="C191" s="25" t="s">
        <v>625</v>
      </c>
      <c r="D191" s="27" t="s">
        <v>51</v>
      </c>
      <c r="E191" s="27" t="s">
        <v>626</v>
      </c>
      <c r="F191" s="31">
        <v>47999</v>
      </c>
      <c r="G191" s="45" t="s">
        <v>627</v>
      </c>
      <c r="H191" s="45"/>
      <c r="I191" s="26" t="s">
        <v>271</v>
      </c>
      <c r="J191" s="26" t="s">
        <v>7</v>
      </c>
    </row>
    <row r="192" spans="1:10" ht="33" x14ac:dyDescent="0.25">
      <c r="A192" s="1" t="s">
        <v>48</v>
      </c>
      <c r="B192" s="25" t="s">
        <v>615</v>
      </c>
      <c r="C192" s="25" t="s">
        <v>628</v>
      </c>
      <c r="D192" s="27" t="s">
        <v>51</v>
      </c>
      <c r="E192" s="27" t="s">
        <v>629</v>
      </c>
      <c r="F192" s="31">
        <v>21590</v>
      </c>
      <c r="G192" s="45" t="s">
        <v>630</v>
      </c>
      <c r="H192" s="45"/>
      <c r="I192" s="26" t="s">
        <v>631</v>
      </c>
      <c r="J192" s="26" t="s">
        <v>7</v>
      </c>
    </row>
    <row r="193" spans="1:10" ht="33" x14ac:dyDescent="0.25">
      <c r="A193" s="1" t="s">
        <v>48</v>
      </c>
      <c r="B193" s="25" t="s">
        <v>615</v>
      </c>
      <c r="C193" s="25" t="s">
        <v>632</v>
      </c>
      <c r="D193" s="27" t="s">
        <v>51</v>
      </c>
      <c r="E193" s="27" t="s">
        <v>633</v>
      </c>
      <c r="F193" s="31">
        <v>26000</v>
      </c>
      <c r="G193" s="45" t="s">
        <v>634</v>
      </c>
      <c r="H193" s="45"/>
      <c r="I193" s="26" t="s">
        <v>225</v>
      </c>
      <c r="J193" s="26" t="s">
        <v>7</v>
      </c>
    </row>
    <row r="194" spans="1:10" ht="33" x14ac:dyDescent="0.25">
      <c r="A194" s="1" t="s">
        <v>48</v>
      </c>
      <c r="B194" s="25" t="s">
        <v>615</v>
      </c>
      <c r="C194" s="25" t="s">
        <v>632</v>
      </c>
      <c r="D194" s="27" t="s">
        <v>88</v>
      </c>
      <c r="E194" s="27" t="s">
        <v>633</v>
      </c>
      <c r="F194" s="31">
        <v>18725</v>
      </c>
      <c r="G194" s="45" t="s">
        <v>634</v>
      </c>
      <c r="H194" s="45"/>
      <c r="I194" s="26" t="s">
        <v>225</v>
      </c>
      <c r="J194" s="26" t="s">
        <v>7</v>
      </c>
    </row>
    <row r="195" spans="1:10" ht="33" x14ac:dyDescent="0.25">
      <c r="A195" s="1" t="s">
        <v>48</v>
      </c>
      <c r="B195" s="25" t="s">
        <v>615</v>
      </c>
      <c r="C195" s="25" t="s">
        <v>635</v>
      </c>
      <c r="D195" s="27" t="s">
        <v>51</v>
      </c>
      <c r="E195" s="27" t="s">
        <v>636</v>
      </c>
      <c r="F195" s="31">
        <v>184770</v>
      </c>
      <c r="G195" s="45" t="s">
        <v>637</v>
      </c>
      <c r="H195" s="45"/>
      <c r="I195" s="26" t="s">
        <v>103</v>
      </c>
      <c r="J195" s="26" t="s">
        <v>7</v>
      </c>
    </row>
    <row r="196" spans="1:10" ht="33" x14ac:dyDescent="0.25">
      <c r="A196" s="1" t="s">
        <v>48</v>
      </c>
      <c r="B196" s="25" t="s">
        <v>638</v>
      </c>
      <c r="C196" s="25" t="s">
        <v>639</v>
      </c>
      <c r="D196" s="27" t="s">
        <v>51</v>
      </c>
      <c r="E196" s="27" t="s">
        <v>640</v>
      </c>
      <c r="F196" s="31">
        <v>100000</v>
      </c>
      <c r="G196" s="45" t="s">
        <v>641</v>
      </c>
      <c r="H196" s="45"/>
      <c r="I196" s="26" t="s">
        <v>642</v>
      </c>
      <c r="J196" s="26" t="s">
        <v>7</v>
      </c>
    </row>
    <row r="197" spans="1:10" ht="33" x14ac:dyDescent="0.25">
      <c r="A197" s="1" t="s">
        <v>48</v>
      </c>
      <c r="B197" s="25" t="s">
        <v>643</v>
      </c>
      <c r="C197" s="25" t="s">
        <v>644</v>
      </c>
      <c r="D197" s="27" t="s">
        <v>79</v>
      </c>
      <c r="E197" s="27" t="s">
        <v>645</v>
      </c>
      <c r="F197" s="31">
        <v>49500</v>
      </c>
      <c r="G197" s="45" t="s">
        <v>646</v>
      </c>
      <c r="H197" s="45"/>
      <c r="I197" s="26" t="s">
        <v>54</v>
      </c>
      <c r="J197" s="26" t="s">
        <v>7</v>
      </c>
    </row>
    <row r="198" spans="1:10" ht="33" x14ac:dyDescent="0.25">
      <c r="A198" s="1" t="s">
        <v>48</v>
      </c>
      <c r="B198" s="25" t="s">
        <v>643</v>
      </c>
      <c r="C198" s="25" t="s">
        <v>647</v>
      </c>
      <c r="D198" s="27" t="s">
        <v>51</v>
      </c>
      <c r="E198" s="27" t="s">
        <v>648</v>
      </c>
      <c r="F198" s="31">
        <v>24334</v>
      </c>
      <c r="G198" s="45" t="s">
        <v>649</v>
      </c>
      <c r="H198" s="45"/>
      <c r="I198" s="26" t="s">
        <v>54</v>
      </c>
      <c r="J198" s="26" t="s">
        <v>7</v>
      </c>
    </row>
    <row r="199" spans="1:10" ht="33" x14ac:dyDescent="0.25">
      <c r="A199" s="1" t="s">
        <v>48</v>
      </c>
      <c r="B199" s="25" t="s">
        <v>643</v>
      </c>
      <c r="C199" s="25" t="s">
        <v>650</v>
      </c>
      <c r="D199" s="27" t="s">
        <v>88</v>
      </c>
      <c r="E199" s="27" t="s">
        <v>651</v>
      </c>
      <c r="F199" s="31">
        <v>158102</v>
      </c>
      <c r="G199" s="45" t="s">
        <v>652</v>
      </c>
      <c r="H199" s="45"/>
      <c r="I199" s="26" t="s">
        <v>67</v>
      </c>
      <c r="J199" s="26" t="s">
        <v>7</v>
      </c>
    </row>
    <row r="200" spans="1:10" x14ac:dyDescent="0.25">
      <c r="A200" s="1" t="s">
        <v>217</v>
      </c>
      <c r="B200" s="25" t="s">
        <v>653</v>
      </c>
      <c r="C200" s="25" t="s">
        <v>218</v>
      </c>
      <c r="D200" s="27" t="s">
        <v>7</v>
      </c>
      <c r="E200" s="27" t="s">
        <v>654</v>
      </c>
      <c r="F200" s="31">
        <v>113500</v>
      </c>
      <c r="G200" s="45" t="s">
        <v>655</v>
      </c>
      <c r="H200" s="45"/>
      <c r="I200" s="26" t="s">
        <v>290</v>
      </c>
      <c r="J200" s="26" t="s">
        <v>7</v>
      </c>
    </row>
    <row r="201" spans="1:10" ht="33" x14ac:dyDescent="0.25">
      <c r="A201" s="1" t="s">
        <v>48</v>
      </c>
      <c r="B201" s="25" t="s">
        <v>656</v>
      </c>
      <c r="C201" s="25" t="s">
        <v>657</v>
      </c>
      <c r="D201" s="27" t="s">
        <v>79</v>
      </c>
      <c r="E201" s="27" t="s">
        <v>658</v>
      </c>
      <c r="F201" s="31">
        <v>11890</v>
      </c>
      <c r="G201" s="45" t="s">
        <v>659</v>
      </c>
      <c r="H201" s="45"/>
      <c r="I201" s="26" t="s">
        <v>118</v>
      </c>
      <c r="J201" s="26" t="s">
        <v>7</v>
      </c>
    </row>
    <row r="202" spans="1:10" ht="33" x14ac:dyDescent="0.25">
      <c r="A202" s="1" t="s">
        <v>48</v>
      </c>
      <c r="B202" s="25" t="s">
        <v>656</v>
      </c>
      <c r="C202" s="25" t="s">
        <v>660</v>
      </c>
      <c r="D202" s="27" t="s">
        <v>51</v>
      </c>
      <c r="E202" s="27" t="s">
        <v>661</v>
      </c>
      <c r="F202" s="31">
        <v>85690</v>
      </c>
      <c r="G202" s="45" t="s">
        <v>662</v>
      </c>
      <c r="H202" s="45"/>
      <c r="I202" s="26" t="s">
        <v>118</v>
      </c>
      <c r="J202" s="26" t="s">
        <v>7</v>
      </c>
    </row>
    <row r="203" spans="1:10" ht="33" x14ac:dyDescent="0.25">
      <c r="A203" s="1" t="s">
        <v>48</v>
      </c>
      <c r="B203" s="25" t="s">
        <v>656</v>
      </c>
      <c r="C203" s="25" t="s">
        <v>663</v>
      </c>
      <c r="D203" s="27" t="s">
        <v>88</v>
      </c>
      <c r="E203" s="27" t="s">
        <v>664</v>
      </c>
      <c r="F203" s="31">
        <v>82100</v>
      </c>
      <c r="G203" s="45" t="s">
        <v>665</v>
      </c>
      <c r="H203" s="45"/>
      <c r="I203" s="26" t="s">
        <v>67</v>
      </c>
      <c r="J203" s="26" t="s">
        <v>7</v>
      </c>
    </row>
    <row r="204" spans="1:10" ht="33" x14ac:dyDescent="0.25">
      <c r="A204" s="1" t="s">
        <v>48</v>
      </c>
      <c r="B204" s="25" t="s">
        <v>656</v>
      </c>
      <c r="C204" s="25" t="s">
        <v>666</v>
      </c>
      <c r="D204" s="27" t="s">
        <v>51</v>
      </c>
      <c r="E204" s="27" t="s">
        <v>667</v>
      </c>
      <c r="F204" s="31">
        <v>52000</v>
      </c>
      <c r="G204" s="45" t="s">
        <v>668</v>
      </c>
      <c r="H204" s="45"/>
      <c r="I204" s="26" t="s">
        <v>669</v>
      </c>
      <c r="J204" s="26" t="s">
        <v>7</v>
      </c>
    </row>
    <row r="205" spans="1:10" ht="33" x14ac:dyDescent="0.25">
      <c r="A205" s="1" t="s">
        <v>48</v>
      </c>
      <c r="B205" s="25" t="s">
        <v>656</v>
      </c>
      <c r="C205" s="25" t="s">
        <v>670</v>
      </c>
      <c r="D205" s="27" t="s">
        <v>51</v>
      </c>
      <c r="E205" s="27" t="s">
        <v>671</v>
      </c>
      <c r="F205" s="31">
        <v>503880</v>
      </c>
      <c r="G205" s="45" t="s">
        <v>672</v>
      </c>
      <c r="H205" s="45"/>
      <c r="I205" s="26" t="s">
        <v>95</v>
      </c>
      <c r="J205" s="26" t="s">
        <v>7</v>
      </c>
    </row>
    <row r="206" spans="1:10" x14ac:dyDescent="0.25">
      <c r="A206" s="1" t="s">
        <v>22</v>
      </c>
      <c r="B206" s="25" t="s">
        <v>656</v>
      </c>
      <c r="C206" s="25" t="s">
        <v>69</v>
      </c>
      <c r="D206" s="27" t="s">
        <v>7</v>
      </c>
      <c r="E206" s="27" t="s">
        <v>673</v>
      </c>
      <c r="F206" s="31">
        <v>26428</v>
      </c>
      <c r="G206" s="45" t="s">
        <v>674</v>
      </c>
      <c r="H206" s="45"/>
      <c r="I206" s="26" t="s">
        <v>82</v>
      </c>
      <c r="J206" s="26" t="s">
        <v>7</v>
      </c>
    </row>
    <row r="207" spans="1:10" x14ac:dyDescent="0.25">
      <c r="A207" s="1" t="s">
        <v>22</v>
      </c>
      <c r="B207" s="25" t="s">
        <v>656</v>
      </c>
      <c r="C207" s="25" t="s">
        <v>218</v>
      </c>
      <c r="D207" s="27" t="s">
        <v>7</v>
      </c>
      <c r="E207" s="27" t="s">
        <v>675</v>
      </c>
      <c r="F207" s="31">
        <v>254155</v>
      </c>
      <c r="G207" s="45" t="s">
        <v>676</v>
      </c>
      <c r="H207" s="45"/>
      <c r="I207" s="26" t="s">
        <v>276</v>
      </c>
      <c r="J207" s="26" t="s">
        <v>7</v>
      </c>
    </row>
    <row r="208" spans="1:10" ht="33" x14ac:dyDescent="0.25">
      <c r="A208" s="1" t="s">
        <v>48</v>
      </c>
      <c r="B208" s="25" t="s">
        <v>677</v>
      </c>
      <c r="C208" s="25" t="s">
        <v>678</v>
      </c>
      <c r="D208" s="27" t="s">
        <v>88</v>
      </c>
      <c r="E208" s="27" t="s">
        <v>679</v>
      </c>
      <c r="F208" s="31">
        <v>41000</v>
      </c>
      <c r="G208" s="45" t="s">
        <v>680</v>
      </c>
      <c r="H208" s="45"/>
      <c r="I208" s="26" t="s">
        <v>100</v>
      </c>
      <c r="J208" s="26" t="s">
        <v>7</v>
      </c>
    </row>
    <row r="209" spans="1:10" ht="33" x14ac:dyDescent="0.25">
      <c r="A209" s="1" t="s">
        <v>48</v>
      </c>
      <c r="B209" s="25" t="s">
        <v>677</v>
      </c>
      <c r="C209" s="25" t="s">
        <v>681</v>
      </c>
      <c r="D209" s="27" t="s">
        <v>51</v>
      </c>
      <c r="E209" s="27" t="s">
        <v>682</v>
      </c>
      <c r="F209" s="31">
        <v>29014</v>
      </c>
      <c r="G209" s="45" t="s">
        <v>683</v>
      </c>
      <c r="H209" s="45"/>
      <c r="I209" s="26" t="s">
        <v>484</v>
      </c>
      <c r="J209" s="26" t="s">
        <v>7</v>
      </c>
    </row>
    <row r="210" spans="1:10" ht="33" x14ac:dyDescent="0.25">
      <c r="A210" s="1" t="s">
        <v>48</v>
      </c>
      <c r="B210" s="25" t="s">
        <v>677</v>
      </c>
      <c r="C210" s="25" t="s">
        <v>684</v>
      </c>
      <c r="D210" s="27" t="s">
        <v>51</v>
      </c>
      <c r="E210" s="27" t="s">
        <v>685</v>
      </c>
      <c r="F210" s="31">
        <v>16800</v>
      </c>
      <c r="G210" s="45" t="s">
        <v>686</v>
      </c>
      <c r="H210" s="45"/>
      <c r="I210" s="26" t="s">
        <v>600</v>
      </c>
      <c r="J210" s="26" t="s">
        <v>7</v>
      </c>
    </row>
    <row r="211" spans="1:10" ht="33" x14ac:dyDescent="0.25">
      <c r="A211" s="1" t="s">
        <v>48</v>
      </c>
      <c r="B211" s="25" t="s">
        <v>677</v>
      </c>
      <c r="C211" s="25" t="s">
        <v>687</v>
      </c>
      <c r="D211" s="27" t="s">
        <v>88</v>
      </c>
      <c r="E211" s="27" t="s">
        <v>688</v>
      </c>
      <c r="F211" s="31">
        <v>134645</v>
      </c>
      <c r="G211" s="45" t="s">
        <v>689</v>
      </c>
      <c r="H211" s="45"/>
      <c r="I211" s="26" t="s">
        <v>193</v>
      </c>
      <c r="J211" s="26" t="s">
        <v>7</v>
      </c>
    </row>
    <row r="212" spans="1:10" x14ac:dyDescent="0.25">
      <c r="A212" s="1" t="s">
        <v>217</v>
      </c>
      <c r="B212" s="25" t="s">
        <v>677</v>
      </c>
      <c r="C212" s="25" t="s">
        <v>69</v>
      </c>
      <c r="D212" s="27" t="s">
        <v>7</v>
      </c>
      <c r="E212" s="27" t="s">
        <v>690</v>
      </c>
      <c r="F212" s="31">
        <v>378864</v>
      </c>
      <c r="G212" s="45" t="s">
        <v>691</v>
      </c>
      <c r="H212" s="45"/>
      <c r="I212" s="26" t="s">
        <v>200</v>
      </c>
      <c r="J212" s="26" t="s">
        <v>7</v>
      </c>
    </row>
    <row r="213" spans="1:10" x14ac:dyDescent="0.25">
      <c r="A213" s="1" t="s">
        <v>217</v>
      </c>
      <c r="B213" s="25" t="s">
        <v>677</v>
      </c>
      <c r="C213" s="25" t="s">
        <v>218</v>
      </c>
      <c r="D213" s="27" t="s">
        <v>7</v>
      </c>
      <c r="E213" s="27" t="s">
        <v>692</v>
      </c>
      <c r="F213" s="31">
        <v>7000</v>
      </c>
      <c r="G213" s="45" t="s">
        <v>693</v>
      </c>
      <c r="H213" s="45"/>
      <c r="I213" s="26" t="s">
        <v>694</v>
      </c>
      <c r="J213" s="26" t="s">
        <v>7</v>
      </c>
    </row>
    <row r="214" spans="1:10" ht="33" x14ac:dyDescent="0.25">
      <c r="A214" s="1" t="s">
        <v>48</v>
      </c>
      <c r="B214" s="25" t="s">
        <v>695</v>
      </c>
      <c r="C214" s="25" t="s">
        <v>696</v>
      </c>
      <c r="D214" s="27" t="s">
        <v>51</v>
      </c>
      <c r="E214" s="27" t="s">
        <v>697</v>
      </c>
      <c r="F214" s="31">
        <v>50000</v>
      </c>
      <c r="G214" s="45" t="s">
        <v>698</v>
      </c>
      <c r="H214" s="45"/>
      <c r="I214" s="26" t="s">
        <v>699</v>
      </c>
      <c r="J214" s="26" t="s">
        <v>7</v>
      </c>
    </row>
    <row r="215" spans="1:10" ht="33" x14ac:dyDescent="0.25">
      <c r="A215" s="1" t="s">
        <v>22</v>
      </c>
      <c r="B215" s="25" t="s">
        <v>700</v>
      </c>
      <c r="C215" s="25" t="s">
        <v>218</v>
      </c>
      <c r="D215" s="27" t="s">
        <v>7</v>
      </c>
      <c r="E215" s="27" t="s">
        <v>701</v>
      </c>
      <c r="F215" s="31">
        <v>1100000</v>
      </c>
      <c r="G215" s="45" t="s">
        <v>702</v>
      </c>
      <c r="H215" s="45"/>
      <c r="I215" s="26" t="s">
        <v>360</v>
      </c>
      <c r="J215" s="26" t="s">
        <v>7</v>
      </c>
    </row>
    <row r="216" spans="1:10" x14ac:dyDescent="0.25">
      <c r="A216" s="1" t="s">
        <v>217</v>
      </c>
      <c r="B216" s="25" t="s">
        <v>700</v>
      </c>
      <c r="C216" s="25" t="s">
        <v>69</v>
      </c>
      <c r="D216" s="27" t="s">
        <v>7</v>
      </c>
      <c r="E216" s="27" t="s">
        <v>703</v>
      </c>
      <c r="F216" s="31">
        <v>10000</v>
      </c>
      <c r="G216" s="45" t="s">
        <v>704</v>
      </c>
      <c r="H216" s="45"/>
      <c r="I216" s="26" t="s">
        <v>705</v>
      </c>
      <c r="J216" s="26" t="s">
        <v>7</v>
      </c>
    </row>
    <row r="217" spans="1:10" x14ac:dyDescent="0.25">
      <c r="A217" s="1" t="s">
        <v>217</v>
      </c>
      <c r="B217" s="25" t="s">
        <v>706</v>
      </c>
      <c r="C217" s="25" t="s">
        <v>69</v>
      </c>
      <c r="D217" s="27" t="s">
        <v>7</v>
      </c>
      <c r="E217" s="27" t="s">
        <v>707</v>
      </c>
      <c r="F217" s="31">
        <v>50000</v>
      </c>
      <c r="G217" s="45" t="s">
        <v>708</v>
      </c>
      <c r="H217" s="45"/>
      <c r="I217" s="26" t="s">
        <v>709</v>
      </c>
      <c r="J217" s="26" t="s">
        <v>7</v>
      </c>
    </row>
    <row r="218" spans="1:10" x14ac:dyDescent="0.25">
      <c r="A218" s="1" t="s">
        <v>217</v>
      </c>
      <c r="B218" s="25" t="s">
        <v>706</v>
      </c>
      <c r="C218" s="25" t="s">
        <v>218</v>
      </c>
      <c r="D218" s="27" t="s">
        <v>7</v>
      </c>
      <c r="E218" s="27" t="s">
        <v>710</v>
      </c>
      <c r="F218" s="31">
        <v>8226</v>
      </c>
      <c r="G218" s="45" t="s">
        <v>711</v>
      </c>
      <c r="H218" s="45"/>
      <c r="I218" s="26" t="s">
        <v>600</v>
      </c>
      <c r="J218" s="26" t="s">
        <v>7</v>
      </c>
    </row>
    <row r="219" spans="1:10" ht="33" x14ac:dyDescent="0.25">
      <c r="A219" s="1" t="s">
        <v>48</v>
      </c>
      <c r="B219" s="25" t="s">
        <v>712</v>
      </c>
      <c r="C219" s="25" t="s">
        <v>713</v>
      </c>
      <c r="D219" s="27" t="s">
        <v>51</v>
      </c>
      <c r="E219" s="27" t="s">
        <v>714</v>
      </c>
      <c r="F219" s="31">
        <v>48000</v>
      </c>
      <c r="G219" s="45" t="s">
        <v>715</v>
      </c>
      <c r="H219" s="45"/>
      <c r="I219" s="26" t="s">
        <v>669</v>
      </c>
      <c r="J219" s="26" t="s">
        <v>7</v>
      </c>
    </row>
    <row r="220" spans="1:10" ht="33" x14ac:dyDescent="0.25">
      <c r="A220" s="1" t="s">
        <v>48</v>
      </c>
      <c r="B220" s="25" t="s">
        <v>712</v>
      </c>
      <c r="C220" s="25" t="s">
        <v>716</v>
      </c>
      <c r="D220" s="27" t="s">
        <v>51</v>
      </c>
      <c r="E220" s="27" t="s">
        <v>717</v>
      </c>
      <c r="F220" s="31">
        <v>67000</v>
      </c>
      <c r="G220" s="45" t="s">
        <v>718</v>
      </c>
      <c r="H220" s="45"/>
      <c r="I220" s="26" t="s">
        <v>719</v>
      </c>
      <c r="J220" s="26" t="s">
        <v>7</v>
      </c>
    </row>
    <row r="221" spans="1:10" ht="33" x14ac:dyDescent="0.25">
      <c r="A221" s="1" t="s">
        <v>48</v>
      </c>
      <c r="B221" s="25" t="s">
        <v>712</v>
      </c>
      <c r="C221" s="25" t="s">
        <v>720</v>
      </c>
      <c r="D221" s="27" t="s">
        <v>79</v>
      </c>
      <c r="E221" s="27" t="s">
        <v>721</v>
      </c>
      <c r="F221" s="31">
        <v>35990</v>
      </c>
      <c r="G221" s="45" t="s">
        <v>722</v>
      </c>
      <c r="H221" s="45"/>
      <c r="I221" s="26" t="s">
        <v>266</v>
      </c>
      <c r="J221" s="26" t="s">
        <v>7</v>
      </c>
    </row>
    <row r="222" spans="1:10" ht="33" x14ac:dyDescent="0.25">
      <c r="A222" s="1" t="s">
        <v>48</v>
      </c>
      <c r="B222" s="25" t="s">
        <v>712</v>
      </c>
      <c r="C222" s="25" t="s">
        <v>723</v>
      </c>
      <c r="D222" s="27" t="s">
        <v>51</v>
      </c>
      <c r="E222" s="27" t="s">
        <v>724</v>
      </c>
      <c r="F222" s="31">
        <v>40413</v>
      </c>
      <c r="G222" s="45" t="s">
        <v>725</v>
      </c>
      <c r="H222" s="45"/>
      <c r="I222" s="26" t="s">
        <v>149</v>
      </c>
      <c r="J222" s="26" t="s">
        <v>7</v>
      </c>
    </row>
    <row r="223" spans="1:10" ht="33" x14ac:dyDescent="0.25">
      <c r="A223" s="1" t="s">
        <v>48</v>
      </c>
      <c r="B223" s="25" t="s">
        <v>726</v>
      </c>
      <c r="C223" s="25" t="s">
        <v>727</v>
      </c>
      <c r="D223" s="27" t="s">
        <v>51</v>
      </c>
      <c r="E223" s="27" t="s">
        <v>728</v>
      </c>
      <c r="F223" s="31">
        <v>59900</v>
      </c>
      <c r="G223" s="45" t="s">
        <v>729</v>
      </c>
      <c r="H223" s="45"/>
      <c r="I223" s="26" t="s">
        <v>266</v>
      </c>
      <c r="J223" s="26" t="s">
        <v>7</v>
      </c>
    </row>
    <row r="224" spans="1:10" ht="33" x14ac:dyDescent="0.25">
      <c r="A224" s="1" t="s">
        <v>48</v>
      </c>
      <c r="B224" s="25" t="s">
        <v>726</v>
      </c>
      <c r="C224" s="25" t="s">
        <v>730</v>
      </c>
      <c r="D224" s="27" t="s">
        <v>51</v>
      </c>
      <c r="E224" s="27" t="s">
        <v>731</v>
      </c>
      <c r="F224" s="31">
        <v>55000</v>
      </c>
      <c r="G224" s="45" t="s">
        <v>732</v>
      </c>
      <c r="H224" s="45"/>
      <c r="I224" s="26" t="s">
        <v>266</v>
      </c>
      <c r="J224" s="26" t="s">
        <v>7</v>
      </c>
    </row>
    <row r="225" spans="1:10" ht="33" x14ac:dyDescent="0.25">
      <c r="A225" s="1" t="s">
        <v>48</v>
      </c>
      <c r="B225" s="25" t="s">
        <v>726</v>
      </c>
      <c r="C225" s="25" t="s">
        <v>733</v>
      </c>
      <c r="D225" s="27" t="s">
        <v>51</v>
      </c>
      <c r="E225" s="27" t="s">
        <v>734</v>
      </c>
      <c r="F225" s="31">
        <v>140700</v>
      </c>
      <c r="G225" s="45" t="s">
        <v>735</v>
      </c>
      <c r="H225" s="45"/>
      <c r="I225" s="26" t="s">
        <v>122</v>
      </c>
      <c r="J225" s="26" t="s">
        <v>7</v>
      </c>
    </row>
    <row r="226" spans="1:10" ht="33" x14ac:dyDescent="0.25">
      <c r="A226" s="1" t="s">
        <v>48</v>
      </c>
      <c r="B226" s="25" t="s">
        <v>726</v>
      </c>
      <c r="C226" s="25" t="s">
        <v>736</v>
      </c>
      <c r="D226" s="27" t="s">
        <v>51</v>
      </c>
      <c r="E226" s="27" t="s">
        <v>737</v>
      </c>
      <c r="F226" s="31">
        <v>100000</v>
      </c>
      <c r="G226" s="45" t="s">
        <v>738</v>
      </c>
      <c r="H226" s="45"/>
      <c r="I226" s="26" t="s">
        <v>739</v>
      </c>
      <c r="J226" s="26" t="s">
        <v>7</v>
      </c>
    </row>
    <row r="227" spans="1:10" ht="33" x14ac:dyDescent="0.25">
      <c r="A227" s="1" t="s">
        <v>22</v>
      </c>
      <c r="B227" s="25" t="s">
        <v>726</v>
      </c>
      <c r="C227" s="25" t="s">
        <v>69</v>
      </c>
      <c r="D227" s="27" t="s">
        <v>7</v>
      </c>
      <c r="E227" s="27" t="s">
        <v>740</v>
      </c>
      <c r="F227" s="31">
        <v>1245000</v>
      </c>
      <c r="G227" s="45" t="s">
        <v>741</v>
      </c>
      <c r="H227" s="45"/>
      <c r="I227" s="26" t="s">
        <v>742</v>
      </c>
      <c r="J227" s="26" t="s">
        <v>7</v>
      </c>
    </row>
    <row r="228" spans="1:10" ht="33" x14ac:dyDescent="0.25">
      <c r="A228" s="1" t="s">
        <v>48</v>
      </c>
      <c r="B228" s="25" t="s">
        <v>743</v>
      </c>
      <c r="C228" s="25" t="s">
        <v>744</v>
      </c>
      <c r="D228" s="27" t="s">
        <v>88</v>
      </c>
      <c r="E228" s="27" t="s">
        <v>745</v>
      </c>
      <c r="F228" s="31">
        <v>82000</v>
      </c>
      <c r="G228" s="45" t="s">
        <v>746</v>
      </c>
      <c r="H228" s="45"/>
      <c r="I228" s="26" t="s">
        <v>62</v>
      </c>
      <c r="J228" s="26" t="s">
        <v>7</v>
      </c>
    </row>
    <row r="229" spans="1:10" x14ac:dyDescent="0.25">
      <c r="A229" s="1" t="s">
        <v>217</v>
      </c>
      <c r="B229" s="25" t="s">
        <v>743</v>
      </c>
      <c r="C229" s="25" t="s">
        <v>218</v>
      </c>
      <c r="D229" s="27" t="s">
        <v>7</v>
      </c>
      <c r="E229" s="27" t="s">
        <v>747</v>
      </c>
      <c r="F229" s="31">
        <v>37886</v>
      </c>
      <c r="G229" s="45" t="s">
        <v>748</v>
      </c>
      <c r="H229" s="45"/>
      <c r="I229" s="26" t="s">
        <v>749</v>
      </c>
      <c r="J229" s="26" t="s">
        <v>7</v>
      </c>
    </row>
    <row r="230" spans="1:10" ht="33" x14ac:dyDescent="0.25">
      <c r="A230" s="1" t="s">
        <v>48</v>
      </c>
      <c r="B230" s="25" t="s">
        <v>750</v>
      </c>
      <c r="C230" s="25" t="s">
        <v>751</v>
      </c>
      <c r="D230" s="27" t="s">
        <v>51</v>
      </c>
      <c r="E230" s="27" t="s">
        <v>752</v>
      </c>
      <c r="F230" s="31">
        <v>100000</v>
      </c>
      <c r="G230" s="45" t="s">
        <v>753</v>
      </c>
      <c r="H230" s="45"/>
      <c r="I230" s="26" t="s">
        <v>754</v>
      </c>
      <c r="J230" s="26" t="s">
        <v>7</v>
      </c>
    </row>
    <row r="231" spans="1:10" ht="33" x14ac:dyDescent="0.25">
      <c r="A231" s="1" t="s">
        <v>48</v>
      </c>
      <c r="B231" s="25" t="s">
        <v>750</v>
      </c>
      <c r="C231" s="25" t="s">
        <v>755</v>
      </c>
      <c r="D231" s="27" t="s">
        <v>51</v>
      </c>
      <c r="E231" s="27" t="s">
        <v>756</v>
      </c>
      <c r="F231" s="31">
        <v>32000</v>
      </c>
      <c r="G231" s="45" t="s">
        <v>757</v>
      </c>
      <c r="H231" s="45"/>
      <c r="I231" s="26" t="s">
        <v>705</v>
      </c>
      <c r="J231" s="26" t="s">
        <v>7</v>
      </c>
    </row>
    <row r="232" spans="1:10" ht="33" x14ac:dyDescent="0.25">
      <c r="A232" s="1" t="s">
        <v>48</v>
      </c>
      <c r="B232" s="25" t="s">
        <v>750</v>
      </c>
      <c r="C232" s="25" t="s">
        <v>758</v>
      </c>
      <c r="D232" s="27" t="s">
        <v>51</v>
      </c>
      <c r="E232" s="27" t="s">
        <v>759</v>
      </c>
      <c r="F232" s="31">
        <v>35000</v>
      </c>
      <c r="G232" s="45" t="s">
        <v>760</v>
      </c>
      <c r="H232" s="45"/>
      <c r="I232" s="26" t="s">
        <v>761</v>
      </c>
      <c r="J232" s="26" t="s">
        <v>7</v>
      </c>
    </row>
    <row r="233" spans="1:10" x14ac:dyDescent="0.25">
      <c r="A233" s="1" t="s">
        <v>217</v>
      </c>
      <c r="B233" s="25" t="s">
        <v>762</v>
      </c>
      <c r="C233" s="25" t="s">
        <v>69</v>
      </c>
      <c r="D233" s="27" t="s">
        <v>7</v>
      </c>
      <c r="E233" s="27" t="s">
        <v>763</v>
      </c>
      <c r="F233" s="31">
        <v>400000</v>
      </c>
      <c r="G233" s="45" t="s">
        <v>102</v>
      </c>
      <c r="H233" s="45"/>
      <c r="I233" s="26" t="s">
        <v>103</v>
      </c>
      <c r="J233" s="26" t="s">
        <v>7</v>
      </c>
    </row>
    <row r="234" spans="1:10" x14ac:dyDescent="0.25">
      <c r="A234" s="1" t="s">
        <v>217</v>
      </c>
      <c r="B234" s="25" t="s">
        <v>762</v>
      </c>
      <c r="C234" s="25" t="s">
        <v>69</v>
      </c>
      <c r="D234" s="27" t="s">
        <v>7</v>
      </c>
      <c r="E234" s="27" t="s">
        <v>764</v>
      </c>
      <c r="F234" s="31">
        <v>205000</v>
      </c>
      <c r="G234" s="45" t="s">
        <v>323</v>
      </c>
      <c r="H234" s="45"/>
      <c r="I234" s="26" t="s">
        <v>54</v>
      </c>
      <c r="J234" s="26" t="s">
        <v>7</v>
      </c>
    </row>
    <row r="235" spans="1:10" ht="33" x14ac:dyDescent="0.25">
      <c r="A235" s="1" t="s">
        <v>48</v>
      </c>
      <c r="B235" s="25" t="s">
        <v>765</v>
      </c>
      <c r="C235" s="25" t="s">
        <v>766</v>
      </c>
      <c r="D235" s="27" t="s">
        <v>51</v>
      </c>
      <c r="E235" s="27" t="s">
        <v>767</v>
      </c>
      <c r="F235" s="31">
        <v>149990</v>
      </c>
      <c r="G235" s="45" t="s">
        <v>768</v>
      </c>
      <c r="H235" s="45"/>
      <c r="I235" s="26" t="s">
        <v>62</v>
      </c>
      <c r="J235" s="26" t="s">
        <v>7</v>
      </c>
    </row>
    <row r="236" spans="1:10" x14ac:dyDescent="0.25">
      <c r="A236" s="1" t="s">
        <v>22</v>
      </c>
      <c r="B236" s="25" t="s">
        <v>765</v>
      </c>
      <c r="C236" s="25" t="s">
        <v>218</v>
      </c>
      <c r="D236" s="27" t="s">
        <v>7</v>
      </c>
      <c r="E236" s="27" t="s">
        <v>769</v>
      </c>
      <c r="F236" s="31">
        <v>859451</v>
      </c>
      <c r="G236" s="45" t="s">
        <v>770</v>
      </c>
      <c r="H236" s="45"/>
      <c r="I236" s="26" t="s">
        <v>271</v>
      </c>
      <c r="J236" s="26" t="s">
        <v>7</v>
      </c>
    </row>
    <row r="237" spans="1:10" ht="33" x14ac:dyDescent="0.25">
      <c r="A237" s="1" t="s">
        <v>48</v>
      </c>
      <c r="B237" s="25" t="s">
        <v>771</v>
      </c>
      <c r="C237" s="25" t="s">
        <v>772</v>
      </c>
      <c r="D237" s="27" t="s">
        <v>51</v>
      </c>
      <c r="E237" s="27" t="s">
        <v>773</v>
      </c>
      <c r="F237" s="31">
        <v>135500</v>
      </c>
      <c r="G237" s="45" t="s">
        <v>774</v>
      </c>
      <c r="H237" s="45"/>
      <c r="I237" s="26" t="s">
        <v>775</v>
      </c>
      <c r="J237" s="26" t="s">
        <v>7</v>
      </c>
    </row>
    <row r="238" spans="1:10" ht="33" x14ac:dyDescent="0.25">
      <c r="A238" s="1" t="s">
        <v>48</v>
      </c>
      <c r="B238" s="25" t="s">
        <v>771</v>
      </c>
      <c r="C238" s="25" t="s">
        <v>776</v>
      </c>
      <c r="D238" s="27" t="s">
        <v>51</v>
      </c>
      <c r="E238" s="27" t="s">
        <v>777</v>
      </c>
      <c r="F238" s="31">
        <v>140000</v>
      </c>
      <c r="G238" s="45" t="s">
        <v>778</v>
      </c>
      <c r="H238" s="45"/>
      <c r="I238" s="26" t="s">
        <v>462</v>
      </c>
      <c r="J238" s="26" t="s">
        <v>7</v>
      </c>
    </row>
    <row r="239" spans="1:10" x14ac:dyDescent="0.25">
      <c r="A239" s="1" t="s">
        <v>22</v>
      </c>
      <c r="B239" s="25" t="s">
        <v>771</v>
      </c>
      <c r="C239" s="25" t="s">
        <v>218</v>
      </c>
      <c r="D239" s="27" t="s">
        <v>7</v>
      </c>
      <c r="E239" s="27" t="s">
        <v>779</v>
      </c>
      <c r="F239" s="31">
        <v>1200000</v>
      </c>
      <c r="G239" s="45" t="s">
        <v>780</v>
      </c>
      <c r="H239" s="45"/>
      <c r="I239" s="26" t="s">
        <v>614</v>
      </c>
      <c r="J239" s="26" t="s">
        <v>7</v>
      </c>
    </row>
    <row r="240" spans="1:10" x14ac:dyDescent="0.25">
      <c r="A240" s="1" t="s">
        <v>217</v>
      </c>
      <c r="B240" s="25" t="s">
        <v>771</v>
      </c>
      <c r="C240" s="25" t="s">
        <v>218</v>
      </c>
      <c r="D240" s="27" t="s">
        <v>7</v>
      </c>
      <c r="E240" s="27" t="s">
        <v>781</v>
      </c>
      <c r="F240" s="31">
        <v>105000</v>
      </c>
      <c r="G240" s="45" t="s">
        <v>782</v>
      </c>
      <c r="H240" s="45"/>
      <c r="I240" s="26" t="s">
        <v>614</v>
      </c>
      <c r="J240" s="26" t="s">
        <v>7</v>
      </c>
    </row>
    <row r="241" spans="1:10" x14ac:dyDescent="0.25">
      <c r="A241" s="1" t="s">
        <v>217</v>
      </c>
      <c r="B241" s="25" t="s">
        <v>771</v>
      </c>
      <c r="C241" s="25" t="s">
        <v>218</v>
      </c>
      <c r="D241" s="27" t="s">
        <v>7</v>
      </c>
      <c r="E241" s="27" t="s">
        <v>783</v>
      </c>
      <c r="F241" s="31">
        <v>46800</v>
      </c>
      <c r="G241" s="45" t="s">
        <v>784</v>
      </c>
      <c r="H241" s="45"/>
      <c r="I241" s="26" t="s">
        <v>276</v>
      </c>
      <c r="J241" s="26" t="s">
        <v>7</v>
      </c>
    </row>
    <row r="242" spans="1:10" ht="33" x14ac:dyDescent="0.25">
      <c r="A242" s="1" t="s">
        <v>48</v>
      </c>
      <c r="B242" s="25" t="s">
        <v>785</v>
      </c>
      <c r="C242" s="25" t="s">
        <v>786</v>
      </c>
      <c r="D242" s="27" t="s">
        <v>51</v>
      </c>
      <c r="E242" s="27" t="s">
        <v>787</v>
      </c>
      <c r="F242" s="31">
        <v>24835</v>
      </c>
      <c r="G242" s="45" t="s">
        <v>788</v>
      </c>
      <c r="H242" s="45"/>
      <c r="I242" s="26" t="s">
        <v>474</v>
      </c>
      <c r="J242" s="26" t="s">
        <v>7</v>
      </c>
    </row>
    <row r="243" spans="1:10" ht="33" x14ac:dyDescent="0.25">
      <c r="A243" s="1" t="s">
        <v>48</v>
      </c>
      <c r="B243" s="25" t="s">
        <v>785</v>
      </c>
      <c r="C243" s="25" t="s">
        <v>789</v>
      </c>
      <c r="D243" s="27" t="s">
        <v>79</v>
      </c>
      <c r="E243" s="27" t="s">
        <v>790</v>
      </c>
      <c r="F243" s="31">
        <v>332114</v>
      </c>
      <c r="G243" s="45" t="s">
        <v>791</v>
      </c>
      <c r="H243" s="45"/>
      <c r="I243" s="26" t="s">
        <v>103</v>
      </c>
      <c r="J243" s="26" t="s">
        <v>7</v>
      </c>
    </row>
    <row r="244" spans="1:10" x14ac:dyDescent="0.25">
      <c r="A244" s="1" t="s">
        <v>217</v>
      </c>
      <c r="B244" s="25" t="s">
        <v>785</v>
      </c>
      <c r="C244" s="25" t="s">
        <v>218</v>
      </c>
      <c r="D244" s="27" t="s">
        <v>7</v>
      </c>
      <c r="E244" s="27" t="s">
        <v>792</v>
      </c>
      <c r="F244" s="31">
        <v>205753</v>
      </c>
      <c r="G244" s="45" t="s">
        <v>793</v>
      </c>
      <c r="H244" s="45"/>
      <c r="I244" s="26" t="s">
        <v>126</v>
      </c>
      <c r="J244" s="26" t="s">
        <v>7</v>
      </c>
    </row>
    <row r="245" spans="1:10" x14ac:dyDescent="0.25">
      <c r="A245" s="1" t="s">
        <v>217</v>
      </c>
      <c r="B245" s="25" t="s">
        <v>785</v>
      </c>
      <c r="C245" s="25" t="s">
        <v>218</v>
      </c>
      <c r="D245" s="27" t="s">
        <v>7</v>
      </c>
      <c r="E245" s="27" t="s">
        <v>794</v>
      </c>
      <c r="F245" s="31">
        <v>87999</v>
      </c>
      <c r="G245" s="45" t="s">
        <v>795</v>
      </c>
      <c r="H245" s="45"/>
      <c r="I245" s="26" t="s">
        <v>749</v>
      </c>
      <c r="J245" s="26" t="s">
        <v>7</v>
      </c>
    </row>
    <row r="246" spans="1:10" x14ac:dyDescent="0.25">
      <c r="A246" s="1" t="s">
        <v>217</v>
      </c>
      <c r="B246" s="25" t="s">
        <v>785</v>
      </c>
      <c r="C246" s="25" t="s">
        <v>218</v>
      </c>
      <c r="D246" s="27" t="s">
        <v>7</v>
      </c>
      <c r="E246" s="27" t="s">
        <v>796</v>
      </c>
      <c r="F246" s="31">
        <v>39949</v>
      </c>
      <c r="G246" s="45" t="s">
        <v>797</v>
      </c>
      <c r="H246" s="45"/>
      <c r="I246" s="26" t="s">
        <v>798</v>
      </c>
      <c r="J246" s="26" t="s">
        <v>7</v>
      </c>
    </row>
    <row r="247" spans="1:10" x14ac:dyDescent="0.25">
      <c r="A247" s="1" t="s">
        <v>217</v>
      </c>
      <c r="B247" s="25" t="s">
        <v>785</v>
      </c>
      <c r="C247" s="25" t="s">
        <v>218</v>
      </c>
      <c r="D247" s="27" t="s">
        <v>7</v>
      </c>
      <c r="E247" s="27" t="s">
        <v>799</v>
      </c>
      <c r="F247" s="31">
        <v>30400</v>
      </c>
      <c r="G247" s="45" t="s">
        <v>800</v>
      </c>
      <c r="H247" s="45"/>
      <c r="I247" s="26" t="s">
        <v>54</v>
      </c>
      <c r="J247" s="26" t="s">
        <v>7</v>
      </c>
    </row>
    <row r="248" spans="1:10" x14ac:dyDescent="0.25">
      <c r="A248" s="1" t="s">
        <v>217</v>
      </c>
      <c r="B248" s="25" t="s">
        <v>785</v>
      </c>
      <c r="C248" s="25" t="s">
        <v>218</v>
      </c>
      <c r="D248" s="27" t="s">
        <v>7</v>
      </c>
      <c r="E248" s="27" t="s">
        <v>801</v>
      </c>
      <c r="F248" s="31">
        <v>33401</v>
      </c>
      <c r="G248" s="45" t="s">
        <v>802</v>
      </c>
      <c r="H248" s="45"/>
      <c r="I248" s="26" t="s">
        <v>607</v>
      </c>
      <c r="J248" s="26" t="s">
        <v>7</v>
      </c>
    </row>
    <row r="249" spans="1:10" x14ac:dyDescent="0.25">
      <c r="A249" s="1" t="s">
        <v>217</v>
      </c>
      <c r="B249" s="25" t="s">
        <v>785</v>
      </c>
      <c r="C249" s="25" t="s">
        <v>218</v>
      </c>
      <c r="D249" s="27" t="s">
        <v>7</v>
      </c>
      <c r="E249" s="27" t="s">
        <v>803</v>
      </c>
      <c r="F249" s="31">
        <v>73000</v>
      </c>
      <c r="G249" s="45" t="s">
        <v>804</v>
      </c>
      <c r="H249" s="45"/>
      <c r="I249" s="26" t="s">
        <v>607</v>
      </c>
      <c r="J249" s="26" t="s">
        <v>7</v>
      </c>
    </row>
    <row r="250" spans="1:10" ht="33" x14ac:dyDescent="0.25">
      <c r="A250" s="1" t="s">
        <v>22</v>
      </c>
      <c r="B250" s="25" t="s">
        <v>805</v>
      </c>
      <c r="C250" s="25" t="s">
        <v>218</v>
      </c>
      <c r="D250" s="27" t="s">
        <v>7</v>
      </c>
      <c r="E250" s="27" t="s">
        <v>806</v>
      </c>
      <c r="F250" s="31">
        <v>350000</v>
      </c>
      <c r="G250" s="45" t="s">
        <v>807</v>
      </c>
      <c r="H250" s="45"/>
      <c r="I250" s="26" t="s">
        <v>193</v>
      </c>
      <c r="J250" s="26" t="s">
        <v>7</v>
      </c>
    </row>
    <row r="251" spans="1:10" ht="33" x14ac:dyDescent="0.25">
      <c r="A251" s="1" t="s">
        <v>22</v>
      </c>
      <c r="B251" s="25" t="s">
        <v>805</v>
      </c>
      <c r="C251" s="25" t="s">
        <v>218</v>
      </c>
      <c r="D251" s="27" t="s">
        <v>7</v>
      </c>
      <c r="E251" s="27" t="s">
        <v>808</v>
      </c>
      <c r="F251" s="31">
        <v>700000</v>
      </c>
      <c r="G251" s="45" t="s">
        <v>809</v>
      </c>
      <c r="H251" s="45"/>
      <c r="I251" s="26" t="s">
        <v>193</v>
      </c>
      <c r="J251" s="26" t="s">
        <v>7</v>
      </c>
    </row>
    <row r="252" spans="1:10" ht="33" x14ac:dyDescent="0.25">
      <c r="A252" s="1" t="s">
        <v>48</v>
      </c>
      <c r="B252" s="25" t="s">
        <v>810</v>
      </c>
      <c r="C252" s="25" t="s">
        <v>811</v>
      </c>
      <c r="D252" s="27" t="s">
        <v>88</v>
      </c>
      <c r="E252" s="27" t="s">
        <v>812</v>
      </c>
      <c r="F252" s="31">
        <v>147600</v>
      </c>
      <c r="G252" s="45" t="s">
        <v>813</v>
      </c>
      <c r="H252" s="45"/>
      <c r="I252" s="26" t="s">
        <v>67</v>
      </c>
      <c r="J252" s="26" t="s">
        <v>7</v>
      </c>
    </row>
    <row r="253" spans="1:10" ht="33" x14ac:dyDescent="0.25">
      <c r="A253" s="1" t="s">
        <v>48</v>
      </c>
      <c r="B253" s="25" t="s">
        <v>810</v>
      </c>
      <c r="C253" s="25" t="s">
        <v>814</v>
      </c>
      <c r="D253" s="27" t="s">
        <v>51</v>
      </c>
      <c r="E253" s="27" t="s">
        <v>815</v>
      </c>
      <c r="F253" s="31">
        <v>16000</v>
      </c>
      <c r="G253" s="45" t="s">
        <v>816</v>
      </c>
      <c r="H253" s="45"/>
      <c r="I253" s="26" t="s">
        <v>607</v>
      </c>
      <c r="J253" s="26" t="s">
        <v>7</v>
      </c>
    </row>
    <row r="254" spans="1:10" ht="33" x14ac:dyDescent="0.25">
      <c r="A254" s="1" t="s">
        <v>48</v>
      </c>
      <c r="B254" s="25" t="s">
        <v>810</v>
      </c>
      <c r="C254" s="25" t="s">
        <v>817</v>
      </c>
      <c r="D254" s="27" t="s">
        <v>88</v>
      </c>
      <c r="E254" s="27" t="s">
        <v>818</v>
      </c>
      <c r="F254" s="31">
        <v>28800</v>
      </c>
      <c r="G254" s="45" t="s">
        <v>819</v>
      </c>
      <c r="H254" s="45"/>
      <c r="I254" s="26" t="s">
        <v>54</v>
      </c>
      <c r="J254" s="26" t="s">
        <v>7</v>
      </c>
    </row>
    <row r="255" spans="1:10" ht="33" x14ac:dyDescent="0.25">
      <c r="A255" s="1" t="s">
        <v>48</v>
      </c>
      <c r="B255" s="25" t="s">
        <v>810</v>
      </c>
      <c r="C255" s="25" t="s">
        <v>820</v>
      </c>
      <c r="D255" s="27" t="s">
        <v>88</v>
      </c>
      <c r="E255" s="27" t="s">
        <v>821</v>
      </c>
      <c r="F255" s="31">
        <v>13944</v>
      </c>
      <c r="G255" s="45" t="s">
        <v>822</v>
      </c>
      <c r="H255" s="45"/>
      <c r="I255" s="26" t="s">
        <v>118</v>
      </c>
      <c r="J255" s="26" t="s">
        <v>7</v>
      </c>
    </row>
    <row r="256" spans="1:10" ht="33" x14ac:dyDescent="0.25">
      <c r="A256" s="1" t="s">
        <v>48</v>
      </c>
      <c r="B256" s="25" t="s">
        <v>810</v>
      </c>
      <c r="C256" s="25" t="s">
        <v>823</v>
      </c>
      <c r="D256" s="27" t="s">
        <v>51</v>
      </c>
      <c r="E256" s="27" t="s">
        <v>824</v>
      </c>
      <c r="F256" s="31">
        <v>44900</v>
      </c>
      <c r="G256" s="45" t="s">
        <v>825</v>
      </c>
      <c r="H256" s="45"/>
      <c r="I256" s="26" t="s">
        <v>360</v>
      </c>
      <c r="J256" s="26" t="s">
        <v>7</v>
      </c>
    </row>
    <row r="257" spans="1:10" ht="33" x14ac:dyDescent="0.25">
      <c r="A257" s="1" t="s">
        <v>48</v>
      </c>
      <c r="B257" s="25" t="s">
        <v>810</v>
      </c>
      <c r="C257" s="25" t="s">
        <v>826</v>
      </c>
      <c r="D257" s="27" t="s">
        <v>51</v>
      </c>
      <c r="E257" s="27" t="s">
        <v>827</v>
      </c>
      <c r="F257" s="31">
        <v>34500</v>
      </c>
      <c r="G257" s="45" t="s">
        <v>828</v>
      </c>
      <c r="H257" s="45"/>
      <c r="I257" s="26" t="s">
        <v>775</v>
      </c>
      <c r="J257" s="26" t="s">
        <v>7</v>
      </c>
    </row>
    <row r="258" spans="1:10" ht="33" x14ac:dyDescent="0.25">
      <c r="A258" s="1" t="s">
        <v>217</v>
      </c>
      <c r="B258" s="25" t="s">
        <v>810</v>
      </c>
      <c r="C258" s="25" t="s">
        <v>69</v>
      </c>
      <c r="D258" s="27" t="s">
        <v>7</v>
      </c>
      <c r="E258" s="27" t="s">
        <v>829</v>
      </c>
      <c r="F258" s="31">
        <v>17000</v>
      </c>
      <c r="G258" s="45" t="s">
        <v>830</v>
      </c>
      <c r="H258" s="45"/>
      <c r="I258" s="26" t="s">
        <v>118</v>
      </c>
      <c r="J258" s="26" t="s">
        <v>7</v>
      </c>
    </row>
    <row r="259" spans="1:10" x14ac:dyDescent="0.25">
      <c r="A259" s="1" t="s">
        <v>217</v>
      </c>
      <c r="B259" s="25" t="s">
        <v>810</v>
      </c>
      <c r="C259" s="25" t="s">
        <v>218</v>
      </c>
      <c r="D259" s="27" t="s">
        <v>7</v>
      </c>
      <c r="E259" s="27" t="s">
        <v>831</v>
      </c>
      <c r="F259" s="31">
        <v>3399</v>
      </c>
      <c r="G259" s="45" t="s">
        <v>832</v>
      </c>
      <c r="H259" s="45"/>
      <c r="I259" s="26" t="s">
        <v>462</v>
      </c>
      <c r="J259" s="26" t="s">
        <v>7</v>
      </c>
    </row>
    <row r="260" spans="1:10" x14ac:dyDescent="0.25">
      <c r="A260" s="1" t="s">
        <v>217</v>
      </c>
      <c r="B260" s="25" t="s">
        <v>810</v>
      </c>
      <c r="C260" s="25" t="s">
        <v>218</v>
      </c>
      <c r="D260" s="27" t="s">
        <v>7</v>
      </c>
      <c r="E260" s="27" t="s">
        <v>833</v>
      </c>
      <c r="F260" s="31">
        <v>46</v>
      </c>
      <c r="G260" s="45" t="s">
        <v>834</v>
      </c>
      <c r="H260" s="45"/>
      <c r="I260" s="26" t="s">
        <v>462</v>
      </c>
      <c r="J260" s="26" t="s">
        <v>7</v>
      </c>
    </row>
    <row r="261" spans="1:10" x14ac:dyDescent="0.25">
      <c r="A261" s="1" t="s">
        <v>217</v>
      </c>
      <c r="B261" s="25" t="s">
        <v>810</v>
      </c>
      <c r="C261" s="25" t="s">
        <v>218</v>
      </c>
      <c r="D261" s="27" t="s">
        <v>7</v>
      </c>
      <c r="E261" s="27" t="s">
        <v>835</v>
      </c>
      <c r="F261" s="31">
        <v>380</v>
      </c>
      <c r="G261" s="45" t="s">
        <v>836</v>
      </c>
      <c r="H261" s="45"/>
      <c r="I261" s="26" t="s">
        <v>462</v>
      </c>
      <c r="J261" s="26" t="s">
        <v>7</v>
      </c>
    </row>
    <row r="262" spans="1:10" x14ac:dyDescent="0.25">
      <c r="A262" s="1" t="s">
        <v>217</v>
      </c>
      <c r="B262" s="25" t="s">
        <v>810</v>
      </c>
      <c r="C262" s="25" t="s">
        <v>218</v>
      </c>
      <c r="D262" s="27" t="s">
        <v>7</v>
      </c>
      <c r="E262" s="27" t="s">
        <v>837</v>
      </c>
      <c r="F262" s="31">
        <v>1260</v>
      </c>
      <c r="G262" s="45" t="s">
        <v>838</v>
      </c>
      <c r="H262" s="45"/>
      <c r="I262" s="26" t="s">
        <v>462</v>
      </c>
      <c r="J262" s="26" t="s">
        <v>7</v>
      </c>
    </row>
    <row r="263" spans="1:10" x14ac:dyDescent="0.25">
      <c r="A263" s="1" t="s">
        <v>217</v>
      </c>
      <c r="B263" s="25" t="s">
        <v>810</v>
      </c>
      <c r="C263" s="25" t="s">
        <v>218</v>
      </c>
      <c r="D263" s="27" t="s">
        <v>7</v>
      </c>
      <c r="E263" s="27" t="s">
        <v>839</v>
      </c>
      <c r="F263" s="31">
        <v>36</v>
      </c>
      <c r="G263" s="45" t="s">
        <v>840</v>
      </c>
      <c r="H263" s="45"/>
      <c r="I263" s="26" t="s">
        <v>462</v>
      </c>
      <c r="J263" s="26" t="s">
        <v>7</v>
      </c>
    </row>
    <row r="264" spans="1:10" x14ac:dyDescent="0.25">
      <c r="A264" s="1" t="s">
        <v>217</v>
      </c>
      <c r="B264" s="25" t="s">
        <v>810</v>
      </c>
      <c r="C264" s="25" t="s">
        <v>218</v>
      </c>
      <c r="D264" s="27" t="s">
        <v>7</v>
      </c>
      <c r="E264" s="27" t="s">
        <v>841</v>
      </c>
      <c r="F264" s="31">
        <v>2850</v>
      </c>
      <c r="G264" s="45" t="s">
        <v>842</v>
      </c>
      <c r="H264" s="45"/>
      <c r="I264" s="26" t="s">
        <v>462</v>
      </c>
      <c r="J264" s="26" t="s">
        <v>7</v>
      </c>
    </row>
    <row r="265" spans="1:10" x14ac:dyDescent="0.25">
      <c r="A265" s="1" t="s">
        <v>217</v>
      </c>
      <c r="B265" s="25" t="s">
        <v>810</v>
      </c>
      <c r="C265" s="25" t="s">
        <v>218</v>
      </c>
      <c r="D265" s="27" t="s">
        <v>7</v>
      </c>
      <c r="E265" s="27" t="s">
        <v>843</v>
      </c>
      <c r="F265" s="31">
        <v>692</v>
      </c>
      <c r="G265" s="45" t="s">
        <v>844</v>
      </c>
      <c r="H265" s="45"/>
      <c r="I265" s="26" t="s">
        <v>462</v>
      </c>
      <c r="J265" s="26" t="s">
        <v>7</v>
      </c>
    </row>
    <row r="266" spans="1:10" x14ac:dyDescent="0.25">
      <c r="A266" s="1" t="s">
        <v>217</v>
      </c>
      <c r="B266" s="25" t="s">
        <v>845</v>
      </c>
      <c r="C266" s="25" t="s">
        <v>218</v>
      </c>
      <c r="D266" s="27" t="s">
        <v>7</v>
      </c>
      <c r="E266" s="27" t="s">
        <v>846</v>
      </c>
      <c r="F266" s="31">
        <v>100000</v>
      </c>
      <c r="G266" s="45" t="s">
        <v>847</v>
      </c>
      <c r="H266" s="45"/>
      <c r="I266" s="26" t="s">
        <v>848</v>
      </c>
      <c r="J266" s="26" t="s">
        <v>7</v>
      </c>
    </row>
    <row r="267" spans="1:10" x14ac:dyDescent="0.25">
      <c r="A267" s="1" t="s">
        <v>217</v>
      </c>
      <c r="B267" s="25" t="s">
        <v>845</v>
      </c>
      <c r="C267" s="25" t="s">
        <v>218</v>
      </c>
      <c r="D267" s="27" t="s">
        <v>7</v>
      </c>
      <c r="E267" s="27" t="s">
        <v>849</v>
      </c>
      <c r="F267" s="31">
        <v>49000</v>
      </c>
      <c r="G267" s="45" t="s">
        <v>850</v>
      </c>
      <c r="H267" s="45"/>
      <c r="I267" s="26" t="s">
        <v>851</v>
      </c>
      <c r="J267" s="26" t="s">
        <v>7</v>
      </c>
    </row>
    <row r="268" spans="1:10" ht="33" x14ac:dyDescent="0.25">
      <c r="A268" s="1" t="s">
        <v>48</v>
      </c>
      <c r="B268" s="25" t="s">
        <v>852</v>
      </c>
      <c r="C268" s="25" t="s">
        <v>853</v>
      </c>
      <c r="D268" s="27" t="s">
        <v>51</v>
      </c>
      <c r="E268" s="27" t="s">
        <v>854</v>
      </c>
      <c r="F268" s="31">
        <v>438000</v>
      </c>
      <c r="G268" s="45" t="s">
        <v>855</v>
      </c>
      <c r="H268" s="45"/>
      <c r="I268" s="26" t="s">
        <v>856</v>
      </c>
      <c r="J268" s="26" t="s">
        <v>7</v>
      </c>
    </row>
    <row r="269" spans="1:10" ht="33" x14ac:dyDescent="0.25">
      <c r="A269" s="1" t="s">
        <v>48</v>
      </c>
      <c r="B269" s="25" t="s">
        <v>852</v>
      </c>
      <c r="C269" s="25" t="s">
        <v>857</v>
      </c>
      <c r="D269" s="27" t="s">
        <v>51</v>
      </c>
      <c r="E269" s="27" t="s">
        <v>858</v>
      </c>
      <c r="F269" s="31">
        <v>90000</v>
      </c>
      <c r="G269" s="45" t="s">
        <v>859</v>
      </c>
      <c r="H269" s="45"/>
      <c r="I269" s="26" t="s">
        <v>860</v>
      </c>
      <c r="J269" s="26" t="s">
        <v>7</v>
      </c>
    </row>
    <row r="270" spans="1:10" ht="33" x14ac:dyDescent="0.25">
      <c r="A270" s="1" t="s">
        <v>48</v>
      </c>
      <c r="B270" s="25" t="s">
        <v>852</v>
      </c>
      <c r="C270" s="25" t="s">
        <v>861</v>
      </c>
      <c r="D270" s="27" t="s">
        <v>51</v>
      </c>
      <c r="E270" s="27" t="s">
        <v>862</v>
      </c>
      <c r="F270" s="31">
        <v>39235</v>
      </c>
      <c r="G270" s="45" t="s">
        <v>863</v>
      </c>
      <c r="H270" s="45"/>
      <c r="I270" s="26" t="s">
        <v>864</v>
      </c>
      <c r="J270" s="26" t="s">
        <v>7</v>
      </c>
    </row>
    <row r="271" spans="1:10" ht="33" x14ac:dyDescent="0.25">
      <c r="A271" s="1" t="s">
        <v>48</v>
      </c>
      <c r="B271" s="25" t="s">
        <v>852</v>
      </c>
      <c r="C271" s="25" t="s">
        <v>865</v>
      </c>
      <c r="D271" s="27" t="s">
        <v>51</v>
      </c>
      <c r="E271" s="27" t="s">
        <v>866</v>
      </c>
      <c r="F271" s="31">
        <v>32424</v>
      </c>
      <c r="G271" s="45" t="s">
        <v>867</v>
      </c>
      <c r="H271" s="45"/>
      <c r="I271" s="26" t="s">
        <v>600</v>
      </c>
      <c r="J271" s="26" t="s">
        <v>7</v>
      </c>
    </row>
    <row r="272" spans="1:10" ht="33" x14ac:dyDescent="0.25">
      <c r="A272" s="1" t="s">
        <v>48</v>
      </c>
      <c r="B272" s="25" t="s">
        <v>852</v>
      </c>
      <c r="C272" s="25" t="s">
        <v>868</v>
      </c>
      <c r="D272" s="27" t="s">
        <v>51</v>
      </c>
      <c r="E272" s="27" t="s">
        <v>869</v>
      </c>
      <c r="F272" s="31">
        <v>106859</v>
      </c>
      <c r="G272" s="45" t="s">
        <v>870</v>
      </c>
      <c r="H272" s="45"/>
      <c r="I272" s="26" t="s">
        <v>705</v>
      </c>
      <c r="J272" s="26" t="s">
        <v>7</v>
      </c>
    </row>
    <row r="273" spans="1:10" ht="33" x14ac:dyDescent="0.25">
      <c r="A273" s="1" t="s">
        <v>48</v>
      </c>
      <c r="B273" s="25" t="s">
        <v>852</v>
      </c>
      <c r="C273" s="25" t="s">
        <v>871</v>
      </c>
      <c r="D273" s="27" t="s">
        <v>51</v>
      </c>
      <c r="E273" s="27" t="s">
        <v>872</v>
      </c>
      <c r="F273" s="31">
        <v>490000</v>
      </c>
      <c r="G273" s="45" t="s">
        <v>873</v>
      </c>
      <c r="H273" s="45"/>
      <c r="I273" s="26" t="s">
        <v>126</v>
      </c>
      <c r="J273" s="26" t="s">
        <v>7</v>
      </c>
    </row>
    <row r="274" spans="1:10" ht="33" x14ac:dyDescent="0.25">
      <c r="A274" s="1" t="s">
        <v>48</v>
      </c>
      <c r="B274" s="25" t="s">
        <v>852</v>
      </c>
      <c r="C274" s="25" t="s">
        <v>874</v>
      </c>
      <c r="D274" s="27" t="s">
        <v>51</v>
      </c>
      <c r="E274" s="27" t="s">
        <v>875</v>
      </c>
      <c r="F274" s="31">
        <v>61741</v>
      </c>
      <c r="G274" s="45" t="s">
        <v>876</v>
      </c>
      <c r="H274" s="45"/>
      <c r="I274" s="26" t="s">
        <v>100</v>
      </c>
      <c r="J274" s="26" t="s">
        <v>7</v>
      </c>
    </row>
    <row r="275" spans="1:10" x14ac:dyDescent="0.25">
      <c r="A275" s="1" t="s">
        <v>22</v>
      </c>
      <c r="B275" s="25" t="s">
        <v>877</v>
      </c>
      <c r="C275" s="25" t="s">
        <v>218</v>
      </c>
      <c r="D275" s="27" t="s">
        <v>7</v>
      </c>
      <c r="E275" s="27" t="s">
        <v>878</v>
      </c>
      <c r="F275" s="31">
        <v>9500</v>
      </c>
      <c r="G275" s="45" t="s">
        <v>879</v>
      </c>
      <c r="H275" s="45"/>
      <c r="I275" s="26" t="s">
        <v>86</v>
      </c>
      <c r="J275" s="26" t="s">
        <v>7</v>
      </c>
    </row>
    <row r="276" spans="1:10" x14ac:dyDescent="0.25">
      <c r="A276" s="1" t="s">
        <v>22</v>
      </c>
      <c r="B276" s="25" t="s">
        <v>877</v>
      </c>
      <c r="C276" s="25" t="s">
        <v>69</v>
      </c>
      <c r="D276" s="27" t="s">
        <v>7</v>
      </c>
      <c r="E276" s="27" t="s">
        <v>880</v>
      </c>
      <c r="F276" s="31">
        <v>37000</v>
      </c>
      <c r="G276" s="45" t="s">
        <v>881</v>
      </c>
      <c r="H276" s="45"/>
      <c r="I276" s="26" t="s">
        <v>100</v>
      </c>
      <c r="J276" s="26" t="s">
        <v>7</v>
      </c>
    </row>
    <row r="277" spans="1:10" x14ac:dyDescent="0.25">
      <c r="A277" s="1" t="s">
        <v>217</v>
      </c>
      <c r="B277" s="25" t="s">
        <v>877</v>
      </c>
      <c r="C277" s="25" t="s">
        <v>218</v>
      </c>
      <c r="D277" s="27" t="s">
        <v>7</v>
      </c>
      <c r="E277" s="27" t="s">
        <v>882</v>
      </c>
      <c r="F277" s="31">
        <v>20000</v>
      </c>
      <c r="G277" s="45" t="s">
        <v>883</v>
      </c>
      <c r="H277" s="45"/>
      <c r="I277" s="26" t="s">
        <v>884</v>
      </c>
      <c r="J277" s="26" t="s">
        <v>7</v>
      </c>
    </row>
    <row r="278" spans="1:10" ht="33" x14ac:dyDescent="0.25">
      <c r="A278" s="1" t="s">
        <v>217</v>
      </c>
      <c r="B278" s="25" t="s">
        <v>877</v>
      </c>
      <c r="C278" s="25" t="s">
        <v>218</v>
      </c>
      <c r="D278" s="27" t="s">
        <v>7</v>
      </c>
      <c r="E278" s="27" t="s">
        <v>885</v>
      </c>
      <c r="F278" s="31">
        <v>83747</v>
      </c>
      <c r="G278" s="45" t="s">
        <v>886</v>
      </c>
      <c r="H278" s="45"/>
      <c r="I278" s="26" t="s">
        <v>118</v>
      </c>
      <c r="J278" s="26" t="s">
        <v>7</v>
      </c>
    </row>
    <row r="279" spans="1:10" x14ac:dyDescent="0.25">
      <c r="A279" s="1" t="s">
        <v>217</v>
      </c>
      <c r="B279" s="25" t="s">
        <v>877</v>
      </c>
      <c r="C279" s="25" t="s">
        <v>218</v>
      </c>
      <c r="D279" s="27" t="s">
        <v>7</v>
      </c>
      <c r="E279" s="27" t="s">
        <v>887</v>
      </c>
      <c r="F279" s="31">
        <v>18802</v>
      </c>
      <c r="G279" s="45" t="s">
        <v>7</v>
      </c>
      <c r="H279" s="45"/>
      <c r="I279" s="26" t="s">
        <v>290</v>
      </c>
      <c r="J279" s="26" t="s">
        <v>7</v>
      </c>
    </row>
    <row r="280" spans="1:10" x14ac:dyDescent="0.25">
      <c r="A280" s="1" t="s">
        <v>217</v>
      </c>
      <c r="B280" s="25" t="s">
        <v>877</v>
      </c>
      <c r="C280" s="25" t="s">
        <v>218</v>
      </c>
      <c r="D280" s="27" t="s">
        <v>7</v>
      </c>
      <c r="E280" s="27" t="s">
        <v>888</v>
      </c>
      <c r="F280" s="31">
        <v>12700</v>
      </c>
      <c r="G280" s="45" t="s">
        <v>889</v>
      </c>
      <c r="H280" s="45"/>
      <c r="I280" s="26" t="s">
        <v>276</v>
      </c>
      <c r="J280" s="26" t="s">
        <v>7</v>
      </c>
    </row>
    <row r="281" spans="1:10" ht="33" x14ac:dyDescent="0.25">
      <c r="A281" s="1" t="s">
        <v>48</v>
      </c>
      <c r="B281" s="25" t="s">
        <v>890</v>
      </c>
      <c r="C281" s="25" t="s">
        <v>891</v>
      </c>
      <c r="D281" s="27" t="s">
        <v>51</v>
      </c>
      <c r="E281" s="27" t="s">
        <v>892</v>
      </c>
      <c r="F281" s="31">
        <v>139600</v>
      </c>
      <c r="G281" s="45" t="s">
        <v>893</v>
      </c>
      <c r="H281" s="45"/>
      <c r="I281" s="26" t="s">
        <v>95</v>
      </c>
      <c r="J281" s="26" t="s">
        <v>7</v>
      </c>
    </row>
    <row r="282" spans="1:10" ht="33" x14ac:dyDescent="0.25">
      <c r="A282" s="1" t="s">
        <v>48</v>
      </c>
      <c r="B282" s="25" t="s">
        <v>890</v>
      </c>
      <c r="C282" s="25" t="s">
        <v>894</v>
      </c>
      <c r="D282" s="27" t="s">
        <v>51</v>
      </c>
      <c r="E282" s="27" t="s">
        <v>895</v>
      </c>
      <c r="F282" s="31">
        <v>63000</v>
      </c>
      <c r="G282" s="45" t="s">
        <v>896</v>
      </c>
      <c r="H282" s="45"/>
      <c r="I282" s="26" t="s">
        <v>95</v>
      </c>
      <c r="J282" s="26" t="s">
        <v>7</v>
      </c>
    </row>
    <row r="283" spans="1:10" ht="33" x14ac:dyDescent="0.25">
      <c r="A283" s="1" t="s">
        <v>48</v>
      </c>
      <c r="B283" s="25" t="s">
        <v>890</v>
      </c>
      <c r="C283" s="25" t="s">
        <v>897</v>
      </c>
      <c r="D283" s="27" t="s">
        <v>51</v>
      </c>
      <c r="E283" s="27" t="s">
        <v>898</v>
      </c>
      <c r="F283" s="31">
        <v>375531</v>
      </c>
      <c r="G283" s="45" t="s">
        <v>899</v>
      </c>
      <c r="H283" s="45"/>
      <c r="I283" s="26" t="s">
        <v>86</v>
      </c>
      <c r="J283" s="26" t="s">
        <v>7</v>
      </c>
    </row>
    <row r="284" spans="1:10" ht="33" x14ac:dyDescent="0.25">
      <c r="A284" s="1" t="s">
        <v>48</v>
      </c>
      <c r="B284" s="25" t="s">
        <v>890</v>
      </c>
      <c r="C284" s="25" t="s">
        <v>897</v>
      </c>
      <c r="D284" s="27" t="s">
        <v>79</v>
      </c>
      <c r="E284" s="27" t="s">
        <v>898</v>
      </c>
      <c r="F284" s="31">
        <v>331556</v>
      </c>
      <c r="G284" s="45" t="s">
        <v>899</v>
      </c>
      <c r="H284" s="45"/>
      <c r="I284" s="26" t="s">
        <v>86</v>
      </c>
      <c r="J284" s="26" t="s">
        <v>7</v>
      </c>
    </row>
    <row r="285" spans="1:10" ht="33" x14ac:dyDescent="0.25">
      <c r="A285" s="1" t="s">
        <v>48</v>
      </c>
      <c r="B285" s="25" t="s">
        <v>890</v>
      </c>
      <c r="C285" s="25" t="s">
        <v>897</v>
      </c>
      <c r="D285" s="27" t="s">
        <v>88</v>
      </c>
      <c r="E285" s="27" t="s">
        <v>898</v>
      </c>
      <c r="F285" s="31">
        <v>521288</v>
      </c>
      <c r="G285" s="45" t="s">
        <v>899</v>
      </c>
      <c r="H285" s="45"/>
      <c r="I285" s="26" t="s">
        <v>86</v>
      </c>
      <c r="J285" s="26" t="s">
        <v>7</v>
      </c>
    </row>
    <row r="286" spans="1:10" ht="33" x14ac:dyDescent="0.25">
      <c r="A286" s="1" t="s">
        <v>48</v>
      </c>
      <c r="B286" s="25" t="s">
        <v>890</v>
      </c>
      <c r="C286" s="25" t="s">
        <v>900</v>
      </c>
      <c r="D286" s="27" t="s">
        <v>51</v>
      </c>
      <c r="E286" s="27" t="s">
        <v>901</v>
      </c>
      <c r="F286" s="31">
        <v>66700</v>
      </c>
      <c r="G286" s="45" t="s">
        <v>902</v>
      </c>
      <c r="H286" s="45"/>
      <c r="I286" s="26" t="s">
        <v>193</v>
      </c>
      <c r="J286" s="26" t="s">
        <v>7</v>
      </c>
    </row>
    <row r="287" spans="1:10" ht="33" x14ac:dyDescent="0.25">
      <c r="A287" s="1" t="s">
        <v>48</v>
      </c>
      <c r="B287" s="25" t="s">
        <v>890</v>
      </c>
      <c r="C287" s="25" t="s">
        <v>903</v>
      </c>
      <c r="D287" s="27" t="s">
        <v>51</v>
      </c>
      <c r="E287" s="27" t="s">
        <v>904</v>
      </c>
      <c r="F287" s="31">
        <v>34000</v>
      </c>
      <c r="G287" s="45" t="s">
        <v>905</v>
      </c>
      <c r="H287" s="45"/>
      <c r="I287" s="26" t="s">
        <v>719</v>
      </c>
      <c r="J287" s="26" t="s">
        <v>7</v>
      </c>
    </row>
    <row r="288" spans="1:10" x14ac:dyDescent="0.25">
      <c r="A288" s="1" t="s">
        <v>22</v>
      </c>
      <c r="B288" s="25" t="s">
        <v>890</v>
      </c>
      <c r="C288" s="25" t="s">
        <v>69</v>
      </c>
      <c r="D288" s="27" t="s">
        <v>7</v>
      </c>
      <c r="E288" s="27" t="s">
        <v>906</v>
      </c>
      <c r="F288" s="31">
        <v>20522</v>
      </c>
      <c r="G288" s="45" t="s">
        <v>907</v>
      </c>
      <c r="H288" s="45"/>
      <c r="I288" s="26" t="s">
        <v>95</v>
      </c>
      <c r="J288" s="26" t="s">
        <v>7</v>
      </c>
    </row>
    <row r="289" spans="1:10" ht="33" x14ac:dyDescent="0.25">
      <c r="A289" s="1" t="s">
        <v>217</v>
      </c>
      <c r="B289" s="25" t="s">
        <v>890</v>
      </c>
      <c r="C289" s="25" t="s">
        <v>218</v>
      </c>
      <c r="D289" s="27" t="s">
        <v>7</v>
      </c>
      <c r="E289" s="27" t="s">
        <v>908</v>
      </c>
      <c r="F289" s="31">
        <v>32000</v>
      </c>
      <c r="G289" s="45" t="s">
        <v>909</v>
      </c>
      <c r="H289" s="45"/>
      <c r="I289" s="26" t="s">
        <v>67</v>
      </c>
      <c r="J289" s="26" t="s">
        <v>7</v>
      </c>
    </row>
    <row r="290" spans="1:10" x14ac:dyDescent="0.25">
      <c r="A290" s="1" t="s">
        <v>217</v>
      </c>
      <c r="B290" s="25" t="s">
        <v>890</v>
      </c>
      <c r="C290" s="25" t="s">
        <v>218</v>
      </c>
      <c r="D290" s="27" t="s">
        <v>7</v>
      </c>
      <c r="E290" s="27" t="s">
        <v>910</v>
      </c>
      <c r="F290" s="31">
        <v>164000</v>
      </c>
      <c r="G290" s="45" t="s">
        <v>911</v>
      </c>
      <c r="H290" s="45"/>
      <c r="I290" s="26" t="s">
        <v>912</v>
      </c>
      <c r="J290" s="26" t="s">
        <v>7</v>
      </c>
    </row>
    <row r="291" spans="1:10" ht="33" x14ac:dyDescent="0.25">
      <c r="A291" s="1" t="s">
        <v>48</v>
      </c>
      <c r="B291" s="25" t="s">
        <v>913</v>
      </c>
      <c r="C291" s="25" t="s">
        <v>914</v>
      </c>
      <c r="D291" s="27" t="s">
        <v>51</v>
      </c>
      <c r="E291" s="27" t="s">
        <v>915</v>
      </c>
      <c r="F291" s="31">
        <v>22090</v>
      </c>
      <c r="G291" s="45" t="s">
        <v>916</v>
      </c>
      <c r="H291" s="45"/>
      <c r="I291" s="26" t="s">
        <v>54</v>
      </c>
      <c r="J291" s="26" t="s">
        <v>7</v>
      </c>
    </row>
    <row r="292" spans="1:10" ht="33" x14ac:dyDescent="0.25">
      <c r="A292" s="1" t="s">
        <v>48</v>
      </c>
      <c r="B292" s="25" t="s">
        <v>913</v>
      </c>
      <c r="C292" s="25" t="s">
        <v>917</v>
      </c>
      <c r="D292" s="27" t="s">
        <v>51</v>
      </c>
      <c r="E292" s="27" t="s">
        <v>918</v>
      </c>
      <c r="F292" s="31">
        <v>35992</v>
      </c>
      <c r="G292" s="45" t="s">
        <v>919</v>
      </c>
      <c r="H292" s="45"/>
      <c r="I292" s="26" t="s">
        <v>54</v>
      </c>
      <c r="J292" s="26" t="s">
        <v>7</v>
      </c>
    </row>
    <row r="293" spans="1:10" x14ac:dyDescent="0.25">
      <c r="A293" s="1" t="s">
        <v>22</v>
      </c>
      <c r="B293" s="25" t="s">
        <v>913</v>
      </c>
      <c r="C293" s="25" t="s">
        <v>69</v>
      </c>
      <c r="D293" s="27" t="s">
        <v>7</v>
      </c>
      <c r="E293" s="27" t="s">
        <v>920</v>
      </c>
      <c r="F293" s="31">
        <v>113000</v>
      </c>
      <c r="G293" s="45" t="s">
        <v>921</v>
      </c>
      <c r="H293" s="45"/>
      <c r="I293" s="26" t="s">
        <v>922</v>
      </c>
      <c r="J293" s="26" t="s">
        <v>7</v>
      </c>
    </row>
    <row r="294" spans="1:10" x14ac:dyDescent="0.25">
      <c r="A294" s="1" t="s">
        <v>217</v>
      </c>
      <c r="B294" s="25" t="s">
        <v>913</v>
      </c>
      <c r="C294" s="25" t="s">
        <v>218</v>
      </c>
      <c r="D294" s="27" t="s">
        <v>7</v>
      </c>
      <c r="E294" s="27" t="s">
        <v>923</v>
      </c>
      <c r="F294" s="31">
        <v>39500</v>
      </c>
      <c r="G294" s="45" t="s">
        <v>924</v>
      </c>
      <c r="H294" s="45"/>
      <c r="I294" s="26" t="s">
        <v>100</v>
      </c>
      <c r="J294" s="26" t="s">
        <v>7</v>
      </c>
    </row>
    <row r="295" spans="1:10" x14ac:dyDescent="0.25">
      <c r="A295" s="1" t="s">
        <v>217</v>
      </c>
      <c r="B295" s="25" t="s">
        <v>913</v>
      </c>
      <c r="C295" s="25" t="s">
        <v>218</v>
      </c>
      <c r="D295" s="27" t="s">
        <v>7</v>
      </c>
      <c r="E295" s="27" t="s">
        <v>925</v>
      </c>
      <c r="F295" s="31">
        <v>13198</v>
      </c>
      <c r="G295" s="45" t="s">
        <v>926</v>
      </c>
      <c r="H295" s="45"/>
      <c r="I295" s="26" t="s">
        <v>200</v>
      </c>
      <c r="J295" s="26" t="s">
        <v>7</v>
      </c>
    </row>
    <row r="296" spans="1:10" x14ac:dyDescent="0.25">
      <c r="A296" s="1" t="s">
        <v>217</v>
      </c>
      <c r="B296" s="25" t="s">
        <v>927</v>
      </c>
      <c r="C296" s="25" t="s">
        <v>218</v>
      </c>
      <c r="D296" s="27" t="s">
        <v>7</v>
      </c>
      <c r="E296" s="27" t="s">
        <v>928</v>
      </c>
      <c r="F296" s="31">
        <v>55000</v>
      </c>
      <c r="G296" s="45" t="s">
        <v>929</v>
      </c>
      <c r="H296" s="45"/>
      <c r="I296" s="26" t="s">
        <v>930</v>
      </c>
      <c r="J296" s="26" t="s">
        <v>7</v>
      </c>
    </row>
    <row r="297" spans="1:10" x14ac:dyDescent="0.25">
      <c r="A297" s="1" t="s">
        <v>217</v>
      </c>
      <c r="B297" s="25" t="s">
        <v>927</v>
      </c>
      <c r="C297" s="25" t="s">
        <v>218</v>
      </c>
      <c r="D297" s="27" t="s">
        <v>7</v>
      </c>
      <c r="E297" s="27" t="s">
        <v>931</v>
      </c>
      <c r="F297" s="31">
        <v>68307</v>
      </c>
      <c r="G297" s="45" t="s">
        <v>932</v>
      </c>
      <c r="H297" s="45"/>
      <c r="I297" s="26" t="s">
        <v>432</v>
      </c>
      <c r="J297" s="26" t="s">
        <v>7</v>
      </c>
    </row>
    <row r="298" spans="1:10" ht="33" x14ac:dyDescent="0.25">
      <c r="A298" s="1" t="s">
        <v>48</v>
      </c>
      <c r="B298" s="25" t="s">
        <v>933</v>
      </c>
      <c r="C298" s="25" t="s">
        <v>934</v>
      </c>
      <c r="D298" s="27" t="s">
        <v>51</v>
      </c>
      <c r="E298" s="27" t="s">
        <v>935</v>
      </c>
      <c r="F298" s="31">
        <v>15054</v>
      </c>
      <c r="G298" s="45" t="s">
        <v>936</v>
      </c>
      <c r="H298" s="45"/>
      <c r="I298" s="26" t="s">
        <v>335</v>
      </c>
      <c r="J298" s="26" t="s">
        <v>7</v>
      </c>
    </row>
    <row r="299" spans="1:10" x14ac:dyDescent="0.25">
      <c r="A299" s="1" t="s">
        <v>22</v>
      </c>
      <c r="B299" s="25" t="s">
        <v>933</v>
      </c>
      <c r="C299" s="25" t="s">
        <v>218</v>
      </c>
      <c r="D299" s="27" t="s">
        <v>7</v>
      </c>
      <c r="E299" s="27" t="s">
        <v>937</v>
      </c>
      <c r="F299" s="31">
        <v>192996</v>
      </c>
      <c r="G299" s="45" t="s">
        <v>938</v>
      </c>
      <c r="H299" s="45"/>
      <c r="I299" s="26" t="s">
        <v>95</v>
      </c>
      <c r="J299" s="26" t="s">
        <v>7</v>
      </c>
    </row>
    <row r="300" spans="1:10" x14ac:dyDescent="0.25">
      <c r="A300" s="1" t="s">
        <v>217</v>
      </c>
      <c r="B300" s="25" t="s">
        <v>939</v>
      </c>
      <c r="C300" s="25" t="s">
        <v>218</v>
      </c>
      <c r="D300" s="27" t="s">
        <v>7</v>
      </c>
      <c r="E300" s="27" t="s">
        <v>940</v>
      </c>
      <c r="F300" s="31">
        <v>20000</v>
      </c>
      <c r="G300" s="45" t="s">
        <v>941</v>
      </c>
      <c r="H300" s="45"/>
      <c r="I300" s="26" t="s">
        <v>942</v>
      </c>
      <c r="J300" s="26" t="s">
        <v>7</v>
      </c>
    </row>
    <row r="301" spans="1:10" x14ac:dyDescent="0.25">
      <c r="A301" s="1" t="s">
        <v>217</v>
      </c>
      <c r="B301" s="25" t="s">
        <v>939</v>
      </c>
      <c r="C301" s="25" t="s">
        <v>218</v>
      </c>
      <c r="D301" s="27" t="s">
        <v>7</v>
      </c>
      <c r="E301" s="27" t="s">
        <v>943</v>
      </c>
      <c r="F301" s="31">
        <v>36650</v>
      </c>
      <c r="G301" s="45" t="s">
        <v>944</v>
      </c>
      <c r="H301" s="45"/>
      <c r="I301" s="26" t="s">
        <v>100</v>
      </c>
      <c r="J301" s="26" t="s">
        <v>7</v>
      </c>
    </row>
    <row r="302" spans="1:10" x14ac:dyDescent="0.25">
      <c r="A302" s="1" t="s">
        <v>217</v>
      </c>
      <c r="B302" s="25" t="s">
        <v>939</v>
      </c>
      <c r="C302" s="25" t="s">
        <v>218</v>
      </c>
      <c r="D302" s="27" t="s">
        <v>7</v>
      </c>
      <c r="E302" s="27" t="s">
        <v>945</v>
      </c>
      <c r="F302" s="31">
        <v>100000</v>
      </c>
      <c r="G302" s="45" t="s">
        <v>946</v>
      </c>
      <c r="H302" s="45"/>
      <c r="I302" s="26" t="s">
        <v>54</v>
      </c>
      <c r="J302" s="26" t="s">
        <v>7</v>
      </c>
    </row>
    <row r="303" spans="1:10" ht="33" x14ac:dyDescent="0.25">
      <c r="A303" s="1" t="s">
        <v>48</v>
      </c>
      <c r="B303" s="25" t="s">
        <v>947</v>
      </c>
      <c r="C303" s="25" t="s">
        <v>948</v>
      </c>
      <c r="D303" s="27" t="s">
        <v>51</v>
      </c>
      <c r="E303" s="27" t="s">
        <v>949</v>
      </c>
      <c r="F303" s="31">
        <v>100000</v>
      </c>
      <c r="G303" s="45" t="s">
        <v>950</v>
      </c>
      <c r="H303" s="45"/>
      <c r="I303" s="26" t="s">
        <v>951</v>
      </c>
      <c r="J303" s="26" t="s">
        <v>7</v>
      </c>
    </row>
    <row r="304" spans="1:10" ht="33" x14ac:dyDescent="0.25">
      <c r="A304" s="1" t="s">
        <v>48</v>
      </c>
      <c r="B304" s="25" t="s">
        <v>947</v>
      </c>
      <c r="C304" s="25" t="s">
        <v>952</v>
      </c>
      <c r="D304" s="27" t="s">
        <v>51</v>
      </c>
      <c r="E304" s="27" t="s">
        <v>953</v>
      </c>
      <c r="F304" s="31">
        <v>360000</v>
      </c>
      <c r="G304" s="45" t="s">
        <v>954</v>
      </c>
      <c r="H304" s="45"/>
      <c r="I304" s="26" t="s">
        <v>7</v>
      </c>
      <c r="J304" s="26" t="s">
        <v>7</v>
      </c>
    </row>
    <row r="305" spans="1:10" ht="33" x14ac:dyDescent="0.25">
      <c r="A305" s="1" t="s">
        <v>48</v>
      </c>
      <c r="B305" s="25" t="s">
        <v>947</v>
      </c>
      <c r="C305" s="25" t="s">
        <v>955</v>
      </c>
      <c r="D305" s="27" t="s">
        <v>51</v>
      </c>
      <c r="E305" s="27" t="s">
        <v>956</v>
      </c>
      <c r="F305" s="31">
        <v>25955</v>
      </c>
      <c r="G305" s="45" t="s">
        <v>137</v>
      </c>
      <c r="H305" s="45"/>
      <c r="I305" s="26" t="s">
        <v>133</v>
      </c>
      <c r="J305" s="26" t="s">
        <v>7</v>
      </c>
    </row>
    <row r="306" spans="1:10" ht="33" x14ac:dyDescent="0.25">
      <c r="A306" s="1" t="s">
        <v>48</v>
      </c>
      <c r="B306" s="25" t="s">
        <v>947</v>
      </c>
      <c r="C306" s="25" t="s">
        <v>957</v>
      </c>
      <c r="D306" s="27" t="s">
        <v>51</v>
      </c>
      <c r="E306" s="27" t="s">
        <v>958</v>
      </c>
      <c r="F306" s="31">
        <v>39500</v>
      </c>
      <c r="G306" s="45" t="s">
        <v>959</v>
      </c>
      <c r="H306" s="45"/>
      <c r="I306" s="26" t="s">
        <v>54</v>
      </c>
      <c r="J306" s="26" t="s">
        <v>7</v>
      </c>
    </row>
    <row r="307" spans="1:10" ht="33" x14ac:dyDescent="0.25">
      <c r="A307" s="1" t="s">
        <v>48</v>
      </c>
      <c r="B307" s="25" t="s">
        <v>947</v>
      </c>
      <c r="C307" s="25" t="s">
        <v>960</v>
      </c>
      <c r="D307" s="27" t="s">
        <v>51</v>
      </c>
      <c r="E307" s="27" t="s">
        <v>961</v>
      </c>
      <c r="F307" s="31">
        <v>30100</v>
      </c>
      <c r="G307" s="45" t="s">
        <v>962</v>
      </c>
      <c r="H307" s="45"/>
      <c r="I307" s="26" t="s">
        <v>54</v>
      </c>
      <c r="J307" s="26" t="s">
        <v>7</v>
      </c>
    </row>
    <row r="308" spans="1:10" x14ac:dyDescent="0.25">
      <c r="A308" s="1" t="s">
        <v>217</v>
      </c>
      <c r="B308" s="25" t="s">
        <v>947</v>
      </c>
      <c r="C308" s="25" t="s">
        <v>218</v>
      </c>
      <c r="D308" s="27" t="s">
        <v>7</v>
      </c>
      <c r="E308" s="27" t="s">
        <v>963</v>
      </c>
      <c r="F308" s="31">
        <v>58800</v>
      </c>
      <c r="G308" s="45" t="s">
        <v>964</v>
      </c>
      <c r="H308" s="45"/>
      <c r="I308" s="26" t="s">
        <v>54</v>
      </c>
      <c r="J308" s="26" t="s">
        <v>7</v>
      </c>
    </row>
    <row r="309" spans="1:10" ht="33" x14ac:dyDescent="0.25">
      <c r="A309" s="1" t="s">
        <v>22</v>
      </c>
      <c r="B309" s="25" t="s">
        <v>965</v>
      </c>
      <c r="C309" s="25" t="s">
        <v>218</v>
      </c>
      <c r="D309" s="27" t="s">
        <v>7</v>
      </c>
      <c r="E309" s="27" t="s">
        <v>966</v>
      </c>
      <c r="F309" s="31">
        <v>40358</v>
      </c>
      <c r="G309" s="45" t="s">
        <v>967</v>
      </c>
      <c r="H309" s="45"/>
      <c r="I309" s="26" t="s">
        <v>133</v>
      </c>
      <c r="J309" s="26" t="s">
        <v>7</v>
      </c>
    </row>
    <row r="310" spans="1:10" x14ac:dyDescent="0.25">
      <c r="A310" s="1" t="s">
        <v>217</v>
      </c>
      <c r="B310" s="25" t="s">
        <v>965</v>
      </c>
      <c r="C310" s="25" t="s">
        <v>218</v>
      </c>
      <c r="D310" s="27" t="s">
        <v>7</v>
      </c>
      <c r="E310" s="27" t="s">
        <v>968</v>
      </c>
      <c r="F310" s="31">
        <v>85530</v>
      </c>
      <c r="G310" s="45" t="s">
        <v>969</v>
      </c>
      <c r="H310" s="45"/>
      <c r="I310" s="26" t="s">
        <v>100</v>
      </c>
      <c r="J310" s="26" t="s">
        <v>7</v>
      </c>
    </row>
    <row r="311" spans="1:10" ht="33" x14ac:dyDescent="0.25">
      <c r="A311" s="1" t="s">
        <v>217</v>
      </c>
      <c r="B311" s="25" t="s">
        <v>965</v>
      </c>
      <c r="C311" s="25" t="s">
        <v>218</v>
      </c>
      <c r="D311" s="27" t="s">
        <v>7</v>
      </c>
      <c r="E311" s="27" t="s">
        <v>970</v>
      </c>
      <c r="F311" s="31">
        <v>41011</v>
      </c>
      <c r="G311" s="45" t="s">
        <v>971</v>
      </c>
      <c r="H311" s="45"/>
      <c r="I311" s="26" t="s">
        <v>67</v>
      </c>
      <c r="J311" s="26" t="s">
        <v>7</v>
      </c>
    </row>
    <row r="312" spans="1:10" x14ac:dyDescent="0.25">
      <c r="A312" s="1" t="s">
        <v>217</v>
      </c>
      <c r="B312" s="25" t="s">
        <v>965</v>
      </c>
      <c r="C312" s="25" t="s">
        <v>218</v>
      </c>
      <c r="D312" s="27" t="s">
        <v>7</v>
      </c>
      <c r="E312" s="27" t="s">
        <v>972</v>
      </c>
      <c r="F312" s="31">
        <v>12357</v>
      </c>
      <c r="G312" s="45" t="s">
        <v>973</v>
      </c>
      <c r="H312" s="45"/>
      <c r="I312" s="26" t="s">
        <v>432</v>
      </c>
      <c r="J312" s="26" t="s">
        <v>7</v>
      </c>
    </row>
    <row r="313" spans="1:10" x14ac:dyDescent="0.25">
      <c r="A313" s="1" t="s">
        <v>217</v>
      </c>
      <c r="B313" s="25" t="s">
        <v>974</v>
      </c>
      <c r="C313" s="25" t="s">
        <v>218</v>
      </c>
      <c r="D313" s="27" t="s">
        <v>7</v>
      </c>
      <c r="E313" s="27" t="s">
        <v>975</v>
      </c>
      <c r="F313" s="31">
        <v>32790</v>
      </c>
      <c r="G313" s="45" t="s">
        <v>976</v>
      </c>
      <c r="H313" s="45"/>
      <c r="I313" s="26" t="s">
        <v>798</v>
      </c>
      <c r="J313" s="26" t="s">
        <v>7</v>
      </c>
    </row>
    <row r="314" spans="1:10" x14ac:dyDescent="0.25">
      <c r="A314" s="1" t="s">
        <v>217</v>
      </c>
      <c r="B314" s="25" t="s">
        <v>977</v>
      </c>
      <c r="C314" s="25" t="s">
        <v>218</v>
      </c>
      <c r="D314" s="27" t="s">
        <v>7</v>
      </c>
      <c r="E314" s="27" t="s">
        <v>978</v>
      </c>
      <c r="F314" s="31">
        <v>57500</v>
      </c>
      <c r="G314" s="45" t="s">
        <v>979</v>
      </c>
      <c r="H314" s="45"/>
      <c r="I314" s="26" t="s">
        <v>126</v>
      </c>
      <c r="J314" s="26" t="s">
        <v>7</v>
      </c>
    </row>
    <row r="315" spans="1:10" ht="33" x14ac:dyDescent="0.25">
      <c r="A315" s="1" t="s">
        <v>217</v>
      </c>
      <c r="B315" s="25" t="s">
        <v>977</v>
      </c>
      <c r="C315" s="25" t="s">
        <v>218</v>
      </c>
      <c r="D315" s="27" t="s">
        <v>7</v>
      </c>
      <c r="E315" s="27" t="s">
        <v>980</v>
      </c>
      <c r="F315" s="31">
        <v>83916</v>
      </c>
      <c r="G315" s="45" t="s">
        <v>981</v>
      </c>
      <c r="H315" s="45"/>
      <c r="I315" s="26" t="s">
        <v>118</v>
      </c>
      <c r="J315" s="26" t="s">
        <v>7</v>
      </c>
    </row>
    <row r="316" spans="1:10" x14ac:dyDescent="0.25">
      <c r="B316" s="28" t="s">
        <v>44</v>
      </c>
      <c r="C316" s="45" t="s">
        <v>982</v>
      </c>
      <c r="D316" s="46"/>
      <c r="E316" s="47"/>
      <c r="F316" s="48"/>
      <c r="G316" s="45"/>
      <c r="H316" s="45"/>
      <c r="I316" s="45"/>
      <c r="J316" s="45"/>
    </row>
    <row r="317" spans="1:10" x14ac:dyDescent="0.25">
      <c r="A317" s="24" t="s">
        <v>26</v>
      </c>
      <c r="B317" s="21"/>
      <c r="C317" s="21"/>
      <c r="D317" s="29"/>
      <c r="E317" s="30"/>
      <c r="F317" s="23"/>
      <c r="G317" s="22"/>
      <c r="H317" s="22"/>
      <c r="I317" s="22"/>
      <c r="J317" s="22"/>
    </row>
    <row r="318" spans="1:10" ht="33" x14ac:dyDescent="0.25">
      <c r="A318" s="1" t="s">
        <v>48</v>
      </c>
      <c r="B318" s="25" t="s">
        <v>983</v>
      </c>
      <c r="C318" s="25" t="s">
        <v>984</v>
      </c>
      <c r="D318" s="27" t="s">
        <v>985</v>
      </c>
      <c r="E318" s="27" t="s">
        <v>986</v>
      </c>
      <c r="F318" s="31">
        <v>21962</v>
      </c>
      <c r="G318" s="45" t="s">
        <v>987</v>
      </c>
      <c r="H318" s="45"/>
      <c r="I318" s="26" t="s">
        <v>76</v>
      </c>
      <c r="J318" s="26" t="s">
        <v>7</v>
      </c>
    </row>
    <row r="319" spans="1:10" ht="33" x14ac:dyDescent="0.25">
      <c r="A319" s="1" t="s">
        <v>48</v>
      </c>
      <c r="B319" s="25" t="s">
        <v>983</v>
      </c>
      <c r="C319" s="25" t="s">
        <v>988</v>
      </c>
      <c r="D319" s="27" t="s">
        <v>563</v>
      </c>
      <c r="E319" s="27" t="s">
        <v>989</v>
      </c>
      <c r="F319" s="31">
        <v>1438</v>
      </c>
      <c r="G319" s="45" t="s">
        <v>990</v>
      </c>
      <c r="H319" s="45"/>
      <c r="I319" s="26" t="s">
        <v>547</v>
      </c>
      <c r="J319" s="26" t="s">
        <v>7</v>
      </c>
    </row>
    <row r="320" spans="1:10" x14ac:dyDescent="0.25">
      <c r="A320" s="1" t="s">
        <v>48</v>
      </c>
      <c r="B320" s="25" t="s">
        <v>63</v>
      </c>
      <c r="C320" s="25" t="s">
        <v>991</v>
      </c>
      <c r="D320" s="27" t="s">
        <v>992</v>
      </c>
      <c r="E320" s="27" t="s">
        <v>993</v>
      </c>
      <c r="F320" s="31">
        <v>50000</v>
      </c>
      <c r="G320" s="45" t="s">
        <v>994</v>
      </c>
      <c r="H320" s="45"/>
      <c r="I320" s="26" t="s">
        <v>276</v>
      </c>
      <c r="J320" s="26" t="s">
        <v>7</v>
      </c>
    </row>
    <row r="321" spans="1:10" ht="33" x14ac:dyDescent="0.25">
      <c r="A321" s="1" t="s">
        <v>48</v>
      </c>
      <c r="B321" s="25" t="s">
        <v>63</v>
      </c>
      <c r="C321" s="25" t="s">
        <v>995</v>
      </c>
      <c r="D321" s="27" t="s">
        <v>996</v>
      </c>
      <c r="E321" s="27" t="s">
        <v>997</v>
      </c>
      <c r="F321" s="31">
        <v>10500</v>
      </c>
      <c r="G321" s="45" t="s">
        <v>998</v>
      </c>
      <c r="H321" s="45"/>
      <c r="I321" s="26" t="s">
        <v>103</v>
      </c>
      <c r="J321" s="26" t="s">
        <v>7</v>
      </c>
    </row>
    <row r="322" spans="1:10" x14ac:dyDescent="0.25">
      <c r="A322" s="1" t="s">
        <v>48</v>
      </c>
      <c r="B322" s="25" t="s">
        <v>68</v>
      </c>
      <c r="C322" s="25" t="s">
        <v>999</v>
      </c>
      <c r="D322" s="27" t="s">
        <v>992</v>
      </c>
      <c r="E322" s="27" t="s">
        <v>1000</v>
      </c>
      <c r="F322" s="31">
        <v>2000</v>
      </c>
      <c r="G322" s="45" t="s">
        <v>1001</v>
      </c>
      <c r="H322" s="45"/>
      <c r="I322" s="26" t="s">
        <v>276</v>
      </c>
      <c r="J322" s="26" t="s">
        <v>7</v>
      </c>
    </row>
    <row r="323" spans="1:10" ht="33" x14ac:dyDescent="0.25">
      <c r="A323" s="1" t="s">
        <v>48</v>
      </c>
      <c r="B323" s="25" t="s">
        <v>68</v>
      </c>
      <c r="C323" s="25" t="s">
        <v>1002</v>
      </c>
      <c r="D323" s="27" t="s">
        <v>1003</v>
      </c>
      <c r="E323" s="27" t="s">
        <v>1004</v>
      </c>
      <c r="F323" s="31">
        <v>8905</v>
      </c>
      <c r="G323" s="45" t="s">
        <v>1005</v>
      </c>
      <c r="H323" s="45"/>
      <c r="I323" s="26" t="s">
        <v>276</v>
      </c>
      <c r="J323" s="26" t="s">
        <v>7</v>
      </c>
    </row>
    <row r="324" spans="1:10" x14ac:dyDescent="0.25">
      <c r="A324" s="1" t="s">
        <v>48</v>
      </c>
      <c r="B324" s="25" t="s">
        <v>1006</v>
      </c>
      <c r="C324" s="25" t="s">
        <v>1007</v>
      </c>
      <c r="D324" s="27" t="s">
        <v>992</v>
      </c>
      <c r="E324" s="27" t="s">
        <v>1008</v>
      </c>
      <c r="F324" s="31">
        <v>53000</v>
      </c>
      <c r="G324" s="45" t="s">
        <v>1009</v>
      </c>
      <c r="H324" s="45"/>
      <c r="I324" s="26" t="s">
        <v>276</v>
      </c>
      <c r="J324" s="26" t="s">
        <v>7</v>
      </c>
    </row>
    <row r="325" spans="1:10" x14ac:dyDescent="0.25">
      <c r="A325" s="1" t="s">
        <v>48</v>
      </c>
      <c r="B325" s="25" t="s">
        <v>1006</v>
      </c>
      <c r="C325" s="25" t="s">
        <v>1010</v>
      </c>
      <c r="D325" s="27" t="s">
        <v>1011</v>
      </c>
      <c r="E325" s="27" t="s">
        <v>1012</v>
      </c>
      <c r="F325" s="31">
        <v>8235</v>
      </c>
      <c r="G325" s="45" t="s">
        <v>1013</v>
      </c>
      <c r="H325" s="45"/>
      <c r="I325" s="26" t="s">
        <v>276</v>
      </c>
      <c r="J325" s="26" t="s">
        <v>7</v>
      </c>
    </row>
    <row r="326" spans="1:10" x14ac:dyDescent="0.25">
      <c r="A326" s="1" t="s">
        <v>48</v>
      </c>
      <c r="B326" s="25" t="s">
        <v>1006</v>
      </c>
      <c r="C326" s="25" t="s">
        <v>1010</v>
      </c>
      <c r="D326" s="27" t="s">
        <v>1011</v>
      </c>
      <c r="E326" s="27" t="s">
        <v>1014</v>
      </c>
      <c r="F326" s="31">
        <v>6880</v>
      </c>
      <c r="G326" s="45" t="s">
        <v>1015</v>
      </c>
      <c r="H326" s="45"/>
      <c r="I326" s="26" t="s">
        <v>276</v>
      </c>
      <c r="J326" s="26" t="s">
        <v>7</v>
      </c>
    </row>
    <row r="327" spans="1:10" ht="33" x14ac:dyDescent="0.25">
      <c r="A327" s="1" t="s">
        <v>48</v>
      </c>
      <c r="B327" s="25" t="s">
        <v>1016</v>
      </c>
      <c r="C327" s="25" t="s">
        <v>1017</v>
      </c>
      <c r="D327" s="27" t="s">
        <v>1018</v>
      </c>
      <c r="E327" s="27" t="s">
        <v>1019</v>
      </c>
      <c r="F327" s="31">
        <v>4138</v>
      </c>
      <c r="G327" s="45" t="s">
        <v>1020</v>
      </c>
      <c r="H327" s="45"/>
      <c r="I327" s="26" t="s">
        <v>749</v>
      </c>
      <c r="J327" s="26" t="s">
        <v>7</v>
      </c>
    </row>
    <row r="328" spans="1:10" ht="33" x14ac:dyDescent="0.25">
      <c r="A328" s="1" t="s">
        <v>48</v>
      </c>
      <c r="B328" s="25" t="s">
        <v>1021</v>
      </c>
      <c r="C328" s="25" t="s">
        <v>1022</v>
      </c>
      <c r="D328" s="27" t="s">
        <v>1003</v>
      </c>
      <c r="E328" s="27" t="s">
        <v>1023</v>
      </c>
      <c r="F328" s="31">
        <v>8544</v>
      </c>
      <c r="G328" s="45" t="s">
        <v>1024</v>
      </c>
      <c r="H328" s="45"/>
      <c r="I328" s="26" t="s">
        <v>276</v>
      </c>
      <c r="J328" s="26" t="s">
        <v>7</v>
      </c>
    </row>
    <row r="329" spans="1:10" ht="33" x14ac:dyDescent="0.25">
      <c r="A329" s="1" t="s">
        <v>48</v>
      </c>
      <c r="B329" s="25" t="s">
        <v>1021</v>
      </c>
      <c r="C329" s="25" t="s">
        <v>1022</v>
      </c>
      <c r="D329" s="27" t="s">
        <v>985</v>
      </c>
      <c r="E329" s="27" t="s">
        <v>1025</v>
      </c>
      <c r="F329" s="31">
        <v>3652</v>
      </c>
      <c r="G329" s="45" t="s">
        <v>1026</v>
      </c>
      <c r="H329" s="45"/>
      <c r="I329" s="26" t="s">
        <v>276</v>
      </c>
      <c r="J329" s="26" t="s">
        <v>7</v>
      </c>
    </row>
    <row r="330" spans="1:10" x14ac:dyDescent="0.25">
      <c r="A330" s="1" t="s">
        <v>48</v>
      </c>
      <c r="B330" s="25" t="s">
        <v>1021</v>
      </c>
      <c r="C330" s="25" t="s">
        <v>1022</v>
      </c>
      <c r="D330" s="27" t="s">
        <v>563</v>
      </c>
      <c r="E330" s="27" t="s">
        <v>1027</v>
      </c>
      <c r="F330" s="31">
        <v>8400</v>
      </c>
      <c r="G330" s="45" t="s">
        <v>1028</v>
      </c>
      <c r="H330" s="45"/>
      <c r="I330" s="26" t="s">
        <v>276</v>
      </c>
      <c r="J330" s="26" t="s">
        <v>7</v>
      </c>
    </row>
    <row r="331" spans="1:10" x14ac:dyDescent="0.25">
      <c r="A331" s="1" t="s">
        <v>48</v>
      </c>
      <c r="B331" s="25" t="s">
        <v>1021</v>
      </c>
      <c r="C331" s="25" t="s">
        <v>1029</v>
      </c>
      <c r="D331" s="27" t="s">
        <v>402</v>
      </c>
      <c r="E331" s="27" t="s">
        <v>1030</v>
      </c>
      <c r="F331" s="31">
        <v>16518</v>
      </c>
      <c r="G331" s="45" t="s">
        <v>1031</v>
      </c>
      <c r="H331" s="45"/>
      <c r="I331" s="26" t="s">
        <v>171</v>
      </c>
      <c r="J331" s="26" t="s">
        <v>7</v>
      </c>
    </row>
    <row r="332" spans="1:10" ht="33" x14ac:dyDescent="0.25">
      <c r="A332" s="1" t="s">
        <v>48</v>
      </c>
      <c r="B332" s="25" t="s">
        <v>1032</v>
      </c>
      <c r="C332" s="25" t="s">
        <v>1033</v>
      </c>
      <c r="D332" s="27" t="s">
        <v>985</v>
      </c>
      <c r="E332" s="27" t="s">
        <v>1034</v>
      </c>
      <c r="F332" s="31">
        <v>4240</v>
      </c>
      <c r="G332" s="45" t="s">
        <v>1035</v>
      </c>
      <c r="H332" s="45"/>
      <c r="I332" s="26" t="s">
        <v>705</v>
      </c>
      <c r="J332" s="26" t="s">
        <v>7</v>
      </c>
    </row>
    <row r="333" spans="1:10" ht="33" x14ac:dyDescent="0.25">
      <c r="A333" s="1" t="s">
        <v>48</v>
      </c>
      <c r="B333" s="25" t="s">
        <v>1032</v>
      </c>
      <c r="C333" s="25" t="s">
        <v>1033</v>
      </c>
      <c r="D333" s="27" t="s">
        <v>1018</v>
      </c>
      <c r="E333" s="27" t="s">
        <v>1036</v>
      </c>
      <c r="F333" s="31">
        <v>3598</v>
      </c>
      <c r="G333" s="45" t="s">
        <v>1037</v>
      </c>
      <c r="H333" s="45"/>
      <c r="I333" s="26" t="s">
        <v>749</v>
      </c>
      <c r="J333" s="26" t="s">
        <v>7</v>
      </c>
    </row>
    <row r="334" spans="1:10" ht="33" x14ac:dyDescent="0.25">
      <c r="A334" s="1" t="s">
        <v>48</v>
      </c>
      <c r="B334" s="25" t="s">
        <v>1038</v>
      </c>
      <c r="C334" s="25" t="s">
        <v>1039</v>
      </c>
      <c r="D334" s="27" t="s">
        <v>985</v>
      </c>
      <c r="E334" s="27" t="s">
        <v>1040</v>
      </c>
      <c r="F334" s="31">
        <v>3942</v>
      </c>
      <c r="G334" s="45" t="s">
        <v>1041</v>
      </c>
      <c r="H334" s="45"/>
      <c r="I334" s="26" t="s">
        <v>271</v>
      </c>
      <c r="J334" s="26" t="s">
        <v>7</v>
      </c>
    </row>
    <row r="335" spans="1:10" ht="33" x14ac:dyDescent="0.25">
      <c r="A335" s="1" t="s">
        <v>48</v>
      </c>
      <c r="B335" s="25" t="s">
        <v>77</v>
      </c>
      <c r="C335" s="25" t="s">
        <v>1042</v>
      </c>
      <c r="D335" s="27" t="s">
        <v>1043</v>
      </c>
      <c r="E335" s="27" t="s">
        <v>1044</v>
      </c>
      <c r="F335" s="31">
        <v>98931</v>
      </c>
      <c r="G335" s="45" t="s">
        <v>1045</v>
      </c>
      <c r="H335" s="45"/>
      <c r="I335" s="26" t="s">
        <v>547</v>
      </c>
      <c r="J335" s="26" t="s">
        <v>7</v>
      </c>
    </row>
    <row r="336" spans="1:10" ht="33" x14ac:dyDescent="0.25">
      <c r="A336" s="1" t="s">
        <v>48</v>
      </c>
      <c r="B336" s="25" t="s">
        <v>1046</v>
      </c>
      <c r="C336" s="25" t="s">
        <v>1047</v>
      </c>
      <c r="D336" s="27" t="s">
        <v>985</v>
      </c>
      <c r="E336" s="27" t="s">
        <v>1048</v>
      </c>
      <c r="F336" s="31">
        <v>2270</v>
      </c>
      <c r="G336" s="45" t="s">
        <v>1049</v>
      </c>
      <c r="H336" s="45"/>
      <c r="I336" s="26" t="s">
        <v>1050</v>
      </c>
      <c r="J336" s="26" t="s">
        <v>7</v>
      </c>
    </row>
    <row r="337" spans="1:10" ht="33" x14ac:dyDescent="0.25">
      <c r="A337" s="1" t="s">
        <v>48</v>
      </c>
      <c r="B337" s="25" t="s">
        <v>1046</v>
      </c>
      <c r="C337" s="25" t="s">
        <v>1047</v>
      </c>
      <c r="D337" s="27" t="s">
        <v>985</v>
      </c>
      <c r="E337" s="27" t="s">
        <v>1051</v>
      </c>
      <c r="F337" s="31">
        <v>4750</v>
      </c>
      <c r="G337" s="45" t="s">
        <v>1052</v>
      </c>
      <c r="H337" s="45"/>
      <c r="I337" s="26" t="s">
        <v>86</v>
      </c>
      <c r="J337" s="26" t="s">
        <v>7</v>
      </c>
    </row>
    <row r="338" spans="1:10" x14ac:dyDescent="0.25">
      <c r="A338" s="1" t="s">
        <v>48</v>
      </c>
      <c r="B338" s="25" t="s">
        <v>1053</v>
      </c>
      <c r="C338" s="25" t="s">
        <v>1054</v>
      </c>
      <c r="D338" s="27" t="s">
        <v>402</v>
      </c>
      <c r="E338" s="27" t="s">
        <v>1055</v>
      </c>
      <c r="F338" s="31">
        <v>30140</v>
      </c>
      <c r="G338" s="45" t="s">
        <v>1056</v>
      </c>
      <c r="H338" s="45"/>
      <c r="I338" s="26" t="s">
        <v>171</v>
      </c>
      <c r="J338" s="26" t="s">
        <v>7</v>
      </c>
    </row>
    <row r="339" spans="1:10" ht="33" x14ac:dyDescent="0.25">
      <c r="A339" s="1" t="s">
        <v>48</v>
      </c>
      <c r="B339" s="25" t="s">
        <v>91</v>
      </c>
      <c r="C339" s="25" t="s">
        <v>1057</v>
      </c>
      <c r="D339" s="27" t="s">
        <v>985</v>
      </c>
      <c r="E339" s="27" t="s">
        <v>1058</v>
      </c>
      <c r="F339" s="31">
        <v>15000</v>
      </c>
      <c r="G339" s="45" t="s">
        <v>1059</v>
      </c>
      <c r="H339" s="45"/>
      <c r="I339" s="26" t="s">
        <v>276</v>
      </c>
      <c r="J339" s="26" t="s">
        <v>7</v>
      </c>
    </row>
    <row r="340" spans="1:10" ht="33" x14ac:dyDescent="0.25">
      <c r="A340" s="1" t="s">
        <v>48</v>
      </c>
      <c r="B340" s="25" t="s">
        <v>1060</v>
      </c>
      <c r="C340" s="25" t="s">
        <v>1061</v>
      </c>
      <c r="D340" s="27" t="s">
        <v>1003</v>
      </c>
      <c r="E340" s="27" t="s">
        <v>1062</v>
      </c>
      <c r="F340" s="31">
        <v>8800</v>
      </c>
      <c r="G340" s="45" t="s">
        <v>1063</v>
      </c>
      <c r="H340" s="45"/>
      <c r="I340" s="26" t="s">
        <v>276</v>
      </c>
      <c r="J340" s="26" t="s">
        <v>7</v>
      </c>
    </row>
    <row r="341" spans="1:10" ht="33" x14ac:dyDescent="0.25">
      <c r="A341" s="1" t="s">
        <v>48</v>
      </c>
      <c r="B341" s="25" t="s">
        <v>1060</v>
      </c>
      <c r="C341" s="25" t="s">
        <v>1061</v>
      </c>
      <c r="D341" s="27" t="s">
        <v>1018</v>
      </c>
      <c r="E341" s="27" t="s">
        <v>1064</v>
      </c>
      <c r="F341" s="31">
        <v>322</v>
      </c>
      <c r="G341" s="45" t="s">
        <v>1065</v>
      </c>
      <c r="H341" s="45"/>
      <c r="I341" s="26" t="s">
        <v>749</v>
      </c>
      <c r="J341" s="26" t="s">
        <v>7</v>
      </c>
    </row>
    <row r="342" spans="1:10" x14ac:dyDescent="0.25">
      <c r="A342" s="1" t="s">
        <v>48</v>
      </c>
      <c r="B342" s="25" t="s">
        <v>1066</v>
      </c>
      <c r="C342" s="25" t="s">
        <v>1067</v>
      </c>
      <c r="D342" s="27" t="s">
        <v>1068</v>
      </c>
      <c r="E342" s="27" t="s">
        <v>1069</v>
      </c>
      <c r="F342" s="31">
        <v>4038</v>
      </c>
      <c r="G342" s="45" t="s">
        <v>1070</v>
      </c>
      <c r="H342" s="45"/>
      <c r="I342" s="26" t="s">
        <v>76</v>
      </c>
      <c r="J342" s="26" t="s">
        <v>7</v>
      </c>
    </row>
    <row r="343" spans="1:10" ht="33" x14ac:dyDescent="0.25">
      <c r="A343" s="1" t="s">
        <v>48</v>
      </c>
      <c r="B343" s="25" t="s">
        <v>1071</v>
      </c>
      <c r="C343" s="25" t="s">
        <v>1072</v>
      </c>
      <c r="D343" s="27" t="s">
        <v>985</v>
      </c>
      <c r="E343" s="27" t="s">
        <v>1073</v>
      </c>
      <c r="F343" s="31">
        <v>2284</v>
      </c>
      <c r="G343" s="45" t="s">
        <v>1041</v>
      </c>
      <c r="H343" s="45"/>
      <c r="I343" s="26" t="s">
        <v>271</v>
      </c>
      <c r="J343" s="26" t="s">
        <v>7</v>
      </c>
    </row>
    <row r="344" spans="1:10" x14ac:dyDescent="0.25">
      <c r="A344" s="1" t="s">
        <v>48</v>
      </c>
      <c r="B344" s="25" t="s">
        <v>1074</v>
      </c>
      <c r="C344" s="25" t="s">
        <v>1075</v>
      </c>
      <c r="D344" s="27" t="s">
        <v>1076</v>
      </c>
      <c r="E344" s="27" t="s">
        <v>1077</v>
      </c>
      <c r="F344" s="31">
        <v>14400</v>
      </c>
      <c r="G344" s="45" t="s">
        <v>1078</v>
      </c>
      <c r="H344" s="45"/>
      <c r="I344" s="26" t="s">
        <v>276</v>
      </c>
      <c r="J344" s="26" t="s">
        <v>7</v>
      </c>
    </row>
    <row r="345" spans="1:10" x14ac:dyDescent="0.25">
      <c r="A345" s="1" t="s">
        <v>48</v>
      </c>
      <c r="B345" s="25" t="s">
        <v>1074</v>
      </c>
      <c r="C345" s="25" t="s">
        <v>1079</v>
      </c>
      <c r="D345" s="27" t="s">
        <v>1068</v>
      </c>
      <c r="E345" s="27" t="s">
        <v>1080</v>
      </c>
      <c r="F345" s="31">
        <v>61530</v>
      </c>
      <c r="G345" s="45" t="s">
        <v>1081</v>
      </c>
      <c r="H345" s="45"/>
      <c r="I345" s="26" t="s">
        <v>276</v>
      </c>
      <c r="J345" s="26" t="s">
        <v>7</v>
      </c>
    </row>
    <row r="346" spans="1:10" ht="33" x14ac:dyDescent="0.25">
      <c r="A346" s="1" t="s">
        <v>48</v>
      </c>
      <c r="B346" s="25" t="s">
        <v>1074</v>
      </c>
      <c r="C346" s="25" t="s">
        <v>1082</v>
      </c>
      <c r="D346" s="27" t="s">
        <v>1083</v>
      </c>
      <c r="E346" s="27" t="s">
        <v>1084</v>
      </c>
      <c r="F346" s="31">
        <v>35400</v>
      </c>
      <c r="G346" s="45" t="s">
        <v>1085</v>
      </c>
      <c r="H346" s="45"/>
      <c r="I346" s="26" t="s">
        <v>554</v>
      </c>
      <c r="J346" s="26" t="s">
        <v>7</v>
      </c>
    </row>
    <row r="347" spans="1:10" ht="33" x14ac:dyDescent="0.25">
      <c r="A347" s="1" t="s">
        <v>48</v>
      </c>
      <c r="B347" s="25" t="s">
        <v>104</v>
      </c>
      <c r="C347" s="25" t="s">
        <v>1086</v>
      </c>
      <c r="D347" s="27" t="s">
        <v>1018</v>
      </c>
      <c r="E347" s="27" t="s">
        <v>1087</v>
      </c>
      <c r="F347" s="31">
        <v>698</v>
      </c>
      <c r="G347" s="45" t="s">
        <v>1037</v>
      </c>
      <c r="H347" s="45"/>
      <c r="I347" s="26" t="s">
        <v>749</v>
      </c>
      <c r="J347" s="26" t="s">
        <v>7</v>
      </c>
    </row>
    <row r="348" spans="1:10" ht="33" x14ac:dyDescent="0.25">
      <c r="A348" s="1" t="s">
        <v>48</v>
      </c>
      <c r="B348" s="25" t="s">
        <v>104</v>
      </c>
      <c r="C348" s="25" t="s">
        <v>1086</v>
      </c>
      <c r="D348" s="27" t="s">
        <v>1088</v>
      </c>
      <c r="E348" s="27" t="s">
        <v>1089</v>
      </c>
      <c r="F348" s="31">
        <v>8000</v>
      </c>
      <c r="G348" s="45" t="s">
        <v>1090</v>
      </c>
      <c r="H348" s="45"/>
      <c r="I348" s="26" t="s">
        <v>547</v>
      </c>
      <c r="J348" s="26" t="s">
        <v>7</v>
      </c>
    </row>
    <row r="349" spans="1:10" x14ac:dyDescent="0.25">
      <c r="A349" s="1" t="s">
        <v>48</v>
      </c>
      <c r="B349" s="25" t="s">
        <v>104</v>
      </c>
      <c r="C349" s="25" t="s">
        <v>1091</v>
      </c>
      <c r="D349" s="27" t="s">
        <v>1092</v>
      </c>
      <c r="E349" s="27" t="s">
        <v>1093</v>
      </c>
      <c r="F349" s="31">
        <v>124</v>
      </c>
      <c r="G349" s="45" t="s">
        <v>1094</v>
      </c>
      <c r="H349" s="45"/>
      <c r="I349" s="26" t="s">
        <v>276</v>
      </c>
      <c r="J349" s="26" t="s">
        <v>7</v>
      </c>
    </row>
    <row r="350" spans="1:10" ht="33" x14ac:dyDescent="0.25">
      <c r="A350" s="1" t="s">
        <v>48</v>
      </c>
      <c r="B350" s="25" t="s">
        <v>104</v>
      </c>
      <c r="C350" s="25" t="s">
        <v>1091</v>
      </c>
      <c r="D350" s="27" t="s">
        <v>985</v>
      </c>
      <c r="E350" s="27" t="s">
        <v>1093</v>
      </c>
      <c r="F350" s="31">
        <v>7401</v>
      </c>
      <c r="G350" s="45" t="s">
        <v>1094</v>
      </c>
      <c r="H350" s="45"/>
      <c r="I350" s="26" t="s">
        <v>276</v>
      </c>
      <c r="J350" s="26" t="s">
        <v>7</v>
      </c>
    </row>
    <row r="351" spans="1:10" ht="33" x14ac:dyDescent="0.25">
      <c r="A351" s="1" t="s">
        <v>48</v>
      </c>
      <c r="B351" s="25" t="s">
        <v>104</v>
      </c>
      <c r="C351" s="25" t="s">
        <v>1095</v>
      </c>
      <c r="D351" s="27" t="s">
        <v>1083</v>
      </c>
      <c r="E351" s="27" t="s">
        <v>1096</v>
      </c>
      <c r="F351" s="31">
        <v>3600</v>
      </c>
      <c r="G351" s="45" t="s">
        <v>1097</v>
      </c>
      <c r="H351" s="45"/>
      <c r="I351" s="26" t="s">
        <v>266</v>
      </c>
      <c r="J351" s="26" t="s">
        <v>7</v>
      </c>
    </row>
    <row r="352" spans="1:10" ht="49.5" x14ac:dyDescent="0.25">
      <c r="A352" s="1" t="s">
        <v>48</v>
      </c>
      <c r="B352" s="25" t="s">
        <v>1098</v>
      </c>
      <c r="C352" s="25" t="s">
        <v>1099</v>
      </c>
      <c r="D352" s="27" t="s">
        <v>1100</v>
      </c>
      <c r="E352" s="27" t="s">
        <v>1101</v>
      </c>
      <c r="F352" s="31">
        <v>13500</v>
      </c>
      <c r="G352" s="45" t="s">
        <v>1102</v>
      </c>
      <c r="H352" s="45"/>
      <c r="I352" s="26" t="s">
        <v>798</v>
      </c>
      <c r="J352" s="26" t="s">
        <v>7</v>
      </c>
    </row>
    <row r="353" spans="1:10" ht="33" x14ac:dyDescent="0.25">
      <c r="A353" s="1" t="s">
        <v>48</v>
      </c>
      <c r="B353" s="25" t="s">
        <v>1098</v>
      </c>
      <c r="C353" s="25" t="s">
        <v>1103</v>
      </c>
      <c r="D353" s="27" t="s">
        <v>1018</v>
      </c>
      <c r="E353" s="27" t="s">
        <v>1104</v>
      </c>
      <c r="F353" s="31">
        <v>637</v>
      </c>
      <c r="G353" s="45" t="s">
        <v>1105</v>
      </c>
      <c r="H353" s="45"/>
      <c r="I353" s="26" t="s">
        <v>271</v>
      </c>
      <c r="J353" s="26" t="s">
        <v>7</v>
      </c>
    </row>
    <row r="354" spans="1:10" ht="33" x14ac:dyDescent="0.25">
      <c r="A354" s="1" t="s">
        <v>48</v>
      </c>
      <c r="B354" s="25" t="s">
        <v>1098</v>
      </c>
      <c r="C354" s="25" t="s">
        <v>1103</v>
      </c>
      <c r="D354" s="27" t="s">
        <v>1018</v>
      </c>
      <c r="E354" s="27" t="s">
        <v>1106</v>
      </c>
      <c r="F354" s="31">
        <v>640</v>
      </c>
      <c r="G354" s="45" t="s">
        <v>1107</v>
      </c>
      <c r="H354" s="45"/>
      <c r="I354" s="26" t="s">
        <v>271</v>
      </c>
      <c r="J354" s="26" t="s">
        <v>7</v>
      </c>
    </row>
    <row r="355" spans="1:10" x14ac:dyDescent="0.25">
      <c r="A355" s="1" t="s">
        <v>48</v>
      </c>
      <c r="B355" s="25" t="s">
        <v>1098</v>
      </c>
      <c r="C355" s="25" t="s">
        <v>1108</v>
      </c>
      <c r="D355" s="27" t="s">
        <v>563</v>
      </c>
      <c r="E355" s="27" t="s">
        <v>1109</v>
      </c>
      <c r="F355" s="31">
        <v>3690</v>
      </c>
      <c r="G355" s="45" t="s">
        <v>1110</v>
      </c>
      <c r="H355" s="45"/>
      <c r="I355" s="26" t="s">
        <v>82</v>
      </c>
      <c r="J355" s="26" t="s">
        <v>7</v>
      </c>
    </row>
    <row r="356" spans="1:10" x14ac:dyDescent="0.25">
      <c r="A356" s="1" t="s">
        <v>48</v>
      </c>
      <c r="B356" s="25" t="s">
        <v>1098</v>
      </c>
      <c r="C356" s="25" t="s">
        <v>1111</v>
      </c>
      <c r="D356" s="27" t="s">
        <v>1112</v>
      </c>
      <c r="E356" s="27" t="s">
        <v>1113</v>
      </c>
      <c r="F356" s="31">
        <v>700</v>
      </c>
      <c r="G356" s="45" t="s">
        <v>1114</v>
      </c>
      <c r="H356" s="45"/>
      <c r="I356" s="26" t="s">
        <v>82</v>
      </c>
      <c r="J356" s="26" t="s">
        <v>7</v>
      </c>
    </row>
    <row r="357" spans="1:10" ht="33" x14ac:dyDescent="0.25">
      <c r="A357" s="1" t="s">
        <v>48</v>
      </c>
      <c r="B357" s="25" t="s">
        <v>1098</v>
      </c>
      <c r="C357" s="25" t="s">
        <v>1111</v>
      </c>
      <c r="D357" s="27" t="s">
        <v>1115</v>
      </c>
      <c r="E357" s="27" t="s">
        <v>1113</v>
      </c>
      <c r="F357" s="31">
        <v>455</v>
      </c>
      <c r="G357" s="45" t="s">
        <v>1114</v>
      </c>
      <c r="H357" s="45"/>
      <c r="I357" s="26" t="s">
        <v>82</v>
      </c>
      <c r="J357" s="26" t="s">
        <v>7</v>
      </c>
    </row>
    <row r="358" spans="1:10" x14ac:dyDescent="0.25">
      <c r="A358" s="1" t="s">
        <v>48</v>
      </c>
      <c r="B358" s="25" t="s">
        <v>1098</v>
      </c>
      <c r="C358" s="25" t="s">
        <v>1111</v>
      </c>
      <c r="D358" s="27" t="s">
        <v>1116</v>
      </c>
      <c r="E358" s="27" t="s">
        <v>1117</v>
      </c>
      <c r="F358" s="31">
        <v>3150</v>
      </c>
      <c r="G358" s="45" t="s">
        <v>1118</v>
      </c>
      <c r="H358" s="45"/>
      <c r="I358" s="26" t="s">
        <v>82</v>
      </c>
      <c r="J358" s="26" t="s">
        <v>7</v>
      </c>
    </row>
    <row r="359" spans="1:10" ht="33" x14ac:dyDescent="0.25">
      <c r="A359" s="1" t="s">
        <v>48</v>
      </c>
      <c r="B359" s="25" t="s">
        <v>1098</v>
      </c>
      <c r="C359" s="25" t="s">
        <v>1111</v>
      </c>
      <c r="D359" s="27" t="s">
        <v>985</v>
      </c>
      <c r="E359" s="27" t="s">
        <v>1119</v>
      </c>
      <c r="F359" s="31">
        <v>350</v>
      </c>
      <c r="G359" s="45" t="s">
        <v>1120</v>
      </c>
      <c r="H359" s="45"/>
      <c r="I359" s="26" t="s">
        <v>1121</v>
      </c>
      <c r="J359" s="26" t="s">
        <v>7</v>
      </c>
    </row>
    <row r="360" spans="1:10" ht="33" x14ac:dyDescent="0.25">
      <c r="A360" s="1" t="s">
        <v>48</v>
      </c>
      <c r="B360" s="25" t="s">
        <v>114</v>
      </c>
      <c r="C360" s="25" t="s">
        <v>1122</v>
      </c>
      <c r="D360" s="27" t="s">
        <v>1043</v>
      </c>
      <c r="E360" s="27" t="s">
        <v>1123</v>
      </c>
      <c r="F360" s="31">
        <v>26000</v>
      </c>
      <c r="G360" s="45" t="s">
        <v>1124</v>
      </c>
      <c r="H360" s="45"/>
      <c r="I360" s="26" t="s">
        <v>86</v>
      </c>
      <c r="J360" s="26" t="s">
        <v>7</v>
      </c>
    </row>
    <row r="361" spans="1:10" ht="33" x14ac:dyDescent="0.25">
      <c r="A361" s="1" t="s">
        <v>48</v>
      </c>
      <c r="B361" s="25" t="s">
        <v>114</v>
      </c>
      <c r="C361" s="25" t="s">
        <v>1125</v>
      </c>
      <c r="D361" s="27" t="s">
        <v>985</v>
      </c>
      <c r="E361" s="27" t="s">
        <v>1126</v>
      </c>
      <c r="F361" s="31">
        <v>102446</v>
      </c>
      <c r="G361" s="45" t="s">
        <v>1127</v>
      </c>
      <c r="H361" s="45"/>
      <c r="I361" s="26" t="s">
        <v>7</v>
      </c>
      <c r="J361" s="26" t="s">
        <v>7</v>
      </c>
    </row>
    <row r="362" spans="1:10" ht="33" x14ac:dyDescent="0.25">
      <c r="A362" s="1" t="s">
        <v>48</v>
      </c>
      <c r="B362" s="25" t="s">
        <v>114</v>
      </c>
      <c r="C362" s="25" t="s">
        <v>1128</v>
      </c>
      <c r="D362" s="27" t="s">
        <v>1115</v>
      </c>
      <c r="E362" s="27" t="s">
        <v>1129</v>
      </c>
      <c r="F362" s="31">
        <v>12730</v>
      </c>
      <c r="G362" s="45" t="s">
        <v>1130</v>
      </c>
      <c r="H362" s="45"/>
      <c r="I362" s="26" t="s">
        <v>1131</v>
      </c>
      <c r="J362" s="26" t="s">
        <v>7</v>
      </c>
    </row>
    <row r="363" spans="1:10" ht="33" x14ac:dyDescent="0.25">
      <c r="A363" s="1" t="s">
        <v>48</v>
      </c>
      <c r="B363" s="25" t="s">
        <v>114</v>
      </c>
      <c r="C363" s="25" t="s">
        <v>1132</v>
      </c>
      <c r="D363" s="27" t="s">
        <v>1003</v>
      </c>
      <c r="E363" s="27" t="s">
        <v>1133</v>
      </c>
      <c r="F363" s="31">
        <v>15000</v>
      </c>
      <c r="G363" s="45" t="s">
        <v>1134</v>
      </c>
      <c r="H363" s="45"/>
      <c r="I363" s="26" t="s">
        <v>276</v>
      </c>
      <c r="J363" s="26" t="s">
        <v>7</v>
      </c>
    </row>
    <row r="364" spans="1:10" x14ac:dyDescent="0.25">
      <c r="A364" s="1" t="s">
        <v>48</v>
      </c>
      <c r="B364" s="25" t="s">
        <v>114</v>
      </c>
      <c r="C364" s="25" t="s">
        <v>1135</v>
      </c>
      <c r="D364" s="27" t="s">
        <v>402</v>
      </c>
      <c r="E364" s="27" t="s">
        <v>1136</v>
      </c>
      <c r="F364" s="31">
        <v>8259</v>
      </c>
      <c r="G364" s="45" t="s">
        <v>1137</v>
      </c>
      <c r="H364" s="45"/>
      <c r="I364" s="26" t="s">
        <v>171</v>
      </c>
      <c r="J364" s="26" t="s">
        <v>7</v>
      </c>
    </row>
    <row r="365" spans="1:10" ht="49.5" x14ac:dyDescent="0.25">
      <c r="A365" s="1" t="s">
        <v>48</v>
      </c>
      <c r="B365" s="25" t="s">
        <v>114</v>
      </c>
      <c r="C365" s="25" t="s">
        <v>1138</v>
      </c>
      <c r="D365" s="27" t="s">
        <v>1100</v>
      </c>
      <c r="E365" s="27" t="s">
        <v>1139</v>
      </c>
      <c r="F365" s="31">
        <v>4084</v>
      </c>
      <c r="G365" s="45" t="s">
        <v>1140</v>
      </c>
      <c r="H365" s="45"/>
      <c r="I365" s="26" t="s">
        <v>82</v>
      </c>
      <c r="J365" s="26" t="s">
        <v>7</v>
      </c>
    </row>
    <row r="366" spans="1:10" ht="33" x14ac:dyDescent="0.25">
      <c r="A366" s="1" t="s">
        <v>48</v>
      </c>
      <c r="B366" s="25" t="s">
        <v>134</v>
      </c>
      <c r="C366" s="25" t="s">
        <v>1141</v>
      </c>
      <c r="D366" s="27" t="s">
        <v>1142</v>
      </c>
      <c r="E366" s="27" t="s">
        <v>1143</v>
      </c>
      <c r="F366" s="31">
        <v>6000</v>
      </c>
      <c r="G366" s="45" t="s">
        <v>1144</v>
      </c>
      <c r="H366" s="45"/>
      <c r="I366" s="26" t="s">
        <v>276</v>
      </c>
      <c r="J366" s="26" t="s">
        <v>7</v>
      </c>
    </row>
    <row r="367" spans="1:10" ht="33" x14ac:dyDescent="0.25">
      <c r="A367" s="1" t="s">
        <v>48</v>
      </c>
      <c r="B367" s="25" t="s">
        <v>134</v>
      </c>
      <c r="C367" s="25" t="s">
        <v>1141</v>
      </c>
      <c r="D367" s="27" t="s">
        <v>1115</v>
      </c>
      <c r="E367" s="27" t="s">
        <v>1145</v>
      </c>
      <c r="F367" s="31">
        <v>360</v>
      </c>
      <c r="G367" s="45" t="s">
        <v>1146</v>
      </c>
      <c r="H367" s="45"/>
      <c r="I367" s="26" t="s">
        <v>276</v>
      </c>
      <c r="J367" s="26" t="s">
        <v>7</v>
      </c>
    </row>
    <row r="368" spans="1:10" ht="33" x14ac:dyDescent="0.25">
      <c r="A368" s="1" t="s">
        <v>48</v>
      </c>
      <c r="B368" s="25" t="s">
        <v>134</v>
      </c>
      <c r="C368" s="25" t="s">
        <v>1141</v>
      </c>
      <c r="D368" s="27" t="s">
        <v>985</v>
      </c>
      <c r="E368" s="27" t="s">
        <v>1145</v>
      </c>
      <c r="F368" s="31">
        <v>3057</v>
      </c>
      <c r="G368" s="45" t="s">
        <v>1146</v>
      </c>
      <c r="H368" s="45"/>
      <c r="I368" s="26" t="s">
        <v>276</v>
      </c>
      <c r="J368" s="26" t="s">
        <v>7</v>
      </c>
    </row>
    <row r="369" spans="1:10" x14ac:dyDescent="0.25">
      <c r="A369" s="1" t="s">
        <v>48</v>
      </c>
      <c r="B369" s="25" t="s">
        <v>134</v>
      </c>
      <c r="C369" s="25" t="s">
        <v>1141</v>
      </c>
      <c r="D369" s="27" t="s">
        <v>563</v>
      </c>
      <c r="E369" s="27" t="s">
        <v>1147</v>
      </c>
      <c r="F369" s="31">
        <v>720</v>
      </c>
      <c r="G369" s="45" t="s">
        <v>1148</v>
      </c>
      <c r="H369" s="45"/>
      <c r="I369" s="26" t="s">
        <v>86</v>
      </c>
      <c r="J369" s="26" t="s">
        <v>7</v>
      </c>
    </row>
    <row r="370" spans="1:10" ht="33" x14ac:dyDescent="0.25">
      <c r="A370" s="1" t="s">
        <v>48</v>
      </c>
      <c r="B370" s="25" t="s">
        <v>134</v>
      </c>
      <c r="C370" s="25" t="s">
        <v>1149</v>
      </c>
      <c r="D370" s="27" t="s">
        <v>1150</v>
      </c>
      <c r="E370" s="27" t="s">
        <v>1151</v>
      </c>
      <c r="F370" s="31">
        <v>2920</v>
      </c>
      <c r="G370" s="45" t="s">
        <v>1152</v>
      </c>
      <c r="H370" s="45"/>
      <c r="I370" s="26" t="s">
        <v>86</v>
      </c>
      <c r="J370" s="26" t="s">
        <v>7</v>
      </c>
    </row>
    <row r="371" spans="1:10" x14ac:dyDescent="0.25">
      <c r="A371" s="1" t="s">
        <v>48</v>
      </c>
      <c r="B371" s="25" t="s">
        <v>142</v>
      </c>
      <c r="C371" s="25" t="s">
        <v>1153</v>
      </c>
      <c r="D371" s="27" t="s">
        <v>1076</v>
      </c>
      <c r="E371" s="27" t="s">
        <v>1154</v>
      </c>
      <c r="F371" s="31">
        <v>31500</v>
      </c>
      <c r="G371" s="45" t="s">
        <v>1155</v>
      </c>
      <c r="H371" s="45"/>
      <c r="I371" s="26" t="s">
        <v>276</v>
      </c>
      <c r="J371" s="26" t="s">
        <v>7</v>
      </c>
    </row>
    <row r="372" spans="1:10" ht="33" x14ac:dyDescent="0.25">
      <c r="A372" s="1" t="s">
        <v>48</v>
      </c>
      <c r="B372" s="25" t="s">
        <v>142</v>
      </c>
      <c r="C372" s="25" t="s">
        <v>1156</v>
      </c>
      <c r="D372" s="27" t="s">
        <v>985</v>
      </c>
      <c r="E372" s="27" t="s">
        <v>1157</v>
      </c>
      <c r="F372" s="31">
        <v>15900</v>
      </c>
      <c r="G372" s="45" t="s">
        <v>1158</v>
      </c>
      <c r="H372" s="45"/>
      <c r="I372" s="26" t="s">
        <v>276</v>
      </c>
      <c r="J372" s="26" t="s">
        <v>7</v>
      </c>
    </row>
    <row r="373" spans="1:10" ht="33" x14ac:dyDescent="0.25">
      <c r="A373" s="1" t="s">
        <v>48</v>
      </c>
      <c r="B373" s="25" t="s">
        <v>142</v>
      </c>
      <c r="C373" s="25" t="s">
        <v>1159</v>
      </c>
      <c r="D373" s="27" t="s">
        <v>985</v>
      </c>
      <c r="E373" s="27" t="s">
        <v>1160</v>
      </c>
      <c r="F373" s="31">
        <v>16760</v>
      </c>
      <c r="G373" s="45" t="s">
        <v>1161</v>
      </c>
      <c r="H373" s="45"/>
      <c r="I373" s="26" t="s">
        <v>276</v>
      </c>
      <c r="J373" s="26" t="s">
        <v>7</v>
      </c>
    </row>
    <row r="374" spans="1:10" x14ac:dyDescent="0.25">
      <c r="A374" s="1" t="s">
        <v>48</v>
      </c>
      <c r="B374" s="25" t="s">
        <v>142</v>
      </c>
      <c r="C374" s="25" t="s">
        <v>1162</v>
      </c>
      <c r="D374" s="27" t="s">
        <v>563</v>
      </c>
      <c r="E374" s="27" t="s">
        <v>1163</v>
      </c>
      <c r="F374" s="31">
        <v>3150</v>
      </c>
      <c r="G374" s="45" t="s">
        <v>1164</v>
      </c>
      <c r="H374" s="45"/>
      <c r="I374" s="26" t="s">
        <v>82</v>
      </c>
      <c r="J374" s="26" t="s">
        <v>7</v>
      </c>
    </row>
    <row r="375" spans="1:10" ht="33" x14ac:dyDescent="0.25">
      <c r="A375" s="1" t="s">
        <v>48</v>
      </c>
      <c r="B375" s="25" t="s">
        <v>142</v>
      </c>
      <c r="C375" s="25" t="s">
        <v>1165</v>
      </c>
      <c r="D375" s="27" t="s">
        <v>1166</v>
      </c>
      <c r="E375" s="27" t="s">
        <v>1167</v>
      </c>
      <c r="F375" s="31">
        <v>3990</v>
      </c>
      <c r="G375" s="45" t="s">
        <v>1168</v>
      </c>
      <c r="H375" s="45"/>
      <c r="I375" s="26" t="s">
        <v>1169</v>
      </c>
      <c r="J375" s="26" t="s">
        <v>7</v>
      </c>
    </row>
    <row r="376" spans="1:10" ht="49.5" x14ac:dyDescent="0.25">
      <c r="A376" s="1" t="s">
        <v>48</v>
      </c>
      <c r="B376" s="25" t="s">
        <v>142</v>
      </c>
      <c r="C376" s="25" t="s">
        <v>1170</v>
      </c>
      <c r="D376" s="27" t="s">
        <v>1100</v>
      </c>
      <c r="E376" s="27" t="s">
        <v>1171</v>
      </c>
      <c r="F376" s="31">
        <v>2042</v>
      </c>
      <c r="G376" s="45" t="s">
        <v>1172</v>
      </c>
      <c r="H376" s="45"/>
      <c r="I376" s="26" t="s">
        <v>86</v>
      </c>
      <c r="J376" s="26" t="s">
        <v>7</v>
      </c>
    </row>
    <row r="377" spans="1:10" ht="33" x14ac:dyDescent="0.25">
      <c r="A377" s="1" t="s">
        <v>48</v>
      </c>
      <c r="B377" s="25" t="s">
        <v>150</v>
      </c>
      <c r="C377" s="25" t="s">
        <v>1173</v>
      </c>
      <c r="D377" s="27" t="s">
        <v>1115</v>
      </c>
      <c r="E377" s="27" t="s">
        <v>1174</v>
      </c>
      <c r="F377" s="31">
        <v>80</v>
      </c>
      <c r="G377" s="45" t="s">
        <v>1175</v>
      </c>
      <c r="H377" s="45"/>
      <c r="I377" s="26" t="s">
        <v>271</v>
      </c>
      <c r="J377" s="26" t="s">
        <v>7</v>
      </c>
    </row>
    <row r="378" spans="1:10" ht="33" x14ac:dyDescent="0.25">
      <c r="A378" s="1" t="s">
        <v>48</v>
      </c>
      <c r="B378" s="25" t="s">
        <v>1176</v>
      </c>
      <c r="C378" s="25" t="s">
        <v>1177</v>
      </c>
      <c r="D378" s="27" t="s">
        <v>1150</v>
      </c>
      <c r="E378" s="27" t="s">
        <v>1178</v>
      </c>
      <c r="F378" s="31">
        <v>2980</v>
      </c>
      <c r="G378" s="45" t="s">
        <v>1179</v>
      </c>
      <c r="H378" s="45"/>
      <c r="I378" s="26" t="s">
        <v>213</v>
      </c>
      <c r="J378" s="26" t="s">
        <v>7</v>
      </c>
    </row>
    <row r="379" spans="1:10" x14ac:dyDescent="0.25">
      <c r="A379" s="1" t="s">
        <v>48</v>
      </c>
      <c r="B379" s="25" t="s">
        <v>1176</v>
      </c>
      <c r="C379" s="25" t="s">
        <v>1180</v>
      </c>
      <c r="D379" s="27" t="s">
        <v>1068</v>
      </c>
      <c r="E379" s="27" t="s">
        <v>1181</v>
      </c>
      <c r="F379" s="31">
        <v>18415</v>
      </c>
      <c r="G379" s="45" t="s">
        <v>1182</v>
      </c>
      <c r="H379" s="45"/>
      <c r="I379" s="26" t="s">
        <v>364</v>
      </c>
      <c r="J379" s="26" t="s">
        <v>7</v>
      </c>
    </row>
    <row r="380" spans="1:10" ht="49.5" x14ac:dyDescent="0.25">
      <c r="A380" s="1" t="s">
        <v>48</v>
      </c>
      <c r="B380" s="25" t="s">
        <v>167</v>
      </c>
      <c r="C380" s="25" t="s">
        <v>1183</v>
      </c>
      <c r="D380" s="27" t="s">
        <v>1100</v>
      </c>
      <c r="E380" s="27" t="s">
        <v>1184</v>
      </c>
      <c r="F380" s="31">
        <v>6127</v>
      </c>
      <c r="G380" s="45" t="s">
        <v>1185</v>
      </c>
      <c r="H380" s="45"/>
      <c r="I380" s="26" t="s">
        <v>213</v>
      </c>
      <c r="J380" s="26" t="s">
        <v>7</v>
      </c>
    </row>
    <row r="381" spans="1:10" x14ac:dyDescent="0.25">
      <c r="A381" s="1" t="s">
        <v>48</v>
      </c>
      <c r="B381" s="25" t="s">
        <v>172</v>
      </c>
      <c r="C381" s="25" t="s">
        <v>1186</v>
      </c>
      <c r="D381" s="27" t="s">
        <v>1076</v>
      </c>
      <c r="E381" s="27" t="s">
        <v>1187</v>
      </c>
      <c r="F381" s="31">
        <v>71454</v>
      </c>
      <c r="G381" s="45" t="s">
        <v>1188</v>
      </c>
      <c r="H381" s="45"/>
      <c r="I381" s="26" t="s">
        <v>237</v>
      </c>
      <c r="J381" s="26" t="s">
        <v>7</v>
      </c>
    </row>
    <row r="382" spans="1:10" x14ac:dyDescent="0.25">
      <c r="A382" s="1" t="s">
        <v>48</v>
      </c>
      <c r="B382" s="25" t="s">
        <v>176</v>
      </c>
      <c r="C382" s="25" t="s">
        <v>1189</v>
      </c>
      <c r="D382" s="27" t="s">
        <v>402</v>
      </c>
      <c r="E382" s="27" t="s">
        <v>1190</v>
      </c>
      <c r="F382" s="31">
        <v>37366</v>
      </c>
      <c r="G382" s="45" t="s">
        <v>1191</v>
      </c>
      <c r="H382" s="45"/>
      <c r="I382" s="26" t="s">
        <v>100</v>
      </c>
      <c r="J382" s="26" t="s">
        <v>7</v>
      </c>
    </row>
    <row r="383" spans="1:10" ht="33" x14ac:dyDescent="0.25">
      <c r="A383" s="1" t="s">
        <v>48</v>
      </c>
      <c r="B383" s="25" t="s">
        <v>185</v>
      </c>
      <c r="C383" s="25" t="s">
        <v>1192</v>
      </c>
      <c r="D383" s="27" t="s">
        <v>1003</v>
      </c>
      <c r="E383" s="27" t="s">
        <v>1193</v>
      </c>
      <c r="F383" s="31">
        <v>22050</v>
      </c>
      <c r="G383" s="45" t="s">
        <v>1194</v>
      </c>
      <c r="H383" s="45"/>
      <c r="I383" s="26" t="s">
        <v>1169</v>
      </c>
      <c r="J383" s="26" t="s">
        <v>7</v>
      </c>
    </row>
    <row r="384" spans="1:10" ht="33" x14ac:dyDescent="0.25">
      <c r="A384" s="1" t="s">
        <v>48</v>
      </c>
      <c r="B384" s="25" t="s">
        <v>197</v>
      </c>
      <c r="C384" s="25" t="s">
        <v>1195</v>
      </c>
      <c r="D384" s="27" t="s">
        <v>985</v>
      </c>
      <c r="E384" s="27" t="s">
        <v>1196</v>
      </c>
      <c r="F384" s="31">
        <v>1004</v>
      </c>
      <c r="G384" s="45" t="s">
        <v>1197</v>
      </c>
      <c r="H384" s="45"/>
      <c r="I384" s="26" t="s">
        <v>1198</v>
      </c>
      <c r="J384" s="26" t="s">
        <v>7</v>
      </c>
    </row>
    <row r="385" spans="1:10" ht="33" x14ac:dyDescent="0.25">
      <c r="A385" s="1" t="s">
        <v>48</v>
      </c>
      <c r="B385" s="25" t="s">
        <v>197</v>
      </c>
      <c r="C385" s="25" t="s">
        <v>1195</v>
      </c>
      <c r="D385" s="27" t="s">
        <v>1115</v>
      </c>
      <c r="E385" s="27" t="s">
        <v>1199</v>
      </c>
      <c r="F385" s="31">
        <v>50</v>
      </c>
      <c r="G385" s="45" t="s">
        <v>1200</v>
      </c>
      <c r="H385" s="45"/>
      <c r="I385" s="26" t="s">
        <v>1121</v>
      </c>
      <c r="J385" s="26" t="s">
        <v>7</v>
      </c>
    </row>
    <row r="386" spans="1:10" ht="33" x14ac:dyDescent="0.25">
      <c r="A386" s="1" t="s">
        <v>48</v>
      </c>
      <c r="B386" s="25" t="s">
        <v>197</v>
      </c>
      <c r="C386" s="25" t="s">
        <v>1201</v>
      </c>
      <c r="D386" s="27" t="s">
        <v>563</v>
      </c>
      <c r="E386" s="27" t="s">
        <v>1202</v>
      </c>
      <c r="F386" s="31">
        <v>1400</v>
      </c>
      <c r="G386" s="45" t="s">
        <v>1203</v>
      </c>
      <c r="H386" s="45"/>
      <c r="I386" s="26" t="s">
        <v>547</v>
      </c>
      <c r="J386" s="26" t="s">
        <v>7</v>
      </c>
    </row>
    <row r="387" spans="1:10" ht="33" x14ac:dyDescent="0.25">
      <c r="A387" s="1" t="s">
        <v>48</v>
      </c>
      <c r="B387" s="25" t="s">
        <v>197</v>
      </c>
      <c r="C387" s="25" t="s">
        <v>1201</v>
      </c>
      <c r="D387" s="27" t="s">
        <v>1115</v>
      </c>
      <c r="E387" s="27" t="s">
        <v>1204</v>
      </c>
      <c r="F387" s="31">
        <v>4500</v>
      </c>
      <c r="G387" s="45" t="s">
        <v>1205</v>
      </c>
      <c r="H387" s="45"/>
      <c r="I387" s="26" t="s">
        <v>133</v>
      </c>
      <c r="J387" s="26" t="s">
        <v>7</v>
      </c>
    </row>
    <row r="388" spans="1:10" ht="49.5" x14ac:dyDescent="0.25">
      <c r="A388" s="1" t="s">
        <v>48</v>
      </c>
      <c r="B388" s="25" t="s">
        <v>197</v>
      </c>
      <c r="C388" s="25" t="s">
        <v>1206</v>
      </c>
      <c r="D388" s="27" t="s">
        <v>1100</v>
      </c>
      <c r="E388" s="27" t="s">
        <v>1207</v>
      </c>
      <c r="F388" s="31">
        <v>4084</v>
      </c>
      <c r="G388" s="45" t="s">
        <v>1208</v>
      </c>
      <c r="H388" s="45"/>
      <c r="I388" s="26" t="s">
        <v>133</v>
      </c>
      <c r="J388" s="26" t="s">
        <v>7</v>
      </c>
    </row>
    <row r="389" spans="1:10" ht="49.5" x14ac:dyDescent="0.25">
      <c r="A389" s="1" t="s">
        <v>48</v>
      </c>
      <c r="B389" s="25" t="s">
        <v>197</v>
      </c>
      <c r="C389" s="25" t="s">
        <v>1206</v>
      </c>
      <c r="D389" s="27" t="s">
        <v>1100</v>
      </c>
      <c r="E389" s="27" t="s">
        <v>1209</v>
      </c>
      <c r="F389" s="31">
        <v>2000</v>
      </c>
      <c r="G389" s="45" t="s">
        <v>1210</v>
      </c>
      <c r="H389" s="45"/>
      <c r="I389" s="26" t="s">
        <v>103</v>
      </c>
      <c r="J389" s="26" t="s">
        <v>7</v>
      </c>
    </row>
    <row r="390" spans="1:10" x14ac:dyDescent="0.25">
      <c r="A390" s="1" t="s">
        <v>22</v>
      </c>
      <c r="B390" s="25" t="s">
        <v>201</v>
      </c>
      <c r="C390" s="25" t="s">
        <v>69</v>
      </c>
      <c r="D390" s="27" t="s">
        <v>7</v>
      </c>
      <c r="E390" s="27" t="s">
        <v>202</v>
      </c>
      <c r="F390" s="31">
        <v>44500</v>
      </c>
      <c r="G390" s="45" t="s">
        <v>203</v>
      </c>
      <c r="H390" s="45"/>
      <c r="I390" s="26" t="s">
        <v>204</v>
      </c>
      <c r="J390" s="26" t="s">
        <v>7</v>
      </c>
    </row>
    <row r="391" spans="1:10" ht="33" x14ac:dyDescent="0.25">
      <c r="A391" s="1" t="s">
        <v>48</v>
      </c>
      <c r="B391" s="25" t="s">
        <v>209</v>
      </c>
      <c r="C391" s="25" t="s">
        <v>1211</v>
      </c>
      <c r="D391" s="27" t="s">
        <v>985</v>
      </c>
      <c r="E391" s="27" t="s">
        <v>1212</v>
      </c>
      <c r="F391" s="31">
        <v>6870</v>
      </c>
      <c r="G391" s="45" t="s">
        <v>1213</v>
      </c>
      <c r="H391" s="45"/>
      <c r="I391" s="26" t="s">
        <v>1050</v>
      </c>
      <c r="J391" s="26" t="s">
        <v>7</v>
      </c>
    </row>
    <row r="392" spans="1:10" ht="33" x14ac:dyDescent="0.25">
      <c r="A392" s="1" t="s">
        <v>48</v>
      </c>
      <c r="B392" s="25" t="s">
        <v>221</v>
      </c>
      <c r="C392" s="25" t="s">
        <v>1214</v>
      </c>
      <c r="D392" s="27" t="s">
        <v>1003</v>
      </c>
      <c r="E392" s="27" t="s">
        <v>1215</v>
      </c>
      <c r="F392" s="31">
        <v>6260</v>
      </c>
      <c r="G392" s="45" t="s">
        <v>1216</v>
      </c>
      <c r="H392" s="45"/>
      <c r="I392" s="26" t="s">
        <v>276</v>
      </c>
      <c r="J392" s="26" t="s">
        <v>7</v>
      </c>
    </row>
    <row r="393" spans="1:10" ht="33" x14ac:dyDescent="0.25">
      <c r="A393" s="1" t="s">
        <v>48</v>
      </c>
      <c r="B393" s="25" t="s">
        <v>221</v>
      </c>
      <c r="C393" s="25" t="s">
        <v>1214</v>
      </c>
      <c r="D393" s="27" t="s">
        <v>985</v>
      </c>
      <c r="E393" s="27" t="s">
        <v>1217</v>
      </c>
      <c r="F393" s="31">
        <v>3722</v>
      </c>
      <c r="G393" s="45" t="s">
        <v>1218</v>
      </c>
      <c r="H393" s="45"/>
      <c r="I393" s="26" t="s">
        <v>276</v>
      </c>
      <c r="J393" s="26" t="s">
        <v>7</v>
      </c>
    </row>
    <row r="394" spans="1:10" ht="33" x14ac:dyDescent="0.25">
      <c r="A394" s="1" t="s">
        <v>48</v>
      </c>
      <c r="B394" s="25" t="s">
        <v>221</v>
      </c>
      <c r="C394" s="25" t="s">
        <v>1219</v>
      </c>
      <c r="D394" s="27" t="s">
        <v>985</v>
      </c>
      <c r="E394" s="27" t="s">
        <v>1220</v>
      </c>
      <c r="F394" s="31">
        <v>495</v>
      </c>
      <c r="G394" s="45" t="s">
        <v>1221</v>
      </c>
      <c r="H394" s="45"/>
      <c r="I394" s="26" t="s">
        <v>1169</v>
      </c>
      <c r="J394" s="26" t="s">
        <v>7</v>
      </c>
    </row>
    <row r="395" spans="1:10" ht="33" x14ac:dyDescent="0.25">
      <c r="A395" s="1" t="s">
        <v>48</v>
      </c>
      <c r="B395" s="25" t="s">
        <v>221</v>
      </c>
      <c r="C395" s="25" t="s">
        <v>1222</v>
      </c>
      <c r="D395" s="27" t="s">
        <v>1018</v>
      </c>
      <c r="E395" s="27" t="s">
        <v>1223</v>
      </c>
      <c r="F395" s="31">
        <v>636</v>
      </c>
      <c r="G395" s="45" t="s">
        <v>1224</v>
      </c>
      <c r="H395" s="45"/>
      <c r="I395" s="26" t="s">
        <v>271</v>
      </c>
      <c r="J395" s="26" t="s">
        <v>7</v>
      </c>
    </row>
    <row r="396" spans="1:10" ht="33" x14ac:dyDescent="0.25">
      <c r="A396" s="1" t="s">
        <v>48</v>
      </c>
      <c r="B396" s="25" t="s">
        <v>221</v>
      </c>
      <c r="C396" s="25" t="s">
        <v>1222</v>
      </c>
      <c r="D396" s="27" t="s">
        <v>1018</v>
      </c>
      <c r="E396" s="27" t="s">
        <v>1225</v>
      </c>
      <c r="F396" s="31">
        <v>700</v>
      </c>
      <c r="G396" s="45" t="s">
        <v>1226</v>
      </c>
      <c r="H396" s="45"/>
      <c r="I396" s="26" t="s">
        <v>271</v>
      </c>
      <c r="J396" s="26" t="s">
        <v>7</v>
      </c>
    </row>
    <row r="397" spans="1:10" ht="33" x14ac:dyDescent="0.25">
      <c r="A397" s="1" t="s">
        <v>48</v>
      </c>
      <c r="B397" s="25" t="s">
        <v>221</v>
      </c>
      <c r="C397" s="25" t="s">
        <v>1222</v>
      </c>
      <c r="D397" s="27" t="s">
        <v>985</v>
      </c>
      <c r="E397" s="27" t="s">
        <v>1227</v>
      </c>
      <c r="F397" s="31">
        <v>1400</v>
      </c>
      <c r="G397" s="45" t="s">
        <v>1041</v>
      </c>
      <c r="H397" s="45"/>
      <c r="I397" s="26" t="s">
        <v>271</v>
      </c>
      <c r="J397" s="26" t="s">
        <v>7</v>
      </c>
    </row>
    <row r="398" spans="1:10" ht="33" x14ac:dyDescent="0.25">
      <c r="A398" s="1" t="s">
        <v>48</v>
      </c>
      <c r="B398" s="25" t="s">
        <v>229</v>
      </c>
      <c r="C398" s="25" t="s">
        <v>1228</v>
      </c>
      <c r="D398" s="27" t="s">
        <v>985</v>
      </c>
      <c r="E398" s="27" t="s">
        <v>1229</v>
      </c>
      <c r="F398" s="31">
        <v>2337</v>
      </c>
      <c r="G398" s="45" t="s">
        <v>1230</v>
      </c>
      <c r="H398" s="45"/>
      <c r="I398" s="26" t="s">
        <v>276</v>
      </c>
      <c r="J398" s="26" t="s">
        <v>7</v>
      </c>
    </row>
    <row r="399" spans="1:10" ht="33" x14ac:dyDescent="0.25">
      <c r="A399" s="1" t="s">
        <v>48</v>
      </c>
      <c r="B399" s="25" t="s">
        <v>229</v>
      </c>
      <c r="C399" s="25" t="s">
        <v>1228</v>
      </c>
      <c r="D399" s="27" t="s">
        <v>1142</v>
      </c>
      <c r="E399" s="27" t="s">
        <v>1231</v>
      </c>
      <c r="F399" s="31">
        <v>3000</v>
      </c>
      <c r="G399" s="45" t="s">
        <v>1232</v>
      </c>
      <c r="H399" s="45"/>
      <c r="I399" s="26" t="s">
        <v>1233</v>
      </c>
      <c r="J399" s="26" t="s">
        <v>7</v>
      </c>
    </row>
    <row r="400" spans="1:10" ht="33" x14ac:dyDescent="0.25">
      <c r="A400" s="1" t="s">
        <v>48</v>
      </c>
      <c r="B400" s="25" t="s">
        <v>229</v>
      </c>
      <c r="C400" s="25" t="s">
        <v>1234</v>
      </c>
      <c r="D400" s="27" t="s">
        <v>1003</v>
      </c>
      <c r="E400" s="27" t="s">
        <v>1235</v>
      </c>
      <c r="F400" s="31">
        <v>54800</v>
      </c>
      <c r="G400" s="45" t="s">
        <v>1236</v>
      </c>
      <c r="H400" s="45"/>
      <c r="I400" s="26" t="s">
        <v>1237</v>
      </c>
      <c r="J400" s="26" t="s">
        <v>7</v>
      </c>
    </row>
    <row r="401" spans="1:10" ht="33" x14ac:dyDescent="0.25">
      <c r="A401" s="1" t="s">
        <v>48</v>
      </c>
      <c r="B401" s="25" t="s">
        <v>229</v>
      </c>
      <c r="C401" s="25" t="s">
        <v>1238</v>
      </c>
      <c r="D401" s="27" t="s">
        <v>1018</v>
      </c>
      <c r="E401" s="27" t="s">
        <v>1239</v>
      </c>
      <c r="F401" s="31">
        <v>148800</v>
      </c>
      <c r="G401" s="45" t="s">
        <v>1240</v>
      </c>
      <c r="H401" s="45"/>
      <c r="I401" s="26" t="s">
        <v>554</v>
      </c>
      <c r="J401" s="26" t="s">
        <v>7</v>
      </c>
    </row>
    <row r="402" spans="1:10" x14ac:dyDescent="0.25">
      <c r="A402" s="1" t="s">
        <v>48</v>
      </c>
      <c r="B402" s="25" t="s">
        <v>229</v>
      </c>
      <c r="C402" s="25" t="s">
        <v>1241</v>
      </c>
      <c r="D402" s="27" t="s">
        <v>563</v>
      </c>
      <c r="E402" s="27" t="s">
        <v>1242</v>
      </c>
      <c r="F402" s="31">
        <v>801</v>
      </c>
      <c r="G402" s="45" t="s">
        <v>1243</v>
      </c>
      <c r="H402" s="45"/>
      <c r="I402" s="26" t="s">
        <v>82</v>
      </c>
      <c r="J402" s="26" t="s">
        <v>7</v>
      </c>
    </row>
    <row r="403" spans="1:10" ht="33" x14ac:dyDescent="0.25">
      <c r="A403" s="1" t="s">
        <v>48</v>
      </c>
      <c r="B403" s="25" t="s">
        <v>229</v>
      </c>
      <c r="C403" s="25" t="s">
        <v>1241</v>
      </c>
      <c r="D403" s="27" t="s">
        <v>1003</v>
      </c>
      <c r="E403" s="27" t="s">
        <v>1244</v>
      </c>
      <c r="F403" s="31">
        <v>2205</v>
      </c>
      <c r="G403" s="45" t="s">
        <v>1245</v>
      </c>
      <c r="H403" s="45"/>
      <c r="I403" s="26" t="s">
        <v>1169</v>
      </c>
      <c r="J403" s="26" t="s">
        <v>7</v>
      </c>
    </row>
    <row r="404" spans="1:10" ht="33" x14ac:dyDescent="0.25">
      <c r="A404" s="1" t="s">
        <v>48</v>
      </c>
      <c r="B404" s="25" t="s">
        <v>229</v>
      </c>
      <c r="C404" s="25" t="s">
        <v>1241</v>
      </c>
      <c r="D404" s="27" t="s">
        <v>985</v>
      </c>
      <c r="E404" s="27" t="s">
        <v>1246</v>
      </c>
      <c r="F404" s="31">
        <v>2985</v>
      </c>
      <c r="G404" s="45" t="s">
        <v>1247</v>
      </c>
      <c r="H404" s="45"/>
      <c r="I404" s="26" t="s">
        <v>1248</v>
      </c>
      <c r="J404" s="26" t="s">
        <v>7</v>
      </c>
    </row>
    <row r="405" spans="1:10" ht="33" x14ac:dyDescent="0.25">
      <c r="A405" s="1" t="s">
        <v>48</v>
      </c>
      <c r="B405" s="25" t="s">
        <v>229</v>
      </c>
      <c r="C405" s="25" t="s">
        <v>1241</v>
      </c>
      <c r="D405" s="27" t="s">
        <v>1249</v>
      </c>
      <c r="E405" s="27" t="s">
        <v>1250</v>
      </c>
      <c r="F405" s="31">
        <v>1312</v>
      </c>
      <c r="G405" s="45" t="s">
        <v>1251</v>
      </c>
      <c r="H405" s="45"/>
      <c r="I405" s="26" t="s">
        <v>62</v>
      </c>
      <c r="J405" s="26" t="s">
        <v>7</v>
      </c>
    </row>
    <row r="406" spans="1:10" ht="33" x14ac:dyDescent="0.25">
      <c r="A406" s="1" t="s">
        <v>48</v>
      </c>
      <c r="B406" s="25" t="s">
        <v>229</v>
      </c>
      <c r="C406" s="25" t="s">
        <v>1241</v>
      </c>
      <c r="D406" s="27" t="s">
        <v>1018</v>
      </c>
      <c r="E406" s="27" t="s">
        <v>1252</v>
      </c>
      <c r="F406" s="31">
        <v>659</v>
      </c>
      <c r="G406" s="45" t="s">
        <v>1253</v>
      </c>
      <c r="H406" s="45"/>
      <c r="I406" s="26" t="s">
        <v>271</v>
      </c>
      <c r="J406" s="26" t="s">
        <v>7</v>
      </c>
    </row>
    <row r="407" spans="1:10" ht="33" x14ac:dyDescent="0.25">
      <c r="A407" s="1" t="s">
        <v>48</v>
      </c>
      <c r="B407" s="25" t="s">
        <v>229</v>
      </c>
      <c r="C407" s="25" t="s">
        <v>1241</v>
      </c>
      <c r="D407" s="27" t="s">
        <v>1018</v>
      </c>
      <c r="E407" s="27" t="s">
        <v>1254</v>
      </c>
      <c r="F407" s="31">
        <v>637</v>
      </c>
      <c r="G407" s="45" t="s">
        <v>1255</v>
      </c>
      <c r="H407" s="45"/>
      <c r="I407" s="26" t="s">
        <v>271</v>
      </c>
      <c r="J407" s="26" t="s">
        <v>7</v>
      </c>
    </row>
    <row r="408" spans="1:10" ht="33" x14ac:dyDescent="0.25">
      <c r="A408" s="1" t="s">
        <v>48</v>
      </c>
      <c r="B408" s="25" t="s">
        <v>229</v>
      </c>
      <c r="C408" s="25" t="s">
        <v>1241</v>
      </c>
      <c r="D408" s="27" t="s">
        <v>1018</v>
      </c>
      <c r="E408" s="27" t="s">
        <v>1256</v>
      </c>
      <c r="F408" s="31">
        <v>638</v>
      </c>
      <c r="G408" s="45" t="s">
        <v>1257</v>
      </c>
      <c r="H408" s="45"/>
      <c r="I408" s="26" t="s">
        <v>271</v>
      </c>
      <c r="J408" s="26" t="s">
        <v>7</v>
      </c>
    </row>
    <row r="409" spans="1:10" ht="49.5" x14ac:dyDescent="0.25">
      <c r="A409" s="1" t="s">
        <v>48</v>
      </c>
      <c r="B409" s="25" t="s">
        <v>229</v>
      </c>
      <c r="C409" s="25" t="s">
        <v>1258</v>
      </c>
      <c r="D409" s="27" t="s">
        <v>1100</v>
      </c>
      <c r="E409" s="27" t="s">
        <v>1259</v>
      </c>
      <c r="F409" s="31">
        <v>42374</v>
      </c>
      <c r="G409" s="45" t="s">
        <v>1260</v>
      </c>
      <c r="H409" s="45"/>
      <c r="I409" s="26" t="s">
        <v>100</v>
      </c>
      <c r="J409" s="26" t="s">
        <v>7</v>
      </c>
    </row>
    <row r="410" spans="1:10" ht="49.5" x14ac:dyDescent="0.25">
      <c r="A410" s="1" t="s">
        <v>48</v>
      </c>
      <c r="B410" s="25" t="s">
        <v>241</v>
      </c>
      <c r="C410" s="25" t="s">
        <v>1261</v>
      </c>
      <c r="D410" s="27" t="s">
        <v>1100</v>
      </c>
      <c r="E410" s="27" t="s">
        <v>1262</v>
      </c>
      <c r="F410" s="31">
        <v>12000</v>
      </c>
      <c r="G410" s="45" t="s">
        <v>1263</v>
      </c>
      <c r="H410" s="45"/>
      <c r="I410" s="26" t="s">
        <v>554</v>
      </c>
      <c r="J410" s="26" t="s">
        <v>7</v>
      </c>
    </row>
    <row r="411" spans="1:10" ht="33" x14ac:dyDescent="0.25">
      <c r="A411" s="1" t="s">
        <v>48</v>
      </c>
      <c r="B411" s="25" t="s">
        <v>241</v>
      </c>
      <c r="C411" s="25" t="s">
        <v>257</v>
      </c>
      <c r="D411" s="27" t="s">
        <v>985</v>
      </c>
      <c r="E411" s="27" t="s">
        <v>258</v>
      </c>
      <c r="F411" s="31">
        <v>2699</v>
      </c>
      <c r="G411" s="45" t="s">
        <v>259</v>
      </c>
      <c r="H411" s="45"/>
      <c r="I411" s="26" t="s">
        <v>166</v>
      </c>
      <c r="J411" s="26" t="s">
        <v>7</v>
      </c>
    </row>
    <row r="412" spans="1:10" ht="33" x14ac:dyDescent="0.25">
      <c r="A412" s="1" t="s">
        <v>48</v>
      </c>
      <c r="B412" s="25" t="s">
        <v>241</v>
      </c>
      <c r="C412" s="25" t="s">
        <v>1264</v>
      </c>
      <c r="D412" s="27" t="s">
        <v>1116</v>
      </c>
      <c r="E412" s="27" t="s">
        <v>1265</v>
      </c>
      <c r="F412" s="31">
        <v>11550</v>
      </c>
      <c r="G412" s="45" t="s">
        <v>1266</v>
      </c>
      <c r="H412" s="45"/>
      <c r="I412" s="26" t="s">
        <v>62</v>
      </c>
      <c r="J412" s="26" t="s">
        <v>7</v>
      </c>
    </row>
    <row r="413" spans="1:10" ht="33" x14ac:dyDescent="0.25">
      <c r="A413" s="1" t="s">
        <v>48</v>
      </c>
      <c r="B413" s="25" t="s">
        <v>241</v>
      </c>
      <c r="C413" s="25" t="s">
        <v>1267</v>
      </c>
      <c r="D413" s="27" t="s">
        <v>1043</v>
      </c>
      <c r="E413" s="27" t="s">
        <v>1268</v>
      </c>
      <c r="F413" s="31">
        <v>70560</v>
      </c>
      <c r="G413" s="45" t="s">
        <v>1269</v>
      </c>
      <c r="H413" s="45"/>
      <c r="I413" s="26" t="s">
        <v>547</v>
      </c>
      <c r="J413" s="26" t="s">
        <v>7</v>
      </c>
    </row>
    <row r="414" spans="1:10" ht="33" x14ac:dyDescent="0.25">
      <c r="A414" s="1" t="s">
        <v>48</v>
      </c>
      <c r="B414" s="25" t="s">
        <v>267</v>
      </c>
      <c r="C414" s="25" t="s">
        <v>1270</v>
      </c>
      <c r="D414" s="27" t="s">
        <v>1115</v>
      </c>
      <c r="E414" s="27" t="s">
        <v>1271</v>
      </c>
      <c r="F414" s="31">
        <v>90</v>
      </c>
      <c r="G414" s="45" t="s">
        <v>1272</v>
      </c>
      <c r="H414" s="45"/>
      <c r="I414" s="26" t="s">
        <v>133</v>
      </c>
      <c r="J414" s="26" t="s">
        <v>7</v>
      </c>
    </row>
    <row r="415" spans="1:10" ht="33" x14ac:dyDescent="0.25">
      <c r="A415" s="1" t="s">
        <v>48</v>
      </c>
      <c r="B415" s="25" t="s">
        <v>267</v>
      </c>
      <c r="C415" s="25" t="s">
        <v>1273</v>
      </c>
      <c r="D415" s="27" t="s">
        <v>1150</v>
      </c>
      <c r="E415" s="27" t="s">
        <v>1274</v>
      </c>
      <c r="F415" s="31">
        <v>2780</v>
      </c>
      <c r="G415" s="45" t="s">
        <v>1275</v>
      </c>
      <c r="H415" s="45"/>
      <c r="I415" s="26" t="s">
        <v>133</v>
      </c>
      <c r="J415" s="26" t="s">
        <v>7</v>
      </c>
    </row>
    <row r="416" spans="1:10" ht="33" x14ac:dyDescent="0.25">
      <c r="A416" s="1" t="s">
        <v>48</v>
      </c>
      <c r="B416" s="25" t="s">
        <v>267</v>
      </c>
      <c r="C416" s="25" t="s">
        <v>1273</v>
      </c>
      <c r="D416" s="27" t="s">
        <v>1150</v>
      </c>
      <c r="E416" s="27" t="s">
        <v>1276</v>
      </c>
      <c r="F416" s="31">
        <v>2920</v>
      </c>
      <c r="G416" s="45" t="s">
        <v>1277</v>
      </c>
      <c r="H416" s="45"/>
      <c r="I416" s="26" t="s">
        <v>133</v>
      </c>
      <c r="J416" s="26" t="s">
        <v>7</v>
      </c>
    </row>
    <row r="417" spans="1:10" ht="49.5" x14ac:dyDescent="0.25">
      <c r="A417" s="1" t="s">
        <v>48</v>
      </c>
      <c r="B417" s="25" t="s">
        <v>267</v>
      </c>
      <c r="C417" s="25" t="s">
        <v>1278</v>
      </c>
      <c r="D417" s="27" t="s">
        <v>1100</v>
      </c>
      <c r="E417" s="27" t="s">
        <v>1279</v>
      </c>
      <c r="F417" s="31">
        <v>1000</v>
      </c>
      <c r="G417" s="45" t="s">
        <v>1280</v>
      </c>
      <c r="H417" s="45"/>
      <c r="I417" s="26" t="s">
        <v>554</v>
      </c>
      <c r="J417" s="26" t="s">
        <v>7</v>
      </c>
    </row>
    <row r="418" spans="1:10" ht="49.5" x14ac:dyDescent="0.25">
      <c r="A418" s="1" t="s">
        <v>48</v>
      </c>
      <c r="B418" s="25" t="s">
        <v>267</v>
      </c>
      <c r="C418" s="25" t="s">
        <v>1278</v>
      </c>
      <c r="D418" s="27" t="s">
        <v>1100</v>
      </c>
      <c r="E418" s="27" t="s">
        <v>1281</v>
      </c>
      <c r="F418" s="31">
        <v>4084</v>
      </c>
      <c r="G418" s="45" t="s">
        <v>1282</v>
      </c>
      <c r="H418" s="45"/>
      <c r="I418" s="26" t="s">
        <v>133</v>
      </c>
      <c r="J418" s="26" t="s">
        <v>7</v>
      </c>
    </row>
    <row r="419" spans="1:10" ht="49.5" x14ac:dyDescent="0.25">
      <c r="A419" s="1" t="s">
        <v>48</v>
      </c>
      <c r="B419" s="25" t="s">
        <v>267</v>
      </c>
      <c r="C419" s="25" t="s">
        <v>1278</v>
      </c>
      <c r="D419" s="27" t="s">
        <v>1100</v>
      </c>
      <c r="E419" s="27" t="s">
        <v>1283</v>
      </c>
      <c r="F419" s="31">
        <v>4084</v>
      </c>
      <c r="G419" s="45" t="s">
        <v>1284</v>
      </c>
      <c r="H419" s="45"/>
      <c r="I419" s="26" t="s">
        <v>133</v>
      </c>
      <c r="J419" s="26" t="s">
        <v>7</v>
      </c>
    </row>
    <row r="420" spans="1:10" ht="49.5" x14ac:dyDescent="0.25">
      <c r="A420" s="1" t="s">
        <v>48</v>
      </c>
      <c r="B420" s="25" t="s">
        <v>267</v>
      </c>
      <c r="C420" s="25" t="s">
        <v>1278</v>
      </c>
      <c r="D420" s="27" t="s">
        <v>1100</v>
      </c>
      <c r="E420" s="27" t="s">
        <v>1285</v>
      </c>
      <c r="F420" s="31">
        <v>2000</v>
      </c>
      <c r="G420" s="45" t="s">
        <v>1286</v>
      </c>
      <c r="H420" s="45"/>
      <c r="I420" s="26" t="s">
        <v>103</v>
      </c>
      <c r="J420" s="26" t="s">
        <v>7</v>
      </c>
    </row>
    <row r="421" spans="1:10" ht="49.5" x14ac:dyDescent="0.25">
      <c r="A421" s="1" t="s">
        <v>48</v>
      </c>
      <c r="B421" s="25" t="s">
        <v>267</v>
      </c>
      <c r="C421" s="25" t="s">
        <v>1278</v>
      </c>
      <c r="D421" s="27" t="s">
        <v>1100</v>
      </c>
      <c r="E421" s="27" t="s">
        <v>1287</v>
      </c>
      <c r="F421" s="31">
        <v>2000</v>
      </c>
      <c r="G421" s="45" t="s">
        <v>1288</v>
      </c>
      <c r="H421" s="45"/>
      <c r="I421" s="26" t="s">
        <v>103</v>
      </c>
      <c r="J421" s="26" t="s">
        <v>7</v>
      </c>
    </row>
    <row r="422" spans="1:10" ht="33" x14ac:dyDescent="0.25">
      <c r="A422" s="1" t="s">
        <v>48</v>
      </c>
      <c r="B422" s="25" t="s">
        <v>272</v>
      </c>
      <c r="C422" s="25" t="s">
        <v>1289</v>
      </c>
      <c r="D422" s="27" t="s">
        <v>563</v>
      </c>
      <c r="E422" s="27" t="s">
        <v>1290</v>
      </c>
      <c r="F422" s="31">
        <v>4200</v>
      </c>
      <c r="G422" s="45" t="s">
        <v>1291</v>
      </c>
      <c r="H422" s="45"/>
      <c r="I422" s="26" t="s">
        <v>62</v>
      </c>
      <c r="J422" s="26" t="s">
        <v>7</v>
      </c>
    </row>
    <row r="423" spans="1:10" ht="33" x14ac:dyDescent="0.25">
      <c r="A423" s="1" t="s">
        <v>48</v>
      </c>
      <c r="B423" s="25" t="s">
        <v>272</v>
      </c>
      <c r="C423" s="25" t="s">
        <v>1289</v>
      </c>
      <c r="D423" s="27" t="s">
        <v>1115</v>
      </c>
      <c r="E423" s="27" t="s">
        <v>1292</v>
      </c>
      <c r="F423" s="31">
        <v>646</v>
      </c>
      <c r="G423" s="45" t="s">
        <v>1293</v>
      </c>
      <c r="H423" s="45"/>
      <c r="I423" s="26" t="s">
        <v>1294</v>
      </c>
      <c r="J423" s="26" t="s">
        <v>7</v>
      </c>
    </row>
    <row r="424" spans="1:10" ht="33" x14ac:dyDescent="0.25">
      <c r="A424" s="1" t="s">
        <v>48</v>
      </c>
      <c r="B424" s="25" t="s">
        <v>272</v>
      </c>
      <c r="C424" s="25" t="s">
        <v>1289</v>
      </c>
      <c r="D424" s="27" t="s">
        <v>1088</v>
      </c>
      <c r="E424" s="27" t="s">
        <v>1295</v>
      </c>
      <c r="F424" s="31">
        <v>1850</v>
      </c>
      <c r="G424" s="45" t="s">
        <v>1296</v>
      </c>
      <c r="H424" s="45"/>
      <c r="I424" s="26" t="s">
        <v>547</v>
      </c>
      <c r="J424" s="26" t="s">
        <v>7</v>
      </c>
    </row>
    <row r="425" spans="1:10" ht="33" x14ac:dyDescent="0.25">
      <c r="A425" s="1" t="s">
        <v>48</v>
      </c>
      <c r="B425" s="25" t="s">
        <v>272</v>
      </c>
      <c r="C425" s="25" t="s">
        <v>1289</v>
      </c>
      <c r="D425" s="27" t="s">
        <v>985</v>
      </c>
      <c r="E425" s="27" t="s">
        <v>1297</v>
      </c>
      <c r="F425" s="31">
        <v>1374</v>
      </c>
      <c r="G425" s="45" t="s">
        <v>1298</v>
      </c>
      <c r="H425" s="45"/>
      <c r="I425" s="26" t="s">
        <v>276</v>
      </c>
      <c r="J425" s="26" t="s">
        <v>7</v>
      </c>
    </row>
    <row r="426" spans="1:10" x14ac:dyDescent="0.25">
      <c r="A426" s="1" t="s">
        <v>48</v>
      </c>
      <c r="B426" s="25" t="s">
        <v>272</v>
      </c>
      <c r="C426" s="25" t="s">
        <v>1299</v>
      </c>
      <c r="D426" s="27" t="s">
        <v>1116</v>
      </c>
      <c r="E426" s="27" t="s">
        <v>1300</v>
      </c>
      <c r="F426" s="31">
        <v>9500</v>
      </c>
      <c r="G426" s="45" t="s">
        <v>1301</v>
      </c>
      <c r="H426" s="45"/>
      <c r="I426" s="26" t="s">
        <v>1121</v>
      </c>
      <c r="J426" s="26" t="s">
        <v>7</v>
      </c>
    </row>
    <row r="427" spans="1:10" ht="33" x14ac:dyDescent="0.25">
      <c r="A427" s="1" t="s">
        <v>48</v>
      </c>
      <c r="B427" s="25" t="s">
        <v>272</v>
      </c>
      <c r="C427" s="25" t="s">
        <v>1299</v>
      </c>
      <c r="D427" s="27" t="s">
        <v>563</v>
      </c>
      <c r="E427" s="27" t="s">
        <v>1302</v>
      </c>
      <c r="F427" s="31">
        <v>4200</v>
      </c>
      <c r="G427" s="45" t="s">
        <v>1303</v>
      </c>
      <c r="H427" s="45"/>
      <c r="I427" s="26" t="s">
        <v>62</v>
      </c>
      <c r="J427" s="26" t="s">
        <v>7</v>
      </c>
    </row>
    <row r="428" spans="1:10" ht="33" x14ac:dyDescent="0.25">
      <c r="A428" s="1" t="s">
        <v>48</v>
      </c>
      <c r="B428" s="25" t="s">
        <v>280</v>
      </c>
      <c r="C428" s="25" t="s">
        <v>1304</v>
      </c>
      <c r="D428" s="27" t="s">
        <v>985</v>
      </c>
      <c r="E428" s="27" t="s">
        <v>1305</v>
      </c>
      <c r="F428" s="31">
        <v>20287</v>
      </c>
      <c r="G428" s="45" t="s">
        <v>1041</v>
      </c>
      <c r="H428" s="45"/>
      <c r="I428" s="26" t="s">
        <v>271</v>
      </c>
      <c r="J428" s="26" t="s">
        <v>7</v>
      </c>
    </row>
    <row r="429" spans="1:10" ht="33" x14ac:dyDescent="0.25">
      <c r="A429" s="1" t="s">
        <v>48</v>
      </c>
      <c r="B429" s="25" t="s">
        <v>280</v>
      </c>
      <c r="C429" s="25" t="s">
        <v>1306</v>
      </c>
      <c r="D429" s="27" t="s">
        <v>985</v>
      </c>
      <c r="E429" s="27" t="s">
        <v>1307</v>
      </c>
      <c r="F429" s="31">
        <v>198</v>
      </c>
      <c r="G429" s="45" t="s">
        <v>1041</v>
      </c>
      <c r="H429" s="45"/>
      <c r="I429" s="26" t="s">
        <v>271</v>
      </c>
      <c r="J429" s="26" t="s">
        <v>7</v>
      </c>
    </row>
    <row r="430" spans="1:10" ht="33" x14ac:dyDescent="0.25">
      <c r="A430" s="1" t="s">
        <v>48</v>
      </c>
      <c r="B430" s="25" t="s">
        <v>280</v>
      </c>
      <c r="C430" s="25" t="s">
        <v>1306</v>
      </c>
      <c r="D430" s="27" t="s">
        <v>1018</v>
      </c>
      <c r="E430" s="27" t="s">
        <v>1308</v>
      </c>
      <c r="F430" s="31">
        <v>659</v>
      </c>
      <c r="G430" s="45" t="s">
        <v>1309</v>
      </c>
      <c r="H430" s="45"/>
      <c r="I430" s="26" t="s">
        <v>271</v>
      </c>
      <c r="J430" s="26" t="s">
        <v>7</v>
      </c>
    </row>
    <row r="431" spans="1:10" ht="33" x14ac:dyDescent="0.25">
      <c r="A431" s="1" t="s">
        <v>48</v>
      </c>
      <c r="B431" s="25" t="s">
        <v>280</v>
      </c>
      <c r="C431" s="25" t="s">
        <v>1310</v>
      </c>
      <c r="D431" s="27" t="s">
        <v>985</v>
      </c>
      <c r="E431" s="27" t="s">
        <v>1311</v>
      </c>
      <c r="F431" s="31">
        <v>18908</v>
      </c>
      <c r="G431" s="45" t="s">
        <v>1312</v>
      </c>
      <c r="H431" s="45"/>
      <c r="I431" s="26" t="s">
        <v>276</v>
      </c>
      <c r="J431" s="26" t="s">
        <v>7</v>
      </c>
    </row>
    <row r="432" spans="1:10" x14ac:dyDescent="0.25">
      <c r="A432" s="1" t="s">
        <v>48</v>
      </c>
      <c r="B432" s="25" t="s">
        <v>280</v>
      </c>
      <c r="C432" s="25" t="s">
        <v>1313</v>
      </c>
      <c r="D432" s="27" t="s">
        <v>1116</v>
      </c>
      <c r="E432" s="27" t="s">
        <v>1314</v>
      </c>
      <c r="F432" s="31">
        <v>13000</v>
      </c>
      <c r="G432" s="45" t="s">
        <v>1315</v>
      </c>
      <c r="H432" s="45"/>
      <c r="I432" s="26" t="s">
        <v>58</v>
      </c>
      <c r="J432" s="26" t="s">
        <v>7</v>
      </c>
    </row>
    <row r="433" spans="1:10" ht="33" x14ac:dyDescent="0.25">
      <c r="A433" s="1" t="s">
        <v>48</v>
      </c>
      <c r="B433" s="25" t="s">
        <v>280</v>
      </c>
      <c r="C433" s="25" t="s">
        <v>1316</v>
      </c>
      <c r="D433" s="27" t="s">
        <v>985</v>
      </c>
      <c r="E433" s="27" t="s">
        <v>1317</v>
      </c>
      <c r="F433" s="31">
        <v>14781</v>
      </c>
      <c r="G433" s="45" t="s">
        <v>1318</v>
      </c>
      <c r="H433" s="45"/>
      <c r="I433" s="26" t="s">
        <v>276</v>
      </c>
      <c r="J433" s="26" t="s">
        <v>7</v>
      </c>
    </row>
    <row r="434" spans="1:10" ht="49.5" x14ac:dyDescent="0.25">
      <c r="A434" s="1" t="s">
        <v>48</v>
      </c>
      <c r="B434" s="25" t="s">
        <v>291</v>
      </c>
      <c r="C434" s="25" t="s">
        <v>1319</v>
      </c>
      <c r="D434" s="27" t="s">
        <v>1100</v>
      </c>
      <c r="E434" s="27" t="s">
        <v>1320</v>
      </c>
      <c r="F434" s="31">
        <v>2000</v>
      </c>
      <c r="G434" s="45" t="s">
        <v>1321</v>
      </c>
      <c r="H434" s="45"/>
      <c r="I434" s="26" t="s">
        <v>103</v>
      </c>
      <c r="J434" s="26" t="s">
        <v>7</v>
      </c>
    </row>
    <row r="435" spans="1:10" x14ac:dyDescent="0.25">
      <c r="A435" s="1" t="s">
        <v>48</v>
      </c>
      <c r="B435" s="25" t="s">
        <v>291</v>
      </c>
      <c r="C435" s="25" t="s">
        <v>1322</v>
      </c>
      <c r="D435" s="27" t="s">
        <v>402</v>
      </c>
      <c r="E435" s="27" t="s">
        <v>1323</v>
      </c>
      <c r="F435" s="31">
        <v>23616</v>
      </c>
      <c r="G435" s="45" t="s">
        <v>1324</v>
      </c>
      <c r="H435" s="45"/>
      <c r="I435" s="26" t="s">
        <v>171</v>
      </c>
      <c r="J435" s="26" t="s">
        <v>7</v>
      </c>
    </row>
    <row r="436" spans="1:10" ht="33" x14ac:dyDescent="0.25">
      <c r="A436" s="1" t="s">
        <v>48</v>
      </c>
      <c r="B436" s="25" t="s">
        <v>307</v>
      </c>
      <c r="C436" s="25" t="s">
        <v>1325</v>
      </c>
      <c r="D436" s="27" t="s">
        <v>1018</v>
      </c>
      <c r="E436" s="27" t="s">
        <v>1326</v>
      </c>
      <c r="F436" s="31">
        <v>9630</v>
      </c>
      <c r="G436" s="45" t="s">
        <v>1327</v>
      </c>
      <c r="H436" s="45"/>
      <c r="I436" s="26" t="s">
        <v>1121</v>
      </c>
      <c r="J436" s="26" t="s">
        <v>7</v>
      </c>
    </row>
    <row r="437" spans="1:10" ht="33" x14ac:dyDescent="0.25">
      <c r="A437" s="1" t="s">
        <v>48</v>
      </c>
      <c r="B437" s="25" t="s">
        <v>314</v>
      </c>
      <c r="C437" s="25" t="s">
        <v>1328</v>
      </c>
      <c r="D437" s="27" t="s">
        <v>563</v>
      </c>
      <c r="E437" s="27" t="s">
        <v>1329</v>
      </c>
      <c r="F437" s="31">
        <v>500</v>
      </c>
      <c r="G437" s="45" t="s">
        <v>1330</v>
      </c>
      <c r="H437" s="45"/>
      <c r="I437" s="26" t="s">
        <v>1050</v>
      </c>
      <c r="J437" s="26" t="s">
        <v>7</v>
      </c>
    </row>
    <row r="438" spans="1:10" ht="33" x14ac:dyDescent="0.25">
      <c r="A438" s="1" t="s">
        <v>48</v>
      </c>
      <c r="B438" s="25" t="s">
        <v>321</v>
      </c>
      <c r="C438" s="25" t="s">
        <v>1331</v>
      </c>
      <c r="D438" s="27" t="s">
        <v>985</v>
      </c>
      <c r="E438" s="27" t="s">
        <v>1332</v>
      </c>
      <c r="F438" s="31">
        <v>7302</v>
      </c>
      <c r="G438" s="45" t="s">
        <v>1333</v>
      </c>
      <c r="H438" s="45"/>
      <c r="I438" s="26" t="s">
        <v>705</v>
      </c>
      <c r="J438" s="26" t="s">
        <v>7</v>
      </c>
    </row>
    <row r="439" spans="1:10" ht="33" x14ac:dyDescent="0.25">
      <c r="A439" s="1" t="s">
        <v>48</v>
      </c>
      <c r="B439" s="25" t="s">
        <v>324</v>
      </c>
      <c r="C439" s="25" t="s">
        <v>1334</v>
      </c>
      <c r="D439" s="27" t="s">
        <v>985</v>
      </c>
      <c r="E439" s="27" t="s">
        <v>1335</v>
      </c>
      <c r="F439" s="31">
        <v>11</v>
      </c>
      <c r="G439" s="45" t="s">
        <v>1336</v>
      </c>
      <c r="H439" s="45"/>
      <c r="I439" s="26" t="s">
        <v>1248</v>
      </c>
      <c r="J439" s="26" t="s">
        <v>7</v>
      </c>
    </row>
    <row r="440" spans="1:10" ht="33" x14ac:dyDescent="0.25">
      <c r="A440" s="1" t="s">
        <v>48</v>
      </c>
      <c r="B440" s="25" t="s">
        <v>324</v>
      </c>
      <c r="C440" s="25" t="s">
        <v>1337</v>
      </c>
      <c r="D440" s="27" t="s">
        <v>1043</v>
      </c>
      <c r="E440" s="27" t="s">
        <v>1338</v>
      </c>
      <c r="F440" s="31">
        <v>148000</v>
      </c>
      <c r="G440" s="45" t="s">
        <v>1339</v>
      </c>
      <c r="H440" s="45"/>
      <c r="I440" s="26" t="s">
        <v>166</v>
      </c>
      <c r="J440" s="26" t="s">
        <v>7</v>
      </c>
    </row>
    <row r="441" spans="1:10" x14ac:dyDescent="0.25">
      <c r="A441" s="1" t="s">
        <v>48</v>
      </c>
      <c r="B441" s="25" t="s">
        <v>331</v>
      </c>
      <c r="C441" s="25" t="s">
        <v>1340</v>
      </c>
      <c r="D441" s="27" t="s">
        <v>1068</v>
      </c>
      <c r="E441" s="27" t="s">
        <v>1341</v>
      </c>
      <c r="F441" s="31">
        <v>23100</v>
      </c>
      <c r="G441" s="45" t="s">
        <v>1342</v>
      </c>
      <c r="H441" s="45"/>
      <c r="I441" s="26" t="s">
        <v>1169</v>
      </c>
      <c r="J441" s="26" t="s">
        <v>7</v>
      </c>
    </row>
    <row r="442" spans="1:10" ht="33" x14ac:dyDescent="0.25">
      <c r="A442" s="1" t="s">
        <v>48</v>
      </c>
      <c r="B442" s="25" t="s">
        <v>1343</v>
      </c>
      <c r="C442" s="25" t="s">
        <v>1344</v>
      </c>
      <c r="D442" s="27" t="s">
        <v>985</v>
      </c>
      <c r="E442" s="27" t="s">
        <v>1345</v>
      </c>
      <c r="F442" s="31">
        <v>6216</v>
      </c>
      <c r="G442" s="45" t="s">
        <v>1041</v>
      </c>
      <c r="H442" s="45"/>
      <c r="I442" s="26" t="s">
        <v>271</v>
      </c>
      <c r="J442" s="26" t="s">
        <v>7</v>
      </c>
    </row>
    <row r="443" spans="1:10" ht="33" x14ac:dyDescent="0.25">
      <c r="A443" s="1" t="s">
        <v>48</v>
      </c>
      <c r="B443" s="25" t="s">
        <v>1343</v>
      </c>
      <c r="C443" s="25" t="s">
        <v>1346</v>
      </c>
      <c r="D443" s="27" t="s">
        <v>1115</v>
      </c>
      <c r="E443" s="27" t="s">
        <v>1347</v>
      </c>
      <c r="F443" s="31">
        <v>4500</v>
      </c>
      <c r="G443" s="45" t="s">
        <v>1348</v>
      </c>
      <c r="H443" s="45"/>
      <c r="I443" s="26" t="s">
        <v>133</v>
      </c>
      <c r="J443" s="26" t="s">
        <v>7</v>
      </c>
    </row>
    <row r="444" spans="1:10" x14ac:dyDescent="0.25">
      <c r="A444" s="1" t="s">
        <v>48</v>
      </c>
      <c r="B444" s="25" t="s">
        <v>1343</v>
      </c>
      <c r="C444" s="25" t="s">
        <v>1349</v>
      </c>
      <c r="D444" s="27" t="s">
        <v>1068</v>
      </c>
      <c r="E444" s="27" t="s">
        <v>1350</v>
      </c>
      <c r="F444" s="31">
        <v>571</v>
      </c>
      <c r="G444" s="45" t="s">
        <v>1351</v>
      </c>
      <c r="H444" s="45"/>
      <c r="I444" s="26" t="s">
        <v>1169</v>
      </c>
      <c r="J444" s="26" t="s">
        <v>7</v>
      </c>
    </row>
    <row r="445" spans="1:10" ht="33" x14ac:dyDescent="0.25">
      <c r="A445" s="1" t="s">
        <v>48</v>
      </c>
      <c r="B445" s="25" t="s">
        <v>1352</v>
      </c>
      <c r="C445" s="25" t="s">
        <v>1353</v>
      </c>
      <c r="D445" s="27" t="s">
        <v>1115</v>
      </c>
      <c r="E445" s="27" t="s">
        <v>1354</v>
      </c>
      <c r="F445" s="31">
        <v>134</v>
      </c>
      <c r="G445" s="45" t="s">
        <v>1355</v>
      </c>
      <c r="H445" s="45"/>
      <c r="I445" s="26" t="s">
        <v>1198</v>
      </c>
      <c r="J445" s="26" t="s">
        <v>7</v>
      </c>
    </row>
    <row r="446" spans="1:10" ht="33" x14ac:dyDescent="0.25">
      <c r="A446" s="1" t="s">
        <v>48</v>
      </c>
      <c r="B446" s="25" t="s">
        <v>1352</v>
      </c>
      <c r="C446" s="25" t="s">
        <v>1353</v>
      </c>
      <c r="D446" s="27" t="s">
        <v>985</v>
      </c>
      <c r="E446" s="27" t="s">
        <v>1354</v>
      </c>
      <c r="F446" s="31">
        <v>1079</v>
      </c>
      <c r="G446" s="45" t="s">
        <v>1355</v>
      </c>
      <c r="H446" s="45"/>
      <c r="I446" s="26" t="s">
        <v>1198</v>
      </c>
      <c r="J446" s="26" t="s">
        <v>7</v>
      </c>
    </row>
    <row r="447" spans="1:10" ht="33" x14ac:dyDescent="0.25">
      <c r="A447" s="1" t="s">
        <v>48</v>
      </c>
      <c r="B447" s="25" t="s">
        <v>1352</v>
      </c>
      <c r="C447" s="25" t="s">
        <v>1353</v>
      </c>
      <c r="D447" s="27" t="s">
        <v>1018</v>
      </c>
      <c r="E447" s="27" t="s">
        <v>1354</v>
      </c>
      <c r="F447" s="31">
        <v>7328</v>
      </c>
      <c r="G447" s="45" t="s">
        <v>1355</v>
      </c>
      <c r="H447" s="45"/>
      <c r="I447" s="26" t="s">
        <v>1198</v>
      </c>
      <c r="J447" s="26" t="s">
        <v>7</v>
      </c>
    </row>
    <row r="448" spans="1:10" ht="33" x14ac:dyDescent="0.25">
      <c r="A448" s="1" t="s">
        <v>48</v>
      </c>
      <c r="B448" s="25" t="s">
        <v>1352</v>
      </c>
      <c r="C448" s="25" t="s">
        <v>1353</v>
      </c>
      <c r="D448" s="27" t="s">
        <v>1356</v>
      </c>
      <c r="E448" s="27" t="s">
        <v>1354</v>
      </c>
      <c r="F448" s="31">
        <v>104</v>
      </c>
      <c r="G448" s="45" t="s">
        <v>1355</v>
      </c>
      <c r="H448" s="45"/>
      <c r="I448" s="26" t="s">
        <v>1198</v>
      </c>
      <c r="J448" s="26" t="s">
        <v>7</v>
      </c>
    </row>
    <row r="449" spans="1:10" ht="33" x14ac:dyDescent="0.25">
      <c r="A449" s="1" t="s">
        <v>48</v>
      </c>
      <c r="B449" s="25" t="s">
        <v>1352</v>
      </c>
      <c r="C449" s="25" t="s">
        <v>1353</v>
      </c>
      <c r="D449" s="27" t="s">
        <v>985</v>
      </c>
      <c r="E449" s="27" t="s">
        <v>1357</v>
      </c>
      <c r="F449" s="31">
        <v>2800</v>
      </c>
      <c r="G449" s="45" t="s">
        <v>1358</v>
      </c>
      <c r="H449" s="45"/>
      <c r="I449" s="26" t="s">
        <v>554</v>
      </c>
      <c r="J449" s="26" t="s">
        <v>7</v>
      </c>
    </row>
    <row r="450" spans="1:10" x14ac:dyDescent="0.25">
      <c r="A450" s="1" t="s">
        <v>48</v>
      </c>
      <c r="B450" s="25" t="s">
        <v>1352</v>
      </c>
      <c r="C450" s="25" t="s">
        <v>1353</v>
      </c>
      <c r="D450" s="27" t="s">
        <v>563</v>
      </c>
      <c r="E450" s="27" t="s">
        <v>1359</v>
      </c>
      <c r="F450" s="31">
        <v>7320</v>
      </c>
      <c r="G450" s="45" t="s">
        <v>1360</v>
      </c>
      <c r="H450" s="45"/>
      <c r="I450" s="26" t="s">
        <v>86</v>
      </c>
      <c r="J450" s="26" t="s">
        <v>7</v>
      </c>
    </row>
    <row r="451" spans="1:10" ht="33" x14ac:dyDescent="0.25">
      <c r="A451" s="1" t="s">
        <v>48</v>
      </c>
      <c r="B451" s="25" t="s">
        <v>1352</v>
      </c>
      <c r="C451" s="25" t="s">
        <v>1353</v>
      </c>
      <c r="D451" s="27" t="s">
        <v>985</v>
      </c>
      <c r="E451" s="27" t="s">
        <v>1361</v>
      </c>
      <c r="F451" s="31">
        <v>330</v>
      </c>
      <c r="G451" s="45" t="s">
        <v>1362</v>
      </c>
      <c r="H451" s="45"/>
      <c r="I451" s="26" t="s">
        <v>276</v>
      </c>
      <c r="J451" s="26" t="s">
        <v>7</v>
      </c>
    </row>
    <row r="452" spans="1:10" ht="33" x14ac:dyDescent="0.25">
      <c r="A452" s="1" t="s">
        <v>48</v>
      </c>
      <c r="B452" s="25" t="s">
        <v>343</v>
      </c>
      <c r="C452" s="25" t="s">
        <v>1363</v>
      </c>
      <c r="D452" s="27" t="s">
        <v>985</v>
      </c>
      <c r="E452" s="27" t="s">
        <v>1364</v>
      </c>
      <c r="F452" s="31">
        <v>12567</v>
      </c>
      <c r="G452" s="45" t="s">
        <v>1365</v>
      </c>
      <c r="H452" s="45"/>
      <c r="I452" s="26" t="s">
        <v>290</v>
      </c>
      <c r="J452" s="26" t="s">
        <v>7</v>
      </c>
    </row>
    <row r="453" spans="1:10" ht="33" x14ac:dyDescent="0.25">
      <c r="A453" s="1" t="s">
        <v>48</v>
      </c>
      <c r="B453" s="25" t="s">
        <v>343</v>
      </c>
      <c r="C453" s="25" t="s">
        <v>1366</v>
      </c>
      <c r="D453" s="27" t="s">
        <v>985</v>
      </c>
      <c r="E453" s="27" t="s">
        <v>1367</v>
      </c>
      <c r="F453" s="31">
        <v>3940</v>
      </c>
      <c r="G453" s="45" t="s">
        <v>1368</v>
      </c>
      <c r="H453" s="45"/>
      <c r="I453" s="26" t="s">
        <v>290</v>
      </c>
      <c r="J453" s="26" t="s">
        <v>7</v>
      </c>
    </row>
    <row r="454" spans="1:10" ht="49.5" x14ac:dyDescent="0.25">
      <c r="A454" s="1" t="s">
        <v>48</v>
      </c>
      <c r="B454" s="25" t="s">
        <v>343</v>
      </c>
      <c r="C454" s="25" t="s">
        <v>1369</v>
      </c>
      <c r="D454" s="27" t="s">
        <v>1100</v>
      </c>
      <c r="E454" s="27" t="s">
        <v>1370</v>
      </c>
      <c r="F454" s="31">
        <v>4084</v>
      </c>
      <c r="G454" s="45" t="s">
        <v>1371</v>
      </c>
      <c r="H454" s="45"/>
      <c r="I454" s="26" t="s">
        <v>719</v>
      </c>
      <c r="J454" s="26" t="s">
        <v>7</v>
      </c>
    </row>
    <row r="455" spans="1:10" ht="49.5" x14ac:dyDescent="0.25">
      <c r="A455" s="1" t="s">
        <v>48</v>
      </c>
      <c r="B455" s="25" t="s">
        <v>343</v>
      </c>
      <c r="C455" s="25" t="s">
        <v>1369</v>
      </c>
      <c r="D455" s="27" t="s">
        <v>1100</v>
      </c>
      <c r="E455" s="27" t="s">
        <v>1372</v>
      </c>
      <c r="F455" s="31">
        <v>4084</v>
      </c>
      <c r="G455" s="45" t="s">
        <v>1373</v>
      </c>
      <c r="H455" s="45"/>
      <c r="I455" s="26" t="s">
        <v>1198</v>
      </c>
      <c r="J455" s="26" t="s">
        <v>7</v>
      </c>
    </row>
    <row r="456" spans="1:10" x14ac:dyDescent="0.25">
      <c r="A456" s="1" t="s">
        <v>48</v>
      </c>
      <c r="B456" s="25" t="s">
        <v>368</v>
      </c>
      <c r="C456" s="25" t="s">
        <v>1374</v>
      </c>
      <c r="D456" s="27" t="s">
        <v>1375</v>
      </c>
      <c r="E456" s="27" t="s">
        <v>1376</v>
      </c>
      <c r="F456" s="31">
        <v>12600</v>
      </c>
      <c r="G456" s="45" t="s">
        <v>1377</v>
      </c>
      <c r="H456" s="45"/>
      <c r="I456" s="26" t="s">
        <v>1169</v>
      </c>
      <c r="J456" s="26" t="s">
        <v>7</v>
      </c>
    </row>
    <row r="457" spans="1:10" ht="33" x14ac:dyDescent="0.25">
      <c r="A457" s="1" t="s">
        <v>48</v>
      </c>
      <c r="B457" s="25" t="s">
        <v>368</v>
      </c>
      <c r="C457" s="25" t="s">
        <v>1378</v>
      </c>
      <c r="D457" s="27" t="s">
        <v>1018</v>
      </c>
      <c r="E457" s="27" t="s">
        <v>1379</v>
      </c>
      <c r="F457" s="31">
        <v>616</v>
      </c>
      <c r="G457" s="45" t="s">
        <v>1037</v>
      </c>
      <c r="H457" s="45"/>
      <c r="I457" s="26" t="s">
        <v>749</v>
      </c>
      <c r="J457" s="26" t="s">
        <v>7</v>
      </c>
    </row>
    <row r="458" spans="1:10" ht="33" x14ac:dyDescent="0.25">
      <c r="A458" s="1" t="s">
        <v>48</v>
      </c>
      <c r="B458" s="25" t="s">
        <v>368</v>
      </c>
      <c r="C458" s="25" t="s">
        <v>1378</v>
      </c>
      <c r="D458" s="27" t="s">
        <v>1003</v>
      </c>
      <c r="E458" s="27" t="s">
        <v>1380</v>
      </c>
      <c r="F458" s="31">
        <v>3320</v>
      </c>
      <c r="G458" s="45" t="s">
        <v>1381</v>
      </c>
      <c r="H458" s="45"/>
      <c r="I458" s="26" t="s">
        <v>547</v>
      </c>
      <c r="J458" s="26" t="s">
        <v>7</v>
      </c>
    </row>
    <row r="459" spans="1:10" x14ac:dyDescent="0.25">
      <c r="A459" s="1" t="s">
        <v>48</v>
      </c>
      <c r="B459" s="25" t="s">
        <v>368</v>
      </c>
      <c r="C459" s="25" t="s">
        <v>1382</v>
      </c>
      <c r="D459" s="27" t="s">
        <v>1116</v>
      </c>
      <c r="E459" s="27" t="s">
        <v>1383</v>
      </c>
      <c r="F459" s="31">
        <v>15960</v>
      </c>
      <c r="G459" s="45" t="s">
        <v>1384</v>
      </c>
      <c r="H459" s="45"/>
      <c r="I459" s="26" t="s">
        <v>86</v>
      </c>
      <c r="J459" s="26" t="s">
        <v>7</v>
      </c>
    </row>
    <row r="460" spans="1:10" x14ac:dyDescent="0.25">
      <c r="A460" s="1" t="s">
        <v>48</v>
      </c>
      <c r="B460" s="25" t="s">
        <v>368</v>
      </c>
      <c r="C460" s="25" t="s">
        <v>1385</v>
      </c>
      <c r="D460" s="27" t="s">
        <v>402</v>
      </c>
      <c r="E460" s="27" t="s">
        <v>1386</v>
      </c>
      <c r="F460" s="31">
        <v>4796</v>
      </c>
      <c r="G460" s="45" t="s">
        <v>1387</v>
      </c>
      <c r="H460" s="45"/>
      <c r="I460" s="26" t="s">
        <v>82</v>
      </c>
      <c r="J460" s="26" t="s">
        <v>7</v>
      </c>
    </row>
    <row r="461" spans="1:10" ht="33" x14ac:dyDescent="0.25">
      <c r="A461" s="1" t="s">
        <v>48</v>
      </c>
      <c r="B461" s="25" t="s">
        <v>1388</v>
      </c>
      <c r="C461" s="25" t="s">
        <v>1389</v>
      </c>
      <c r="D461" s="27" t="s">
        <v>985</v>
      </c>
      <c r="E461" s="27" t="s">
        <v>1390</v>
      </c>
      <c r="F461" s="31">
        <v>44751</v>
      </c>
      <c r="G461" s="45" t="s">
        <v>1391</v>
      </c>
      <c r="H461" s="45"/>
      <c r="I461" s="26" t="s">
        <v>335</v>
      </c>
      <c r="J461" s="26" t="s">
        <v>7</v>
      </c>
    </row>
    <row r="462" spans="1:10" x14ac:dyDescent="0.25">
      <c r="A462" s="1" t="s">
        <v>48</v>
      </c>
      <c r="B462" s="25" t="s">
        <v>1388</v>
      </c>
      <c r="C462" s="25" t="s">
        <v>1392</v>
      </c>
      <c r="D462" s="27" t="s">
        <v>563</v>
      </c>
      <c r="E462" s="27" t="s">
        <v>1393</v>
      </c>
      <c r="F462" s="31">
        <v>1680</v>
      </c>
      <c r="G462" s="45" t="s">
        <v>1394</v>
      </c>
      <c r="H462" s="45"/>
      <c r="I462" s="26" t="s">
        <v>82</v>
      </c>
      <c r="J462" s="26" t="s">
        <v>7</v>
      </c>
    </row>
    <row r="463" spans="1:10" ht="33" x14ac:dyDescent="0.25">
      <c r="A463" s="1" t="s">
        <v>48</v>
      </c>
      <c r="B463" s="25" t="s">
        <v>1388</v>
      </c>
      <c r="C463" s="25" t="s">
        <v>1392</v>
      </c>
      <c r="D463" s="27" t="s">
        <v>985</v>
      </c>
      <c r="E463" s="27" t="s">
        <v>1395</v>
      </c>
      <c r="F463" s="31">
        <v>220</v>
      </c>
      <c r="G463" s="45" t="s">
        <v>1396</v>
      </c>
      <c r="H463" s="45"/>
      <c r="I463" s="26" t="s">
        <v>276</v>
      </c>
      <c r="J463" s="26" t="s">
        <v>7</v>
      </c>
    </row>
    <row r="464" spans="1:10" ht="33" x14ac:dyDescent="0.25">
      <c r="A464" s="1" t="s">
        <v>48</v>
      </c>
      <c r="B464" s="25" t="s">
        <v>1388</v>
      </c>
      <c r="C464" s="25" t="s">
        <v>1397</v>
      </c>
      <c r="D464" s="27" t="s">
        <v>985</v>
      </c>
      <c r="E464" s="27" t="s">
        <v>1398</v>
      </c>
      <c r="F464" s="31">
        <v>6059</v>
      </c>
      <c r="G464" s="45" t="s">
        <v>1399</v>
      </c>
      <c r="H464" s="45"/>
      <c r="I464" s="26" t="s">
        <v>276</v>
      </c>
      <c r="J464" s="26" t="s">
        <v>7</v>
      </c>
    </row>
    <row r="465" spans="1:10" ht="33" x14ac:dyDescent="0.25">
      <c r="A465" s="1" t="s">
        <v>48</v>
      </c>
      <c r="B465" s="25" t="s">
        <v>1388</v>
      </c>
      <c r="C465" s="25" t="s">
        <v>1400</v>
      </c>
      <c r="D465" s="27" t="s">
        <v>1068</v>
      </c>
      <c r="E465" s="27" t="s">
        <v>1401</v>
      </c>
      <c r="F465" s="31">
        <v>4950</v>
      </c>
      <c r="G465" s="45" t="s">
        <v>1402</v>
      </c>
      <c r="H465" s="45"/>
      <c r="I465" s="26" t="s">
        <v>1131</v>
      </c>
      <c r="J465" s="26" t="s">
        <v>7</v>
      </c>
    </row>
    <row r="466" spans="1:10" ht="33" x14ac:dyDescent="0.25">
      <c r="A466" s="1" t="s">
        <v>48</v>
      </c>
      <c r="B466" s="25" t="s">
        <v>1388</v>
      </c>
      <c r="C466" s="25" t="s">
        <v>1400</v>
      </c>
      <c r="D466" s="27" t="s">
        <v>985</v>
      </c>
      <c r="E466" s="27" t="s">
        <v>1403</v>
      </c>
      <c r="F466" s="31">
        <v>1300</v>
      </c>
      <c r="G466" s="45" t="s">
        <v>1404</v>
      </c>
      <c r="H466" s="45"/>
      <c r="I466" s="26" t="s">
        <v>95</v>
      </c>
      <c r="J466" s="26" t="s">
        <v>7</v>
      </c>
    </row>
    <row r="467" spans="1:10" x14ac:dyDescent="0.25">
      <c r="A467" s="1" t="s">
        <v>48</v>
      </c>
      <c r="B467" s="25" t="s">
        <v>1388</v>
      </c>
      <c r="C467" s="25" t="s">
        <v>1405</v>
      </c>
      <c r="D467" s="27" t="s">
        <v>1068</v>
      </c>
      <c r="E467" s="27" t="s">
        <v>1406</v>
      </c>
      <c r="F467" s="31">
        <v>1215</v>
      </c>
      <c r="G467" s="45" t="s">
        <v>1407</v>
      </c>
      <c r="H467" s="45"/>
      <c r="I467" s="26" t="s">
        <v>364</v>
      </c>
      <c r="J467" s="26" t="s">
        <v>7</v>
      </c>
    </row>
    <row r="468" spans="1:10" x14ac:dyDescent="0.25">
      <c r="A468" s="1" t="s">
        <v>48</v>
      </c>
      <c r="B468" s="25" t="s">
        <v>1388</v>
      </c>
      <c r="C468" s="25" t="s">
        <v>1405</v>
      </c>
      <c r="D468" s="27" t="s">
        <v>1068</v>
      </c>
      <c r="E468" s="27" t="s">
        <v>1408</v>
      </c>
      <c r="F468" s="31">
        <v>208</v>
      </c>
      <c r="G468" s="45" t="s">
        <v>1409</v>
      </c>
      <c r="H468" s="45"/>
      <c r="I468" s="26" t="s">
        <v>364</v>
      </c>
      <c r="J468" s="26" t="s">
        <v>7</v>
      </c>
    </row>
    <row r="469" spans="1:10" x14ac:dyDescent="0.25">
      <c r="A469" s="1" t="s">
        <v>48</v>
      </c>
      <c r="B469" s="25" t="s">
        <v>1388</v>
      </c>
      <c r="C469" s="25" t="s">
        <v>1405</v>
      </c>
      <c r="D469" s="27" t="s">
        <v>1068</v>
      </c>
      <c r="E469" s="27" t="s">
        <v>1410</v>
      </c>
      <c r="F469" s="31">
        <v>300</v>
      </c>
      <c r="G469" s="45" t="s">
        <v>1411</v>
      </c>
      <c r="H469" s="45"/>
      <c r="I469" s="26" t="s">
        <v>364</v>
      </c>
      <c r="J469" s="26" t="s">
        <v>7</v>
      </c>
    </row>
    <row r="470" spans="1:10" x14ac:dyDescent="0.25">
      <c r="A470" s="1" t="s">
        <v>48</v>
      </c>
      <c r="B470" s="25" t="s">
        <v>1388</v>
      </c>
      <c r="C470" s="25" t="s">
        <v>1405</v>
      </c>
      <c r="D470" s="27" t="s">
        <v>1068</v>
      </c>
      <c r="E470" s="27" t="s">
        <v>1412</v>
      </c>
      <c r="F470" s="31">
        <v>170</v>
      </c>
      <c r="G470" s="45" t="s">
        <v>1413</v>
      </c>
      <c r="H470" s="45"/>
      <c r="I470" s="26" t="s">
        <v>364</v>
      </c>
      <c r="J470" s="26" t="s">
        <v>7</v>
      </c>
    </row>
    <row r="471" spans="1:10" x14ac:dyDescent="0.25">
      <c r="A471" s="1" t="s">
        <v>48</v>
      </c>
      <c r="B471" s="25" t="s">
        <v>1388</v>
      </c>
      <c r="C471" s="25" t="s">
        <v>1405</v>
      </c>
      <c r="D471" s="27" t="s">
        <v>1068</v>
      </c>
      <c r="E471" s="27" t="s">
        <v>1414</v>
      </c>
      <c r="F471" s="31">
        <v>4104</v>
      </c>
      <c r="G471" s="45" t="s">
        <v>1415</v>
      </c>
      <c r="H471" s="45"/>
      <c r="I471" s="26" t="s">
        <v>364</v>
      </c>
      <c r="J471" s="26" t="s">
        <v>7</v>
      </c>
    </row>
    <row r="472" spans="1:10" x14ac:dyDescent="0.25">
      <c r="A472" s="1" t="s">
        <v>48</v>
      </c>
      <c r="B472" s="25" t="s">
        <v>1388</v>
      </c>
      <c r="C472" s="25" t="s">
        <v>1405</v>
      </c>
      <c r="D472" s="27" t="s">
        <v>1068</v>
      </c>
      <c r="E472" s="27" t="s">
        <v>1416</v>
      </c>
      <c r="F472" s="31">
        <v>1610</v>
      </c>
      <c r="G472" s="45" t="s">
        <v>1407</v>
      </c>
      <c r="H472" s="45"/>
      <c r="I472" s="26" t="s">
        <v>364</v>
      </c>
      <c r="J472" s="26" t="s">
        <v>7</v>
      </c>
    </row>
    <row r="473" spans="1:10" ht="33" x14ac:dyDescent="0.25">
      <c r="A473" s="1" t="s">
        <v>48</v>
      </c>
      <c r="B473" s="25" t="s">
        <v>1388</v>
      </c>
      <c r="C473" s="25" t="s">
        <v>1417</v>
      </c>
      <c r="D473" s="27" t="s">
        <v>985</v>
      </c>
      <c r="E473" s="27" t="s">
        <v>1418</v>
      </c>
      <c r="F473" s="31">
        <v>1488</v>
      </c>
      <c r="G473" s="45" t="s">
        <v>1419</v>
      </c>
      <c r="H473" s="45"/>
      <c r="I473" s="26" t="s">
        <v>279</v>
      </c>
      <c r="J473" s="26" t="s">
        <v>7</v>
      </c>
    </row>
    <row r="474" spans="1:10" ht="49.5" x14ac:dyDescent="0.25">
      <c r="A474" s="1" t="s">
        <v>48</v>
      </c>
      <c r="B474" s="25" t="s">
        <v>1388</v>
      </c>
      <c r="C474" s="25" t="s">
        <v>1420</v>
      </c>
      <c r="D474" s="27" t="s">
        <v>1100</v>
      </c>
      <c r="E474" s="27" t="s">
        <v>1421</v>
      </c>
      <c r="F474" s="31">
        <v>2042</v>
      </c>
      <c r="G474" s="45" t="s">
        <v>1422</v>
      </c>
      <c r="H474" s="45"/>
      <c r="I474" s="26" t="s">
        <v>1131</v>
      </c>
      <c r="J474" s="26" t="s">
        <v>7</v>
      </c>
    </row>
    <row r="475" spans="1:10" x14ac:dyDescent="0.25">
      <c r="A475" s="1" t="s">
        <v>48</v>
      </c>
      <c r="B475" s="25" t="s">
        <v>378</v>
      </c>
      <c r="C475" s="25" t="s">
        <v>1423</v>
      </c>
      <c r="D475" s="27" t="s">
        <v>402</v>
      </c>
      <c r="E475" s="27" t="s">
        <v>1424</v>
      </c>
      <c r="F475" s="31">
        <v>16520</v>
      </c>
      <c r="G475" s="45" t="s">
        <v>1425</v>
      </c>
      <c r="H475" s="45"/>
      <c r="I475" s="26" t="s">
        <v>171</v>
      </c>
      <c r="J475" s="26" t="s">
        <v>7</v>
      </c>
    </row>
    <row r="476" spans="1:10" x14ac:dyDescent="0.25">
      <c r="A476" s="1" t="s">
        <v>48</v>
      </c>
      <c r="B476" s="25" t="s">
        <v>378</v>
      </c>
      <c r="C476" s="25" t="s">
        <v>1426</v>
      </c>
      <c r="D476" s="27" t="s">
        <v>402</v>
      </c>
      <c r="E476" s="27" t="s">
        <v>1427</v>
      </c>
      <c r="F476" s="31">
        <v>8361</v>
      </c>
      <c r="G476" s="45" t="s">
        <v>1428</v>
      </c>
      <c r="H476" s="45"/>
      <c r="I476" s="26" t="s">
        <v>607</v>
      </c>
      <c r="J476" s="26" t="s">
        <v>7</v>
      </c>
    </row>
    <row r="477" spans="1:10" x14ac:dyDescent="0.25">
      <c r="A477" s="1" t="s">
        <v>48</v>
      </c>
      <c r="B477" s="25" t="s">
        <v>378</v>
      </c>
      <c r="C477" s="25" t="s">
        <v>1429</v>
      </c>
      <c r="D477" s="27" t="s">
        <v>402</v>
      </c>
      <c r="E477" s="27" t="s">
        <v>1430</v>
      </c>
      <c r="F477" s="31">
        <v>4126</v>
      </c>
      <c r="G477" s="45" t="s">
        <v>1431</v>
      </c>
      <c r="H477" s="45"/>
      <c r="I477" s="26" t="s">
        <v>171</v>
      </c>
      <c r="J477" s="26" t="s">
        <v>7</v>
      </c>
    </row>
    <row r="478" spans="1:10" ht="33" x14ac:dyDescent="0.25">
      <c r="A478" s="1" t="s">
        <v>48</v>
      </c>
      <c r="B478" s="25" t="s">
        <v>405</v>
      </c>
      <c r="C478" s="25" t="s">
        <v>1432</v>
      </c>
      <c r="D478" s="27" t="s">
        <v>985</v>
      </c>
      <c r="E478" s="27" t="s">
        <v>1433</v>
      </c>
      <c r="F478" s="31">
        <v>5948</v>
      </c>
      <c r="G478" s="45" t="s">
        <v>1434</v>
      </c>
      <c r="H478" s="45"/>
      <c r="I478" s="26" t="s">
        <v>389</v>
      </c>
      <c r="J478" s="26" t="s">
        <v>7</v>
      </c>
    </row>
    <row r="479" spans="1:10" ht="33" x14ac:dyDescent="0.25">
      <c r="A479" s="1" t="s">
        <v>48</v>
      </c>
      <c r="B479" s="25" t="s">
        <v>405</v>
      </c>
      <c r="C479" s="25" t="s">
        <v>1432</v>
      </c>
      <c r="D479" s="27" t="s">
        <v>985</v>
      </c>
      <c r="E479" s="27" t="s">
        <v>1435</v>
      </c>
      <c r="F479" s="31">
        <v>1149</v>
      </c>
      <c r="G479" s="45" t="s">
        <v>1436</v>
      </c>
      <c r="H479" s="45"/>
      <c r="I479" s="26" t="s">
        <v>389</v>
      </c>
      <c r="J479" s="26" t="s">
        <v>7</v>
      </c>
    </row>
    <row r="480" spans="1:10" x14ac:dyDescent="0.25">
      <c r="A480" s="1" t="s">
        <v>48</v>
      </c>
      <c r="B480" s="25" t="s">
        <v>405</v>
      </c>
      <c r="C480" s="25" t="s">
        <v>1432</v>
      </c>
      <c r="D480" s="27" t="s">
        <v>1437</v>
      </c>
      <c r="E480" s="27" t="s">
        <v>1438</v>
      </c>
      <c r="F480" s="31">
        <v>1353</v>
      </c>
      <c r="G480" s="45" t="s">
        <v>1439</v>
      </c>
      <c r="H480" s="45"/>
      <c r="I480" s="26" t="s">
        <v>389</v>
      </c>
      <c r="J480" s="26" t="s">
        <v>7</v>
      </c>
    </row>
    <row r="481" spans="1:10" ht="33" x14ac:dyDescent="0.25">
      <c r="A481" s="1" t="s">
        <v>48</v>
      </c>
      <c r="B481" s="25" t="s">
        <v>405</v>
      </c>
      <c r="C481" s="25" t="s">
        <v>1432</v>
      </c>
      <c r="D481" s="27" t="s">
        <v>985</v>
      </c>
      <c r="E481" s="27" t="s">
        <v>1440</v>
      </c>
      <c r="F481" s="31">
        <v>2684</v>
      </c>
      <c r="G481" s="45" t="s">
        <v>1441</v>
      </c>
      <c r="H481" s="45"/>
      <c r="I481" s="26" t="s">
        <v>389</v>
      </c>
      <c r="J481" s="26" t="s">
        <v>7</v>
      </c>
    </row>
    <row r="482" spans="1:10" x14ac:dyDescent="0.25">
      <c r="A482" s="1" t="s">
        <v>48</v>
      </c>
      <c r="B482" s="25" t="s">
        <v>405</v>
      </c>
      <c r="C482" s="25" t="s">
        <v>1442</v>
      </c>
      <c r="D482" s="27" t="s">
        <v>1092</v>
      </c>
      <c r="E482" s="27" t="s">
        <v>1443</v>
      </c>
      <c r="F482" s="31">
        <v>744</v>
      </c>
      <c r="G482" s="45" t="s">
        <v>1444</v>
      </c>
      <c r="H482" s="45"/>
      <c r="I482" s="26" t="s">
        <v>82</v>
      </c>
      <c r="J482" s="26" t="s">
        <v>7</v>
      </c>
    </row>
    <row r="483" spans="1:10" ht="33" x14ac:dyDescent="0.25">
      <c r="A483" s="1" t="s">
        <v>48</v>
      </c>
      <c r="B483" s="25" t="s">
        <v>405</v>
      </c>
      <c r="C483" s="25" t="s">
        <v>1442</v>
      </c>
      <c r="D483" s="27" t="s">
        <v>1115</v>
      </c>
      <c r="E483" s="27" t="s">
        <v>1443</v>
      </c>
      <c r="F483" s="31">
        <v>3772</v>
      </c>
      <c r="G483" s="45" t="s">
        <v>1444</v>
      </c>
      <c r="H483" s="45"/>
      <c r="I483" s="26" t="s">
        <v>82</v>
      </c>
      <c r="J483" s="26" t="s">
        <v>7</v>
      </c>
    </row>
    <row r="484" spans="1:10" x14ac:dyDescent="0.25">
      <c r="A484" s="1" t="s">
        <v>48</v>
      </c>
      <c r="B484" s="25" t="s">
        <v>405</v>
      </c>
      <c r="C484" s="25" t="s">
        <v>1442</v>
      </c>
      <c r="D484" s="27" t="s">
        <v>563</v>
      </c>
      <c r="E484" s="27" t="s">
        <v>1445</v>
      </c>
      <c r="F484" s="31">
        <v>2160</v>
      </c>
      <c r="G484" s="45" t="s">
        <v>1446</v>
      </c>
      <c r="H484" s="45"/>
      <c r="I484" s="26" t="s">
        <v>82</v>
      </c>
      <c r="J484" s="26" t="s">
        <v>7</v>
      </c>
    </row>
    <row r="485" spans="1:10" x14ac:dyDescent="0.25">
      <c r="A485" s="1" t="s">
        <v>48</v>
      </c>
      <c r="B485" s="25" t="s">
        <v>405</v>
      </c>
      <c r="C485" s="25" t="s">
        <v>1442</v>
      </c>
      <c r="D485" s="27" t="s">
        <v>563</v>
      </c>
      <c r="E485" s="27" t="s">
        <v>1447</v>
      </c>
      <c r="F485" s="31">
        <v>2145</v>
      </c>
      <c r="G485" s="45" t="s">
        <v>1448</v>
      </c>
      <c r="H485" s="45"/>
      <c r="I485" s="26" t="s">
        <v>82</v>
      </c>
      <c r="J485" s="26" t="s">
        <v>7</v>
      </c>
    </row>
    <row r="486" spans="1:10" ht="33" x14ac:dyDescent="0.25">
      <c r="A486" s="1" t="s">
        <v>48</v>
      </c>
      <c r="B486" s="25" t="s">
        <v>405</v>
      </c>
      <c r="C486" s="25" t="s">
        <v>1442</v>
      </c>
      <c r="D486" s="27" t="s">
        <v>985</v>
      </c>
      <c r="E486" s="27" t="s">
        <v>1449</v>
      </c>
      <c r="F486" s="31">
        <v>1150</v>
      </c>
      <c r="G486" s="45" t="s">
        <v>1450</v>
      </c>
      <c r="H486" s="45"/>
      <c r="I486" s="26" t="s">
        <v>95</v>
      </c>
      <c r="J486" s="26" t="s">
        <v>7</v>
      </c>
    </row>
    <row r="487" spans="1:10" ht="33" x14ac:dyDescent="0.25">
      <c r="A487" s="1" t="s">
        <v>48</v>
      </c>
      <c r="B487" s="25" t="s">
        <v>405</v>
      </c>
      <c r="C487" s="25" t="s">
        <v>1451</v>
      </c>
      <c r="D487" s="27" t="s">
        <v>1150</v>
      </c>
      <c r="E487" s="27" t="s">
        <v>1452</v>
      </c>
      <c r="F487" s="31">
        <v>2920</v>
      </c>
      <c r="G487" s="45" t="s">
        <v>1453</v>
      </c>
      <c r="H487" s="45"/>
      <c r="I487" s="26" t="s">
        <v>1131</v>
      </c>
      <c r="J487" s="26" t="s">
        <v>7</v>
      </c>
    </row>
    <row r="488" spans="1:10" ht="33" x14ac:dyDescent="0.25">
      <c r="A488" s="1" t="s">
        <v>48</v>
      </c>
      <c r="B488" s="25" t="s">
        <v>405</v>
      </c>
      <c r="C488" s="25" t="s">
        <v>1451</v>
      </c>
      <c r="D488" s="27" t="s">
        <v>1150</v>
      </c>
      <c r="E488" s="27" t="s">
        <v>1454</v>
      </c>
      <c r="F488" s="31">
        <v>180</v>
      </c>
      <c r="G488" s="45" t="s">
        <v>1455</v>
      </c>
      <c r="H488" s="45"/>
      <c r="I488" s="26" t="s">
        <v>1131</v>
      </c>
      <c r="J488" s="26" t="s">
        <v>7</v>
      </c>
    </row>
    <row r="489" spans="1:10" ht="33" x14ac:dyDescent="0.25">
      <c r="A489" s="1" t="s">
        <v>48</v>
      </c>
      <c r="B489" s="25" t="s">
        <v>405</v>
      </c>
      <c r="C489" s="25" t="s">
        <v>1451</v>
      </c>
      <c r="D489" s="27" t="s">
        <v>1150</v>
      </c>
      <c r="E489" s="27" t="s">
        <v>1456</v>
      </c>
      <c r="F489" s="31">
        <v>391</v>
      </c>
      <c r="G489" s="45" t="s">
        <v>1457</v>
      </c>
      <c r="H489" s="45"/>
      <c r="I489" s="26" t="s">
        <v>1131</v>
      </c>
      <c r="J489" s="26" t="s">
        <v>7</v>
      </c>
    </row>
    <row r="490" spans="1:10" ht="33" x14ac:dyDescent="0.25">
      <c r="A490" s="1" t="s">
        <v>48</v>
      </c>
      <c r="B490" s="25" t="s">
        <v>405</v>
      </c>
      <c r="C490" s="25" t="s">
        <v>1451</v>
      </c>
      <c r="D490" s="27" t="s">
        <v>1150</v>
      </c>
      <c r="E490" s="27" t="s">
        <v>1458</v>
      </c>
      <c r="F490" s="31">
        <v>2400</v>
      </c>
      <c r="G490" s="45" t="s">
        <v>1459</v>
      </c>
      <c r="H490" s="45"/>
      <c r="I490" s="26" t="s">
        <v>86</v>
      </c>
      <c r="J490" s="26" t="s">
        <v>7</v>
      </c>
    </row>
    <row r="491" spans="1:10" ht="33" x14ac:dyDescent="0.25">
      <c r="A491" s="1" t="s">
        <v>48</v>
      </c>
      <c r="B491" s="25" t="s">
        <v>405</v>
      </c>
      <c r="C491" s="25" t="s">
        <v>1460</v>
      </c>
      <c r="D491" s="27" t="s">
        <v>1249</v>
      </c>
      <c r="E491" s="27" t="s">
        <v>1461</v>
      </c>
      <c r="F491" s="31">
        <v>3267</v>
      </c>
      <c r="G491" s="45" t="s">
        <v>1462</v>
      </c>
      <c r="H491" s="45"/>
      <c r="I491" s="26" t="s">
        <v>86</v>
      </c>
      <c r="J491" s="26" t="s">
        <v>7</v>
      </c>
    </row>
    <row r="492" spans="1:10" ht="33" x14ac:dyDescent="0.25">
      <c r="A492" s="1" t="s">
        <v>48</v>
      </c>
      <c r="B492" s="25" t="s">
        <v>405</v>
      </c>
      <c r="C492" s="25" t="s">
        <v>1460</v>
      </c>
      <c r="D492" s="27" t="s">
        <v>1083</v>
      </c>
      <c r="E492" s="27" t="s">
        <v>1463</v>
      </c>
      <c r="F492" s="31">
        <v>2850</v>
      </c>
      <c r="G492" s="45" t="s">
        <v>1464</v>
      </c>
      <c r="H492" s="45"/>
      <c r="I492" s="26" t="s">
        <v>547</v>
      </c>
      <c r="J492" s="26" t="s">
        <v>7</v>
      </c>
    </row>
    <row r="493" spans="1:10" x14ac:dyDescent="0.25">
      <c r="A493" s="1" t="s">
        <v>48</v>
      </c>
      <c r="B493" s="25" t="s">
        <v>405</v>
      </c>
      <c r="C493" s="25" t="s">
        <v>1465</v>
      </c>
      <c r="D493" s="27" t="s">
        <v>1068</v>
      </c>
      <c r="E493" s="27" t="s">
        <v>1466</v>
      </c>
      <c r="F493" s="31">
        <v>2101</v>
      </c>
      <c r="G493" s="45" t="s">
        <v>1467</v>
      </c>
      <c r="H493" s="45"/>
      <c r="I493" s="26" t="s">
        <v>1169</v>
      </c>
      <c r="J493" s="26" t="s">
        <v>7</v>
      </c>
    </row>
    <row r="494" spans="1:10" ht="49.5" x14ac:dyDescent="0.25">
      <c r="A494" s="1" t="s">
        <v>48</v>
      </c>
      <c r="B494" s="25" t="s">
        <v>418</v>
      </c>
      <c r="C494" s="25" t="s">
        <v>1468</v>
      </c>
      <c r="D494" s="27" t="s">
        <v>1100</v>
      </c>
      <c r="E494" s="27" t="s">
        <v>1469</v>
      </c>
      <c r="F494" s="31">
        <v>4084</v>
      </c>
      <c r="G494" s="45" t="s">
        <v>1470</v>
      </c>
      <c r="H494" s="45"/>
      <c r="I494" s="26" t="s">
        <v>1131</v>
      </c>
      <c r="J494" s="26" t="s">
        <v>7</v>
      </c>
    </row>
    <row r="495" spans="1:10" ht="49.5" x14ac:dyDescent="0.25">
      <c r="A495" s="1" t="s">
        <v>48</v>
      </c>
      <c r="B495" s="25" t="s">
        <v>418</v>
      </c>
      <c r="C495" s="25" t="s">
        <v>1468</v>
      </c>
      <c r="D495" s="27" t="s">
        <v>1100</v>
      </c>
      <c r="E495" s="27" t="s">
        <v>1471</v>
      </c>
      <c r="F495" s="31">
        <v>4084</v>
      </c>
      <c r="G495" s="45" t="s">
        <v>1472</v>
      </c>
      <c r="H495" s="45"/>
      <c r="I495" s="26" t="s">
        <v>1131</v>
      </c>
      <c r="J495" s="26" t="s">
        <v>7</v>
      </c>
    </row>
    <row r="496" spans="1:10" ht="49.5" x14ac:dyDescent="0.25">
      <c r="A496" s="1" t="s">
        <v>48</v>
      </c>
      <c r="B496" s="25" t="s">
        <v>418</v>
      </c>
      <c r="C496" s="25" t="s">
        <v>1468</v>
      </c>
      <c r="D496" s="27" t="s">
        <v>1100</v>
      </c>
      <c r="E496" s="27" t="s">
        <v>1473</v>
      </c>
      <c r="F496" s="31">
        <v>4084</v>
      </c>
      <c r="G496" s="45" t="s">
        <v>1474</v>
      </c>
      <c r="H496" s="45"/>
      <c r="I496" s="26" t="s">
        <v>86</v>
      </c>
      <c r="J496" s="26" t="s">
        <v>7</v>
      </c>
    </row>
    <row r="497" spans="1:10" x14ac:dyDescent="0.25">
      <c r="A497" s="1" t="s">
        <v>48</v>
      </c>
      <c r="B497" s="25" t="s">
        <v>445</v>
      </c>
      <c r="C497" s="25" t="s">
        <v>1475</v>
      </c>
      <c r="D497" s="27" t="s">
        <v>1076</v>
      </c>
      <c r="E497" s="27" t="s">
        <v>1476</v>
      </c>
      <c r="F497" s="31">
        <v>5000</v>
      </c>
      <c r="G497" s="45" t="s">
        <v>1477</v>
      </c>
      <c r="H497" s="45"/>
      <c r="I497" s="26" t="s">
        <v>335</v>
      </c>
      <c r="J497" s="26" t="s">
        <v>7</v>
      </c>
    </row>
    <row r="498" spans="1:10" ht="49.5" x14ac:dyDescent="0.25">
      <c r="A498" s="1" t="s">
        <v>48</v>
      </c>
      <c r="B498" s="25" t="s">
        <v>445</v>
      </c>
      <c r="C498" s="25" t="s">
        <v>1478</v>
      </c>
      <c r="D498" s="27" t="s">
        <v>1100</v>
      </c>
      <c r="E498" s="27" t="s">
        <v>1479</v>
      </c>
      <c r="F498" s="31">
        <v>5300</v>
      </c>
      <c r="G498" s="45" t="s">
        <v>1480</v>
      </c>
      <c r="H498" s="45"/>
      <c r="I498" s="26" t="s">
        <v>1198</v>
      </c>
      <c r="J498" s="26" t="s">
        <v>7</v>
      </c>
    </row>
    <row r="499" spans="1:10" ht="33" x14ac:dyDescent="0.25">
      <c r="A499" s="1" t="s">
        <v>48</v>
      </c>
      <c r="B499" s="25" t="s">
        <v>1481</v>
      </c>
      <c r="C499" s="25" t="s">
        <v>1482</v>
      </c>
      <c r="D499" s="27" t="s">
        <v>1088</v>
      </c>
      <c r="E499" s="27" t="s">
        <v>1483</v>
      </c>
      <c r="F499" s="31">
        <v>5250</v>
      </c>
      <c r="G499" s="45" t="s">
        <v>1484</v>
      </c>
      <c r="H499" s="45"/>
      <c r="I499" s="26" t="s">
        <v>271</v>
      </c>
      <c r="J499" s="26" t="s">
        <v>7</v>
      </c>
    </row>
    <row r="500" spans="1:10" ht="33" x14ac:dyDescent="0.25">
      <c r="A500" s="1" t="s">
        <v>48</v>
      </c>
      <c r="B500" s="25" t="s">
        <v>1481</v>
      </c>
      <c r="C500" s="25" t="s">
        <v>1485</v>
      </c>
      <c r="D500" s="27" t="s">
        <v>1115</v>
      </c>
      <c r="E500" s="27" t="s">
        <v>1486</v>
      </c>
      <c r="F500" s="31">
        <v>571</v>
      </c>
      <c r="G500" s="45" t="s">
        <v>1487</v>
      </c>
      <c r="H500" s="45"/>
      <c r="I500" s="26" t="s">
        <v>166</v>
      </c>
      <c r="J500" s="26" t="s">
        <v>7</v>
      </c>
    </row>
    <row r="501" spans="1:10" ht="33" x14ac:dyDescent="0.25">
      <c r="A501" s="1" t="s">
        <v>48</v>
      </c>
      <c r="B501" s="25" t="s">
        <v>1481</v>
      </c>
      <c r="C501" s="25" t="s">
        <v>1485</v>
      </c>
      <c r="D501" s="27" t="s">
        <v>1150</v>
      </c>
      <c r="E501" s="27" t="s">
        <v>1488</v>
      </c>
      <c r="F501" s="31">
        <v>42</v>
      </c>
      <c r="G501" s="45" t="s">
        <v>1489</v>
      </c>
      <c r="H501" s="45"/>
      <c r="I501" s="26" t="s">
        <v>1131</v>
      </c>
      <c r="J501" s="26" t="s">
        <v>7</v>
      </c>
    </row>
    <row r="502" spans="1:10" ht="33" x14ac:dyDescent="0.25">
      <c r="A502" s="1" t="s">
        <v>48</v>
      </c>
      <c r="B502" s="25" t="s">
        <v>1481</v>
      </c>
      <c r="C502" s="25" t="s">
        <v>1485</v>
      </c>
      <c r="D502" s="27" t="s">
        <v>1115</v>
      </c>
      <c r="E502" s="27" t="s">
        <v>1490</v>
      </c>
      <c r="F502" s="31">
        <v>46</v>
      </c>
      <c r="G502" s="45" t="s">
        <v>1491</v>
      </c>
      <c r="H502" s="45"/>
      <c r="I502" s="26" t="s">
        <v>1131</v>
      </c>
      <c r="J502" s="26" t="s">
        <v>7</v>
      </c>
    </row>
    <row r="503" spans="1:10" ht="33" x14ac:dyDescent="0.25">
      <c r="A503" s="1" t="s">
        <v>48</v>
      </c>
      <c r="B503" s="25" t="s">
        <v>1481</v>
      </c>
      <c r="C503" s="25" t="s">
        <v>1492</v>
      </c>
      <c r="D503" s="27" t="s">
        <v>1115</v>
      </c>
      <c r="E503" s="27" t="s">
        <v>1493</v>
      </c>
      <c r="F503" s="31">
        <v>4320</v>
      </c>
      <c r="G503" s="45" t="s">
        <v>1494</v>
      </c>
      <c r="H503" s="45"/>
      <c r="I503" s="26" t="s">
        <v>103</v>
      </c>
      <c r="J503" s="26" t="s">
        <v>7</v>
      </c>
    </row>
    <row r="504" spans="1:10" ht="33" x14ac:dyDescent="0.25">
      <c r="A504" s="1" t="s">
        <v>48</v>
      </c>
      <c r="B504" s="25" t="s">
        <v>1481</v>
      </c>
      <c r="C504" s="25" t="s">
        <v>1492</v>
      </c>
      <c r="D504" s="27" t="s">
        <v>1018</v>
      </c>
      <c r="E504" s="27" t="s">
        <v>1495</v>
      </c>
      <c r="F504" s="31">
        <v>651</v>
      </c>
      <c r="G504" s="45" t="s">
        <v>1496</v>
      </c>
      <c r="H504" s="45"/>
      <c r="I504" s="26" t="s">
        <v>271</v>
      </c>
      <c r="J504" s="26" t="s">
        <v>7</v>
      </c>
    </row>
    <row r="505" spans="1:10" ht="49.5" x14ac:dyDescent="0.25">
      <c r="A505" s="1" t="s">
        <v>48</v>
      </c>
      <c r="B505" s="25" t="s">
        <v>452</v>
      </c>
      <c r="C505" s="25" t="s">
        <v>1497</v>
      </c>
      <c r="D505" s="27" t="s">
        <v>1100</v>
      </c>
      <c r="E505" s="27" t="s">
        <v>1498</v>
      </c>
      <c r="F505" s="31">
        <v>4084</v>
      </c>
      <c r="G505" s="45" t="s">
        <v>1499</v>
      </c>
      <c r="H505" s="45"/>
      <c r="I505" s="26" t="s">
        <v>1131</v>
      </c>
      <c r="J505" s="26" t="s">
        <v>7</v>
      </c>
    </row>
    <row r="506" spans="1:10" ht="49.5" x14ac:dyDescent="0.25">
      <c r="A506" s="1" t="s">
        <v>48</v>
      </c>
      <c r="B506" s="25" t="s">
        <v>470</v>
      </c>
      <c r="C506" s="25" t="s">
        <v>1500</v>
      </c>
      <c r="D506" s="27" t="s">
        <v>1100</v>
      </c>
      <c r="E506" s="27" t="s">
        <v>1501</v>
      </c>
      <c r="F506" s="31">
        <v>4084</v>
      </c>
      <c r="G506" s="45" t="s">
        <v>1502</v>
      </c>
      <c r="H506" s="45"/>
      <c r="I506" s="26" t="s">
        <v>1131</v>
      </c>
      <c r="J506" s="26" t="s">
        <v>7</v>
      </c>
    </row>
    <row r="507" spans="1:10" ht="49.5" x14ac:dyDescent="0.25">
      <c r="A507" s="1" t="s">
        <v>48</v>
      </c>
      <c r="B507" s="25" t="s">
        <v>470</v>
      </c>
      <c r="C507" s="25" t="s">
        <v>1500</v>
      </c>
      <c r="D507" s="27" t="s">
        <v>1100</v>
      </c>
      <c r="E507" s="27" t="s">
        <v>1503</v>
      </c>
      <c r="F507" s="31">
        <v>4084</v>
      </c>
      <c r="G507" s="45" t="s">
        <v>1504</v>
      </c>
      <c r="H507" s="45"/>
      <c r="I507" s="26" t="s">
        <v>133</v>
      </c>
      <c r="J507" s="26" t="s">
        <v>7</v>
      </c>
    </row>
    <row r="508" spans="1:10" ht="49.5" x14ac:dyDescent="0.25">
      <c r="A508" s="1" t="s">
        <v>48</v>
      </c>
      <c r="B508" s="25" t="s">
        <v>470</v>
      </c>
      <c r="C508" s="25" t="s">
        <v>1500</v>
      </c>
      <c r="D508" s="27" t="s">
        <v>1100</v>
      </c>
      <c r="E508" s="27" t="s">
        <v>1505</v>
      </c>
      <c r="F508" s="31">
        <v>4084</v>
      </c>
      <c r="G508" s="45" t="s">
        <v>1506</v>
      </c>
      <c r="H508" s="45"/>
      <c r="I508" s="26" t="s">
        <v>133</v>
      </c>
      <c r="J508" s="26" t="s">
        <v>7</v>
      </c>
    </row>
    <row r="509" spans="1:10" x14ac:dyDescent="0.25">
      <c r="A509" s="1" t="s">
        <v>48</v>
      </c>
      <c r="B509" s="25" t="s">
        <v>499</v>
      </c>
      <c r="C509" s="25" t="s">
        <v>1507</v>
      </c>
      <c r="D509" s="27" t="s">
        <v>1112</v>
      </c>
      <c r="E509" s="27" t="s">
        <v>1508</v>
      </c>
      <c r="F509" s="31">
        <v>500</v>
      </c>
      <c r="G509" s="45" t="s">
        <v>1509</v>
      </c>
      <c r="H509" s="45"/>
      <c r="I509" s="26" t="s">
        <v>82</v>
      </c>
      <c r="J509" s="26" t="s">
        <v>7</v>
      </c>
    </row>
    <row r="510" spans="1:10" ht="33" x14ac:dyDescent="0.25">
      <c r="A510" s="1" t="s">
        <v>48</v>
      </c>
      <c r="B510" s="25" t="s">
        <v>499</v>
      </c>
      <c r="C510" s="25" t="s">
        <v>1507</v>
      </c>
      <c r="D510" s="27" t="s">
        <v>1115</v>
      </c>
      <c r="E510" s="27" t="s">
        <v>1508</v>
      </c>
      <c r="F510" s="31">
        <v>2100</v>
      </c>
      <c r="G510" s="45" t="s">
        <v>1509</v>
      </c>
      <c r="H510" s="45"/>
      <c r="I510" s="26" t="s">
        <v>82</v>
      </c>
      <c r="J510" s="26" t="s">
        <v>7</v>
      </c>
    </row>
    <row r="511" spans="1:10" x14ac:dyDescent="0.25">
      <c r="A511" s="1" t="s">
        <v>48</v>
      </c>
      <c r="B511" s="25" t="s">
        <v>499</v>
      </c>
      <c r="C511" s="25" t="s">
        <v>1507</v>
      </c>
      <c r="D511" s="27" t="s">
        <v>563</v>
      </c>
      <c r="E511" s="27" t="s">
        <v>1510</v>
      </c>
      <c r="F511" s="31">
        <v>4960</v>
      </c>
      <c r="G511" s="45" t="s">
        <v>1511</v>
      </c>
      <c r="H511" s="45"/>
      <c r="I511" s="26" t="s">
        <v>82</v>
      </c>
      <c r="J511" s="26" t="s">
        <v>7</v>
      </c>
    </row>
    <row r="512" spans="1:10" ht="33" x14ac:dyDescent="0.25">
      <c r="A512" s="1" t="s">
        <v>48</v>
      </c>
      <c r="B512" s="25" t="s">
        <v>499</v>
      </c>
      <c r="C512" s="25" t="s">
        <v>1507</v>
      </c>
      <c r="D512" s="27" t="s">
        <v>985</v>
      </c>
      <c r="E512" s="27" t="s">
        <v>1512</v>
      </c>
      <c r="F512" s="31">
        <v>1061</v>
      </c>
      <c r="G512" s="45" t="s">
        <v>1513</v>
      </c>
      <c r="H512" s="45"/>
      <c r="I512" s="26" t="s">
        <v>126</v>
      </c>
      <c r="J512" s="26" t="s">
        <v>7</v>
      </c>
    </row>
    <row r="513" spans="1:10" ht="33" x14ac:dyDescent="0.25">
      <c r="A513" s="1" t="s">
        <v>48</v>
      </c>
      <c r="B513" s="25" t="s">
        <v>499</v>
      </c>
      <c r="C513" s="25" t="s">
        <v>1507</v>
      </c>
      <c r="D513" s="27" t="s">
        <v>1018</v>
      </c>
      <c r="E513" s="27" t="s">
        <v>1514</v>
      </c>
      <c r="F513" s="31">
        <v>969</v>
      </c>
      <c r="G513" s="45" t="s">
        <v>1515</v>
      </c>
      <c r="H513" s="45"/>
      <c r="I513" s="26" t="s">
        <v>749</v>
      </c>
      <c r="J513" s="26" t="s">
        <v>7</v>
      </c>
    </row>
    <row r="514" spans="1:10" ht="33" x14ac:dyDescent="0.25">
      <c r="A514" s="1" t="s">
        <v>48</v>
      </c>
      <c r="B514" s="25" t="s">
        <v>499</v>
      </c>
      <c r="C514" s="25" t="s">
        <v>1507</v>
      </c>
      <c r="D514" s="27" t="s">
        <v>985</v>
      </c>
      <c r="E514" s="27" t="s">
        <v>1516</v>
      </c>
      <c r="F514" s="31">
        <v>899</v>
      </c>
      <c r="G514" s="45" t="s">
        <v>1517</v>
      </c>
      <c r="H514" s="45"/>
      <c r="I514" s="26" t="s">
        <v>1169</v>
      </c>
      <c r="J514" s="26" t="s">
        <v>7</v>
      </c>
    </row>
    <row r="515" spans="1:10" x14ac:dyDescent="0.25">
      <c r="A515" s="1" t="s">
        <v>48</v>
      </c>
      <c r="B515" s="25" t="s">
        <v>499</v>
      </c>
      <c r="C515" s="25" t="s">
        <v>1518</v>
      </c>
      <c r="D515" s="27" t="s">
        <v>563</v>
      </c>
      <c r="E515" s="27" t="s">
        <v>1519</v>
      </c>
      <c r="F515" s="31">
        <v>7200</v>
      </c>
      <c r="G515" s="45" t="s">
        <v>1520</v>
      </c>
      <c r="H515" s="45"/>
      <c r="I515" s="26" t="s">
        <v>719</v>
      </c>
      <c r="J515" s="26" t="s">
        <v>7</v>
      </c>
    </row>
    <row r="516" spans="1:10" ht="49.5" x14ac:dyDescent="0.25">
      <c r="A516" s="1" t="s">
        <v>48</v>
      </c>
      <c r="B516" s="25" t="s">
        <v>499</v>
      </c>
      <c r="C516" s="25" t="s">
        <v>1521</v>
      </c>
      <c r="D516" s="27" t="s">
        <v>1100</v>
      </c>
      <c r="E516" s="27" t="s">
        <v>1522</v>
      </c>
      <c r="F516" s="31">
        <v>4084</v>
      </c>
      <c r="G516" s="45" t="s">
        <v>1523</v>
      </c>
      <c r="H516" s="45"/>
      <c r="I516" s="26" t="s">
        <v>1524</v>
      </c>
      <c r="J516" s="26" t="s">
        <v>7</v>
      </c>
    </row>
    <row r="517" spans="1:10" x14ac:dyDescent="0.25">
      <c r="A517" s="1" t="s">
        <v>48</v>
      </c>
      <c r="B517" s="25" t="s">
        <v>503</v>
      </c>
      <c r="C517" s="25" t="s">
        <v>1525</v>
      </c>
      <c r="D517" s="27" t="s">
        <v>563</v>
      </c>
      <c r="E517" s="27" t="s">
        <v>1526</v>
      </c>
      <c r="F517" s="31">
        <v>7800</v>
      </c>
      <c r="G517" s="45" t="s">
        <v>1527</v>
      </c>
      <c r="H517" s="45"/>
      <c r="I517" s="26" t="s">
        <v>95</v>
      </c>
      <c r="J517" s="26" t="s">
        <v>7</v>
      </c>
    </row>
    <row r="518" spans="1:10" ht="33" x14ac:dyDescent="0.25">
      <c r="A518" s="1" t="s">
        <v>48</v>
      </c>
      <c r="B518" s="25" t="s">
        <v>503</v>
      </c>
      <c r="C518" s="25" t="s">
        <v>1525</v>
      </c>
      <c r="D518" s="27" t="s">
        <v>1018</v>
      </c>
      <c r="E518" s="27" t="s">
        <v>1528</v>
      </c>
      <c r="F518" s="31">
        <v>3302</v>
      </c>
      <c r="G518" s="45" t="s">
        <v>1529</v>
      </c>
      <c r="H518" s="45"/>
      <c r="I518" s="26" t="s">
        <v>266</v>
      </c>
      <c r="J518" s="26" t="s">
        <v>7</v>
      </c>
    </row>
    <row r="519" spans="1:10" x14ac:dyDescent="0.25">
      <c r="A519" s="1" t="s">
        <v>48</v>
      </c>
      <c r="B519" s="25" t="s">
        <v>513</v>
      </c>
      <c r="C519" s="25" t="s">
        <v>1530</v>
      </c>
      <c r="D519" s="27" t="s">
        <v>1011</v>
      </c>
      <c r="E519" s="27" t="s">
        <v>1531</v>
      </c>
      <c r="F519" s="31">
        <v>5960</v>
      </c>
      <c r="G519" s="45" t="s">
        <v>1532</v>
      </c>
      <c r="H519" s="45"/>
      <c r="I519" s="26" t="s">
        <v>607</v>
      </c>
      <c r="J519" s="26" t="s">
        <v>7</v>
      </c>
    </row>
    <row r="520" spans="1:10" x14ac:dyDescent="0.25">
      <c r="A520" s="1" t="s">
        <v>48</v>
      </c>
      <c r="B520" s="25" t="s">
        <v>513</v>
      </c>
      <c r="C520" s="25" t="s">
        <v>1533</v>
      </c>
      <c r="D520" s="27" t="s">
        <v>402</v>
      </c>
      <c r="E520" s="27" t="s">
        <v>1534</v>
      </c>
      <c r="F520" s="31">
        <v>1632</v>
      </c>
      <c r="G520" s="45" t="s">
        <v>1535</v>
      </c>
      <c r="H520" s="45"/>
      <c r="I520" s="26" t="s">
        <v>1536</v>
      </c>
      <c r="J520" s="26" t="s">
        <v>7</v>
      </c>
    </row>
    <row r="521" spans="1:10" ht="33" x14ac:dyDescent="0.25">
      <c r="A521" s="1" t="s">
        <v>48</v>
      </c>
      <c r="B521" s="25" t="s">
        <v>521</v>
      </c>
      <c r="C521" s="25" t="s">
        <v>1537</v>
      </c>
      <c r="D521" s="27" t="s">
        <v>1150</v>
      </c>
      <c r="E521" s="27" t="s">
        <v>1538</v>
      </c>
      <c r="F521" s="31">
        <v>1390</v>
      </c>
      <c r="G521" s="45" t="s">
        <v>1539</v>
      </c>
      <c r="H521" s="45"/>
      <c r="I521" s="26" t="s">
        <v>1536</v>
      </c>
      <c r="J521" s="26" t="s">
        <v>7</v>
      </c>
    </row>
    <row r="522" spans="1:10" ht="33" x14ac:dyDescent="0.25">
      <c r="A522" s="1" t="s">
        <v>48</v>
      </c>
      <c r="B522" s="25" t="s">
        <v>521</v>
      </c>
      <c r="C522" s="25" t="s">
        <v>1537</v>
      </c>
      <c r="D522" s="27" t="s">
        <v>1150</v>
      </c>
      <c r="E522" s="27" t="s">
        <v>1540</v>
      </c>
      <c r="F522" s="31">
        <v>298</v>
      </c>
      <c r="G522" s="45" t="s">
        <v>1541</v>
      </c>
      <c r="H522" s="45"/>
      <c r="I522" s="26" t="s">
        <v>1131</v>
      </c>
      <c r="J522" s="26" t="s">
        <v>7</v>
      </c>
    </row>
    <row r="523" spans="1:10" ht="33" x14ac:dyDescent="0.25">
      <c r="A523" s="1" t="s">
        <v>48</v>
      </c>
      <c r="B523" s="25" t="s">
        <v>521</v>
      </c>
      <c r="C523" s="25" t="s">
        <v>1537</v>
      </c>
      <c r="D523" s="27" t="s">
        <v>1150</v>
      </c>
      <c r="E523" s="27" t="s">
        <v>1542</v>
      </c>
      <c r="F523" s="31">
        <v>3020</v>
      </c>
      <c r="G523" s="45" t="s">
        <v>1543</v>
      </c>
      <c r="H523" s="45"/>
      <c r="I523" s="26" t="s">
        <v>1131</v>
      </c>
      <c r="J523" s="26" t="s">
        <v>7</v>
      </c>
    </row>
    <row r="524" spans="1:10" ht="33" x14ac:dyDescent="0.25">
      <c r="A524" s="1" t="s">
        <v>48</v>
      </c>
      <c r="B524" s="25" t="s">
        <v>521</v>
      </c>
      <c r="C524" s="25" t="s">
        <v>1537</v>
      </c>
      <c r="D524" s="27" t="s">
        <v>1150</v>
      </c>
      <c r="E524" s="27" t="s">
        <v>1544</v>
      </c>
      <c r="F524" s="31">
        <v>258</v>
      </c>
      <c r="G524" s="45" t="s">
        <v>1545</v>
      </c>
      <c r="H524" s="45"/>
      <c r="I524" s="26" t="s">
        <v>133</v>
      </c>
      <c r="J524" s="26" t="s">
        <v>7</v>
      </c>
    </row>
    <row r="525" spans="1:10" x14ac:dyDescent="0.25">
      <c r="A525" s="1" t="s">
        <v>48</v>
      </c>
      <c r="B525" s="25" t="s">
        <v>521</v>
      </c>
      <c r="C525" s="25" t="s">
        <v>1546</v>
      </c>
      <c r="D525" s="27" t="s">
        <v>563</v>
      </c>
      <c r="E525" s="27" t="s">
        <v>1547</v>
      </c>
      <c r="F525" s="31">
        <v>6000</v>
      </c>
      <c r="G525" s="45" t="s">
        <v>1548</v>
      </c>
      <c r="H525" s="45"/>
      <c r="I525" s="26" t="s">
        <v>1536</v>
      </c>
      <c r="J525" s="26" t="s">
        <v>7</v>
      </c>
    </row>
    <row r="526" spans="1:10" x14ac:dyDescent="0.25">
      <c r="A526" s="1" t="s">
        <v>48</v>
      </c>
      <c r="B526" s="25" t="s">
        <v>521</v>
      </c>
      <c r="C526" s="25" t="s">
        <v>1549</v>
      </c>
      <c r="D526" s="27" t="s">
        <v>1068</v>
      </c>
      <c r="E526" s="27" t="s">
        <v>1550</v>
      </c>
      <c r="F526" s="31">
        <v>70000</v>
      </c>
      <c r="G526" s="45" t="s">
        <v>1551</v>
      </c>
      <c r="H526" s="45"/>
      <c r="I526" s="26" t="s">
        <v>200</v>
      </c>
      <c r="J526" s="26" t="s">
        <v>7</v>
      </c>
    </row>
    <row r="527" spans="1:10" x14ac:dyDescent="0.25">
      <c r="A527" s="1" t="s">
        <v>48</v>
      </c>
      <c r="B527" s="25" t="s">
        <v>521</v>
      </c>
      <c r="C527" s="25" t="s">
        <v>1552</v>
      </c>
      <c r="D527" s="27" t="s">
        <v>563</v>
      </c>
      <c r="E527" s="27" t="s">
        <v>1553</v>
      </c>
      <c r="F527" s="31">
        <v>7840</v>
      </c>
      <c r="G527" s="45" t="s">
        <v>1554</v>
      </c>
      <c r="H527" s="45"/>
      <c r="I527" s="26" t="s">
        <v>512</v>
      </c>
      <c r="J527" s="26" t="s">
        <v>7</v>
      </c>
    </row>
    <row r="528" spans="1:10" ht="33" x14ac:dyDescent="0.25">
      <c r="A528" s="1" t="s">
        <v>48</v>
      </c>
      <c r="B528" s="25" t="s">
        <v>521</v>
      </c>
      <c r="C528" s="25" t="s">
        <v>1555</v>
      </c>
      <c r="D528" s="27" t="s">
        <v>1003</v>
      </c>
      <c r="E528" s="27" t="s">
        <v>1556</v>
      </c>
      <c r="F528" s="31">
        <v>3619</v>
      </c>
      <c r="G528" s="45" t="s">
        <v>1557</v>
      </c>
      <c r="H528" s="45"/>
      <c r="I528" s="26" t="s">
        <v>126</v>
      </c>
      <c r="J528" s="26" t="s">
        <v>7</v>
      </c>
    </row>
    <row r="529" spans="1:10" x14ac:dyDescent="0.25">
      <c r="A529" s="1" t="s">
        <v>48</v>
      </c>
      <c r="B529" s="25" t="s">
        <v>521</v>
      </c>
      <c r="C529" s="25" t="s">
        <v>1558</v>
      </c>
      <c r="D529" s="27" t="s">
        <v>1068</v>
      </c>
      <c r="E529" s="27" t="s">
        <v>1559</v>
      </c>
      <c r="F529" s="31">
        <v>1732</v>
      </c>
      <c r="G529" s="45" t="s">
        <v>1560</v>
      </c>
      <c r="H529" s="45"/>
      <c r="I529" s="26" t="s">
        <v>1169</v>
      </c>
      <c r="J529" s="26" t="s">
        <v>7</v>
      </c>
    </row>
    <row r="530" spans="1:10" ht="49.5" x14ac:dyDescent="0.25">
      <c r="A530" s="1" t="s">
        <v>48</v>
      </c>
      <c r="B530" s="25" t="s">
        <v>521</v>
      </c>
      <c r="C530" s="25" t="s">
        <v>1561</v>
      </c>
      <c r="D530" s="27" t="s">
        <v>1100</v>
      </c>
      <c r="E530" s="27" t="s">
        <v>1562</v>
      </c>
      <c r="F530" s="31">
        <v>4084</v>
      </c>
      <c r="G530" s="45" t="s">
        <v>1563</v>
      </c>
      <c r="H530" s="45"/>
      <c r="I530" s="26" t="s">
        <v>1131</v>
      </c>
      <c r="J530" s="26" t="s">
        <v>7</v>
      </c>
    </row>
    <row r="531" spans="1:10" ht="49.5" x14ac:dyDescent="0.25">
      <c r="A531" s="1" t="s">
        <v>48</v>
      </c>
      <c r="B531" s="25" t="s">
        <v>521</v>
      </c>
      <c r="C531" s="25" t="s">
        <v>1561</v>
      </c>
      <c r="D531" s="27" t="s">
        <v>1100</v>
      </c>
      <c r="E531" s="27" t="s">
        <v>1564</v>
      </c>
      <c r="F531" s="31">
        <v>4084</v>
      </c>
      <c r="G531" s="45" t="s">
        <v>1565</v>
      </c>
      <c r="H531" s="45"/>
      <c r="I531" s="26" t="s">
        <v>1131</v>
      </c>
      <c r="J531" s="26" t="s">
        <v>7</v>
      </c>
    </row>
    <row r="532" spans="1:10" ht="49.5" x14ac:dyDescent="0.25">
      <c r="A532" s="1" t="s">
        <v>48</v>
      </c>
      <c r="B532" s="25" t="s">
        <v>521</v>
      </c>
      <c r="C532" s="25" t="s">
        <v>1561</v>
      </c>
      <c r="D532" s="27" t="s">
        <v>1100</v>
      </c>
      <c r="E532" s="27" t="s">
        <v>1566</v>
      </c>
      <c r="F532" s="31">
        <v>8168</v>
      </c>
      <c r="G532" s="45" t="s">
        <v>1567</v>
      </c>
      <c r="H532" s="45"/>
      <c r="I532" s="26" t="s">
        <v>133</v>
      </c>
      <c r="J532" s="26" t="s">
        <v>7</v>
      </c>
    </row>
    <row r="533" spans="1:10" ht="33" x14ac:dyDescent="0.25">
      <c r="A533" s="1" t="s">
        <v>48</v>
      </c>
      <c r="B533" s="25" t="s">
        <v>543</v>
      </c>
      <c r="C533" s="25" t="s">
        <v>1568</v>
      </c>
      <c r="D533" s="27" t="s">
        <v>1018</v>
      </c>
      <c r="E533" s="27" t="s">
        <v>1569</v>
      </c>
      <c r="F533" s="31">
        <v>9759</v>
      </c>
      <c r="G533" s="45" t="s">
        <v>1570</v>
      </c>
      <c r="H533" s="45"/>
      <c r="I533" s="26" t="s">
        <v>749</v>
      </c>
      <c r="J533" s="26" t="s">
        <v>7</v>
      </c>
    </row>
    <row r="534" spans="1:10" ht="49.5" x14ac:dyDescent="0.25">
      <c r="A534" s="1" t="s">
        <v>48</v>
      </c>
      <c r="B534" s="25" t="s">
        <v>543</v>
      </c>
      <c r="C534" s="25" t="s">
        <v>1571</v>
      </c>
      <c r="D534" s="27" t="s">
        <v>1100</v>
      </c>
      <c r="E534" s="27" t="s">
        <v>1572</v>
      </c>
      <c r="F534" s="31">
        <v>10211</v>
      </c>
      <c r="G534" s="45" t="s">
        <v>1573</v>
      </c>
      <c r="H534" s="45"/>
      <c r="I534" s="26" t="s">
        <v>86</v>
      </c>
      <c r="J534" s="26" t="s">
        <v>7</v>
      </c>
    </row>
    <row r="535" spans="1:10" ht="33" x14ac:dyDescent="0.25">
      <c r="A535" s="1" t="s">
        <v>48</v>
      </c>
      <c r="B535" s="25" t="s">
        <v>1574</v>
      </c>
      <c r="C535" s="25" t="s">
        <v>1575</v>
      </c>
      <c r="D535" s="27" t="s">
        <v>1150</v>
      </c>
      <c r="E535" s="27" t="s">
        <v>1576</v>
      </c>
      <c r="F535" s="31">
        <v>2920</v>
      </c>
      <c r="G535" s="45" t="s">
        <v>1577</v>
      </c>
      <c r="H535" s="45"/>
      <c r="I535" s="26" t="s">
        <v>149</v>
      </c>
      <c r="J535" s="26" t="s">
        <v>7</v>
      </c>
    </row>
    <row r="536" spans="1:10" ht="33" x14ac:dyDescent="0.25">
      <c r="A536" s="1" t="s">
        <v>48</v>
      </c>
      <c r="B536" s="25" t="s">
        <v>1574</v>
      </c>
      <c r="C536" s="25" t="s">
        <v>1578</v>
      </c>
      <c r="D536" s="27" t="s">
        <v>1150</v>
      </c>
      <c r="E536" s="27" t="s">
        <v>1579</v>
      </c>
      <c r="F536" s="31">
        <v>395</v>
      </c>
      <c r="G536" s="45" t="s">
        <v>1580</v>
      </c>
      <c r="H536" s="45"/>
      <c r="I536" s="26" t="s">
        <v>133</v>
      </c>
      <c r="J536" s="26" t="s">
        <v>7</v>
      </c>
    </row>
    <row r="537" spans="1:10" ht="33" x14ac:dyDescent="0.25">
      <c r="A537" s="1" t="s">
        <v>48</v>
      </c>
      <c r="B537" s="25" t="s">
        <v>561</v>
      </c>
      <c r="C537" s="25" t="s">
        <v>1581</v>
      </c>
      <c r="D537" s="27" t="s">
        <v>1068</v>
      </c>
      <c r="E537" s="27" t="s">
        <v>1582</v>
      </c>
      <c r="F537" s="31">
        <v>1957</v>
      </c>
      <c r="G537" s="45" t="s">
        <v>1583</v>
      </c>
      <c r="H537" s="45"/>
      <c r="I537" s="26" t="s">
        <v>133</v>
      </c>
      <c r="J537" s="26" t="s">
        <v>7</v>
      </c>
    </row>
    <row r="538" spans="1:10" ht="33" x14ac:dyDescent="0.25">
      <c r="A538" s="1" t="s">
        <v>48</v>
      </c>
      <c r="B538" s="25" t="s">
        <v>561</v>
      </c>
      <c r="C538" s="25" t="s">
        <v>1581</v>
      </c>
      <c r="D538" s="27" t="s">
        <v>985</v>
      </c>
      <c r="E538" s="27" t="s">
        <v>1584</v>
      </c>
      <c r="F538" s="31">
        <v>470</v>
      </c>
      <c r="G538" s="45" t="s">
        <v>1585</v>
      </c>
      <c r="H538" s="45"/>
      <c r="I538" s="26" t="s">
        <v>1121</v>
      </c>
      <c r="J538" s="26" t="s">
        <v>7</v>
      </c>
    </row>
    <row r="539" spans="1:10" x14ac:dyDescent="0.25">
      <c r="A539" s="1" t="s">
        <v>48</v>
      </c>
      <c r="B539" s="25" t="s">
        <v>561</v>
      </c>
      <c r="C539" s="25" t="s">
        <v>1581</v>
      </c>
      <c r="D539" s="27" t="s">
        <v>563</v>
      </c>
      <c r="E539" s="27" t="s">
        <v>1586</v>
      </c>
      <c r="F539" s="31">
        <v>1080</v>
      </c>
      <c r="G539" s="45" t="s">
        <v>1587</v>
      </c>
      <c r="H539" s="45"/>
      <c r="I539" s="26" t="s">
        <v>86</v>
      </c>
      <c r="J539" s="26" t="s">
        <v>7</v>
      </c>
    </row>
    <row r="540" spans="1:10" ht="33" x14ac:dyDescent="0.25">
      <c r="A540" s="1" t="s">
        <v>48</v>
      </c>
      <c r="B540" s="25" t="s">
        <v>561</v>
      </c>
      <c r="C540" s="25" t="s">
        <v>562</v>
      </c>
      <c r="D540" s="27" t="s">
        <v>1068</v>
      </c>
      <c r="E540" s="27" t="s">
        <v>1588</v>
      </c>
      <c r="F540" s="31">
        <v>4379</v>
      </c>
      <c r="G540" s="45" t="s">
        <v>1589</v>
      </c>
      <c r="H540" s="45"/>
      <c r="I540" s="26" t="s">
        <v>1131</v>
      </c>
      <c r="J540" s="26" t="s">
        <v>7</v>
      </c>
    </row>
    <row r="541" spans="1:10" ht="33" x14ac:dyDescent="0.25">
      <c r="A541" s="1" t="s">
        <v>48</v>
      </c>
      <c r="B541" s="25" t="s">
        <v>561</v>
      </c>
      <c r="C541" s="25" t="s">
        <v>562</v>
      </c>
      <c r="D541" s="27" t="s">
        <v>1068</v>
      </c>
      <c r="E541" s="27" t="s">
        <v>1590</v>
      </c>
      <c r="F541" s="31">
        <v>1399</v>
      </c>
      <c r="G541" s="45" t="s">
        <v>1591</v>
      </c>
      <c r="H541" s="45"/>
      <c r="I541" s="26" t="s">
        <v>133</v>
      </c>
      <c r="J541" s="26" t="s">
        <v>7</v>
      </c>
    </row>
    <row r="542" spans="1:10" ht="33" x14ac:dyDescent="0.25">
      <c r="A542" s="1" t="s">
        <v>48</v>
      </c>
      <c r="B542" s="25" t="s">
        <v>561</v>
      </c>
      <c r="C542" s="25" t="s">
        <v>562</v>
      </c>
      <c r="D542" s="27" t="s">
        <v>1068</v>
      </c>
      <c r="E542" s="27" t="s">
        <v>1592</v>
      </c>
      <c r="F542" s="31">
        <v>859</v>
      </c>
      <c r="G542" s="45" t="s">
        <v>1593</v>
      </c>
      <c r="H542" s="45"/>
      <c r="I542" s="26" t="s">
        <v>133</v>
      </c>
      <c r="J542" s="26" t="s">
        <v>7</v>
      </c>
    </row>
    <row r="543" spans="1:10" ht="33" x14ac:dyDescent="0.25">
      <c r="A543" s="1" t="s">
        <v>48</v>
      </c>
      <c r="B543" s="25" t="s">
        <v>561</v>
      </c>
      <c r="C543" s="25" t="s">
        <v>562</v>
      </c>
      <c r="D543" s="27" t="s">
        <v>985</v>
      </c>
      <c r="E543" s="27" t="s">
        <v>1594</v>
      </c>
      <c r="F543" s="31">
        <v>433</v>
      </c>
      <c r="G543" s="45" t="s">
        <v>1595</v>
      </c>
      <c r="H543" s="45"/>
      <c r="I543" s="26" t="s">
        <v>382</v>
      </c>
      <c r="J543" s="26" t="s">
        <v>7</v>
      </c>
    </row>
    <row r="544" spans="1:10" x14ac:dyDescent="0.25">
      <c r="A544" s="1" t="s">
        <v>48</v>
      </c>
      <c r="B544" s="25" t="s">
        <v>561</v>
      </c>
      <c r="C544" s="25" t="s">
        <v>562</v>
      </c>
      <c r="D544" s="27" t="s">
        <v>1076</v>
      </c>
      <c r="E544" s="27" t="s">
        <v>1594</v>
      </c>
      <c r="F544" s="31">
        <v>3000</v>
      </c>
      <c r="G544" s="45" t="s">
        <v>1595</v>
      </c>
      <c r="H544" s="45"/>
      <c r="I544" s="26" t="s">
        <v>382</v>
      </c>
      <c r="J544" s="26" t="s">
        <v>7</v>
      </c>
    </row>
    <row r="545" spans="1:10" x14ac:dyDescent="0.25">
      <c r="A545" s="1" t="s">
        <v>48</v>
      </c>
      <c r="B545" s="25" t="s">
        <v>561</v>
      </c>
      <c r="C545" s="25" t="s">
        <v>1596</v>
      </c>
      <c r="D545" s="27" t="s">
        <v>1011</v>
      </c>
      <c r="E545" s="27" t="s">
        <v>1597</v>
      </c>
      <c r="F545" s="31">
        <v>1980</v>
      </c>
      <c r="G545" s="45" t="s">
        <v>1598</v>
      </c>
      <c r="H545" s="45"/>
      <c r="I545" s="26" t="s">
        <v>1599</v>
      </c>
      <c r="J545" s="26" t="s">
        <v>7</v>
      </c>
    </row>
    <row r="546" spans="1:10" ht="33" x14ac:dyDescent="0.25">
      <c r="A546" s="1" t="s">
        <v>48</v>
      </c>
      <c r="B546" s="25" t="s">
        <v>561</v>
      </c>
      <c r="C546" s="25" t="s">
        <v>1600</v>
      </c>
      <c r="D546" s="27" t="s">
        <v>985</v>
      </c>
      <c r="E546" s="27" t="s">
        <v>1601</v>
      </c>
      <c r="F546" s="31">
        <v>942</v>
      </c>
      <c r="G546" s="45" t="s">
        <v>1602</v>
      </c>
      <c r="H546" s="45"/>
      <c r="I546" s="26" t="s">
        <v>1248</v>
      </c>
      <c r="J546" s="26" t="s">
        <v>7</v>
      </c>
    </row>
    <row r="547" spans="1:10" x14ac:dyDescent="0.25">
      <c r="A547" s="1" t="s">
        <v>48</v>
      </c>
      <c r="B547" s="25" t="s">
        <v>561</v>
      </c>
      <c r="C547" s="25" t="s">
        <v>1600</v>
      </c>
      <c r="D547" s="27" t="s">
        <v>1437</v>
      </c>
      <c r="E547" s="27" t="s">
        <v>1601</v>
      </c>
      <c r="F547" s="31">
        <v>952</v>
      </c>
      <c r="G547" s="45" t="s">
        <v>1602</v>
      </c>
      <c r="H547" s="45"/>
      <c r="I547" s="26" t="s">
        <v>1248</v>
      </c>
      <c r="J547" s="26" t="s">
        <v>7</v>
      </c>
    </row>
    <row r="548" spans="1:10" ht="33" x14ac:dyDescent="0.25">
      <c r="A548" s="1" t="s">
        <v>48</v>
      </c>
      <c r="B548" s="25" t="s">
        <v>561</v>
      </c>
      <c r="C548" s="25" t="s">
        <v>1603</v>
      </c>
      <c r="D548" s="27" t="s">
        <v>1142</v>
      </c>
      <c r="E548" s="27" t="s">
        <v>1604</v>
      </c>
      <c r="F548" s="31">
        <v>561</v>
      </c>
      <c r="G548" s="45" t="s">
        <v>1605</v>
      </c>
      <c r="H548" s="45"/>
      <c r="I548" s="26" t="s">
        <v>276</v>
      </c>
      <c r="J548" s="26" t="s">
        <v>7</v>
      </c>
    </row>
    <row r="549" spans="1:10" ht="33" x14ac:dyDescent="0.25">
      <c r="A549" s="1" t="s">
        <v>48</v>
      </c>
      <c r="B549" s="25" t="s">
        <v>561</v>
      </c>
      <c r="C549" s="25" t="s">
        <v>1606</v>
      </c>
      <c r="D549" s="27" t="s">
        <v>985</v>
      </c>
      <c r="E549" s="27" t="s">
        <v>1607</v>
      </c>
      <c r="F549" s="31">
        <v>9480</v>
      </c>
      <c r="G549" s="45" t="s">
        <v>1608</v>
      </c>
      <c r="H549" s="45"/>
      <c r="I549" s="26" t="s">
        <v>1609</v>
      </c>
      <c r="J549" s="26" t="s">
        <v>7</v>
      </c>
    </row>
    <row r="550" spans="1:10" ht="33" x14ac:dyDescent="0.25">
      <c r="A550" s="1" t="s">
        <v>48</v>
      </c>
      <c r="B550" s="25" t="s">
        <v>561</v>
      </c>
      <c r="C550" s="25" t="s">
        <v>1606</v>
      </c>
      <c r="D550" s="27" t="s">
        <v>1150</v>
      </c>
      <c r="E550" s="27" t="s">
        <v>1610</v>
      </c>
      <c r="F550" s="31">
        <v>2980</v>
      </c>
      <c r="G550" s="45" t="s">
        <v>1611</v>
      </c>
      <c r="H550" s="45"/>
      <c r="I550" s="26" t="s">
        <v>213</v>
      </c>
      <c r="J550" s="26" t="s">
        <v>7</v>
      </c>
    </row>
    <row r="551" spans="1:10" x14ac:dyDescent="0.25">
      <c r="A551" s="1" t="s">
        <v>48</v>
      </c>
      <c r="B551" s="25" t="s">
        <v>561</v>
      </c>
      <c r="C551" s="25" t="s">
        <v>1612</v>
      </c>
      <c r="D551" s="27" t="s">
        <v>402</v>
      </c>
      <c r="E551" s="27" t="s">
        <v>1613</v>
      </c>
      <c r="F551" s="31">
        <v>1232</v>
      </c>
      <c r="G551" s="45" t="s">
        <v>1614</v>
      </c>
      <c r="H551" s="45"/>
      <c r="I551" s="26" t="s">
        <v>171</v>
      </c>
      <c r="J551" s="26" t="s">
        <v>7</v>
      </c>
    </row>
    <row r="552" spans="1:10" ht="49.5" x14ac:dyDescent="0.25">
      <c r="A552" s="1" t="s">
        <v>48</v>
      </c>
      <c r="B552" s="25" t="s">
        <v>561</v>
      </c>
      <c r="C552" s="25" t="s">
        <v>1615</v>
      </c>
      <c r="D552" s="27" t="s">
        <v>1100</v>
      </c>
      <c r="E552" s="27" t="s">
        <v>1616</v>
      </c>
      <c r="F552" s="31">
        <v>6127</v>
      </c>
      <c r="G552" s="45" t="s">
        <v>1617</v>
      </c>
      <c r="H552" s="45"/>
      <c r="I552" s="26" t="s">
        <v>213</v>
      </c>
      <c r="J552" s="26" t="s">
        <v>7</v>
      </c>
    </row>
    <row r="553" spans="1:10" ht="49.5" x14ac:dyDescent="0.25">
      <c r="A553" s="1" t="s">
        <v>48</v>
      </c>
      <c r="B553" s="25" t="s">
        <v>561</v>
      </c>
      <c r="C553" s="25" t="s">
        <v>1615</v>
      </c>
      <c r="D553" s="27" t="s">
        <v>1100</v>
      </c>
      <c r="E553" s="27" t="s">
        <v>1618</v>
      </c>
      <c r="F553" s="31">
        <v>4084</v>
      </c>
      <c r="G553" s="45" t="s">
        <v>1619</v>
      </c>
      <c r="H553" s="45"/>
      <c r="I553" s="26" t="s">
        <v>149</v>
      </c>
      <c r="J553" s="26" t="s">
        <v>7</v>
      </c>
    </row>
    <row r="554" spans="1:10" ht="49.5" x14ac:dyDescent="0.25">
      <c r="A554" s="1" t="s">
        <v>48</v>
      </c>
      <c r="B554" s="25" t="s">
        <v>561</v>
      </c>
      <c r="C554" s="25" t="s">
        <v>1615</v>
      </c>
      <c r="D554" s="27" t="s">
        <v>1100</v>
      </c>
      <c r="E554" s="27" t="s">
        <v>1620</v>
      </c>
      <c r="F554" s="31">
        <v>2555</v>
      </c>
      <c r="G554" s="45" t="s">
        <v>1621</v>
      </c>
      <c r="H554" s="45"/>
      <c r="I554" s="26" t="s">
        <v>86</v>
      </c>
      <c r="J554" s="26" t="s">
        <v>7</v>
      </c>
    </row>
    <row r="555" spans="1:10" x14ac:dyDescent="0.25">
      <c r="A555" s="1" t="s">
        <v>217</v>
      </c>
      <c r="B555" s="25" t="s">
        <v>561</v>
      </c>
      <c r="C555" s="25" t="s">
        <v>69</v>
      </c>
      <c r="D555" s="27" t="s">
        <v>7</v>
      </c>
      <c r="E555" s="27" t="s">
        <v>1622</v>
      </c>
      <c r="F555" s="31">
        <v>3380</v>
      </c>
      <c r="G555" s="45" t="s">
        <v>1623</v>
      </c>
      <c r="H555" s="45"/>
      <c r="I555" s="26" t="s">
        <v>1599</v>
      </c>
      <c r="J555" s="26" t="s">
        <v>7</v>
      </c>
    </row>
    <row r="556" spans="1:10" ht="33" x14ac:dyDescent="0.25">
      <c r="A556" s="1" t="s">
        <v>48</v>
      </c>
      <c r="B556" s="25" t="s">
        <v>1624</v>
      </c>
      <c r="C556" s="25" t="s">
        <v>1625</v>
      </c>
      <c r="D556" s="27" t="s">
        <v>985</v>
      </c>
      <c r="E556" s="27" t="s">
        <v>1626</v>
      </c>
      <c r="F556" s="31">
        <v>100</v>
      </c>
      <c r="G556" s="45" t="s">
        <v>1627</v>
      </c>
      <c r="H556" s="45"/>
      <c r="I556" s="26" t="s">
        <v>1248</v>
      </c>
      <c r="J556" s="26" t="s">
        <v>7</v>
      </c>
    </row>
    <row r="557" spans="1:10" x14ac:dyDescent="0.25">
      <c r="A557" s="1" t="s">
        <v>48</v>
      </c>
      <c r="B557" s="25" t="s">
        <v>1624</v>
      </c>
      <c r="C557" s="25" t="s">
        <v>1625</v>
      </c>
      <c r="D557" s="27" t="s">
        <v>563</v>
      </c>
      <c r="E557" s="27" t="s">
        <v>1628</v>
      </c>
      <c r="F557" s="31">
        <v>2760</v>
      </c>
      <c r="G557" s="45" t="s">
        <v>1629</v>
      </c>
      <c r="H557" s="45"/>
      <c r="I557" s="26" t="s">
        <v>82</v>
      </c>
      <c r="J557" s="26" t="s">
        <v>7</v>
      </c>
    </row>
    <row r="558" spans="1:10" ht="33" x14ac:dyDescent="0.25">
      <c r="A558" s="1" t="s">
        <v>48</v>
      </c>
      <c r="B558" s="25" t="s">
        <v>1624</v>
      </c>
      <c r="C558" s="25" t="s">
        <v>1630</v>
      </c>
      <c r="D558" s="27" t="s">
        <v>985</v>
      </c>
      <c r="E558" s="27" t="s">
        <v>1631</v>
      </c>
      <c r="F558" s="31">
        <v>10590</v>
      </c>
      <c r="G558" s="45" t="s">
        <v>1632</v>
      </c>
      <c r="H558" s="45"/>
      <c r="I558" s="26" t="s">
        <v>1609</v>
      </c>
      <c r="J558" s="26" t="s">
        <v>7</v>
      </c>
    </row>
    <row r="559" spans="1:10" x14ac:dyDescent="0.25">
      <c r="A559" s="1" t="s">
        <v>48</v>
      </c>
      <c r="B559" s="25" t="s">
        <v>1624</v>
      </c>
      <c r="C559" s="25" t="s">
        <v>1633</v>
      </c>
      <c r="D559" s="27" t="s">
        <v>1068</v>
      </c>
      <c r="E559" s="27" t="s">
        <v>1634</v>
      </c>
      <c r="F559" s="31">
        <v>49165</v>
      </c>
      <c r="G559" s="45" t="s">
        <v>1635</v>
      </c>
      <c r="H559" s="45"/>
      <c r="I559" s="26" t="s">
        <v>1636</v>
      </c>
      <c r="J559" s="26" t="s">
        <v>7</v>
      </c>
    </row>
    <row r="560" spans="1:10" ht="49.5" x14ac:dyDescent="0.25">
      <c r="A560" s="1" t="s">
        <v>48</v>
      </c>
      <c r="B560" s="25" t="s">
        <v>1624</v>
      </c>
      <c r="C560" s="25" t="s">
        <v>1637</v>
      </c>
      <c r="D560" s="27" t="s">
        <v>1100</v>
      </c>
      <c r="E560" s="27" t="s">
        <v>1638</v>
      </c>
      <c r="F560" s="31">
        <v>6127</v>
      </c>
      <c r="G560" s="45" t="s">
        <v>1639</v>
      </c>
      <c r="H560" s="45"/>
      <c r="I560" s="26" t="s">
        <v>213</v>
      </c>
      <c r="J560" s="26" t="s">
        <v>7</v>
      </c>
    </row>
    <row r="561" spans="1:10" ht="33" x14ac:dyDescent="0.25">
      <c r="A561" s="1" t="s">
        <v>48</v>
      </c>
      <c r="B561" s="25" t="s">
        <v>572</v>
      </c>
      <c r="C561" s="25" t="s">
        <v>1640</v>
      </c>
      <c r="D561" s="27" t="s">
        <v>1150</v>
      </c>
      <c r="E561" s="27" t="s">
        <v>1641</v>
      </c>
      <c r="F561" s="31">
        <v>2980</v>
      </c>
      <c r="G561" s="45" t="s">
        <v>1642</v>
      </c>
      <c r="H561" s="45"/>
      <c r="I561" s="26" t="s">
        <v>512</v>
      </c>
      <c r="J561" s="26" t="s">
        <v>7</v>
      </c>
    </row>
    <row r="562" spans="1:10" x14ac:dyDescent="0.25">
      <c r="A562" s="1" t="s">
        <v>48</v>
      </c>
      <c r="B562" s="25" t="s">
        <v>572</v>
      </c>
      <c r="C562" s="25" t="s">
        <v>1643</v>
      </c>
      <c r="D562" s="27" t="s">
        <v>402</v>
      </c>
      <c r="E562" s="27" t="s">
        <v>1644</v>
      </c>
      <c r="F562" s="31">
        <v>19685</v>
      </c>
      <c r="G562" s="45" t="s">
        <v>1645</v>
      </c>
      <c r="H562" s="45"/>
      <c r="I562" s="26" t="s">
        <v>1536</v>
      </c>
      <c r="J562" s="26" t="s">
        <v>7</v>
      </c>
    </row>
    <row r="563" spans="1:10" ht="49.5" x14ac:dyDescent="0.25">
      <c r="A563" s="1" t="s">
        <v>48</v>
      </c>
      <c r="B563" s="25" t="s">
        <v>572</v>
      </c>
      <c r="C563" s="25" t="s">
        <v>1646</v>
      </c>
      <c r="D563" s="27" t="s">
        <v>1100</v>
      </c>
      <c r="E563" s="27" t="s">
        <v>1647</v>
      </c>
      <c r="F563" s="31">
        <v>6127</v>
      </c>
      <c r="G563" s="45" t="s">
        <v>1648</v>
      </c>
      <c r="H563" s="45"/>
      <c r="I563" s="26" t="s">
        <v>512</v>
      </c>
      <c r="J563" s="26" t="s">
        <v>7</v>
      </c>
    </row>
    <row r="564" spans="1:10" ht="33" x14ac:dyDescent="0.25">
      <c r="A564" s="1" t="s">
        <v>48</v>
      </c>
      <c r="B564" s="25" t="s">
        <v>1649</v>
      </c>
      <c r="C564" s="25" t="s">
        <v>1650</v>
      </c>
      <c r="D564" s="27" t="s">
        <v>985</v>
      </c>
      <c r="E564" s="27" t="s">
        <v>1651</v>
      </c>
      <c r="F564" s="31">
        <v>9</v>
      </c>
      <c r="G564" s="45" t="s">
        <v>1652</v>
      </c>
      <c r="H564" s="45"/>
      <c r="I564" s="26" t="s">
        <v>1248</v>
      </c>
      <c r="J564" s="26" t="s">
        <v>7</v>
      </c>
    </row>
    <row r="565" spans="1:10" ht="49.5" x14ac:dyDescent="0.25">
      <c r="A565" s="1" t="s">
        <v>48</v>
      </c>
      <c r="B565" s="25" t="s">
        <v>1653</v>
      </c>
      <c r="C565" s="25" t="s">
        <v>1654</v>
      </c>
      <c r="D565" s="27" t="s">
        <v>1100</v>
      </c>
      <c r="E565" s="27" t="s">
        <v>1655</v>
      </c>
      <c r="F565" s="31">
        <v>5106</v>
      </c>
      <c r="G565" s="45" t="s">
        <v>1656</v>
      </c>
      <c r="H565" s="45"/>
      <c r="I565" s="26" t="s">
        <v>95</v>
      </c>
      <c r="J565" s="26" t="s">
        <v>7</v>
      </c>
    </row>
    <row r="566" spans="1:10" x14ac:dyDescent="0.25">
      <c r="A566" s="1" t="s">
        <v>217</v>
      </c>
      <c r="B566" s="25" t="s">
        <v>1657</v>
      </c>
      <c r="C566" s="25" t="s">
        <v>69</v>
      </c>
      <c r="D566" s="27" t="s">
        <v>7</v>
      </c>
      <c r="E566" s="27" t="s">
        <v>1658</v>
      </c>
      <c r="F566" s="31">
        <v>9851</v>
      </c>
      <c r="G566" s="45" t="s">
        <v>1659</v>
      </c>
      <c r="H566" s="45"/>
      <c r="I566" s="26" t="s">
        <v>335</v>
      </c>
      <c r="J566" s="26" t="s">
        <v>7</v>
      </c>
    </row>
    <row r="567" spans="1:10" ht="33" x14ac:dyDescent="0.25">
      <c r="A567" s="1" t="s">
        <v>48</v>
      </c>
      <c r="B567" s="25" t="s">
        <v>615</v>
      </c>
      <c r="C567" s="25" t="s">
        <v>1660</v>
      </c>
      <c r="D567" s="27" t="s">
        <v>985</v>
      </c>
      <c r="E567" s="27" t="s">
        <v>1661</v>
      </c>
      <c r="F567" s="31">
        <v>21087</v>
      </c>
      <c r="G567" s="45" t="s">
        <v>1662</v>
      </c>
      <c r="H567" s="45"/>
      <c r="I567" s="26" t="s">
        <v>95</v>
      </c>
      <c r="J567" s="26" t="s">
        <v>7</v>
      </c>
    </row>
    <row r="568" spans="1:10" x14ac:dyDescent="0.25">
      <c r="A568" s="1" t="s">
        <v>48</v>
      </c>
      <c r="B568" s="25" t="s">
        <v>615</v>
      </c>
      <c r="C568" s="25" t="s">
        <v>1663</v>
      </c>
      <c r="D568" s="27" t="s">
        <v>1068</v>
      </c>
      <c r="E568" s="27" t="s">
        <v>1664</v>
      </c>
      <c r="F568" s="31">
        <v>15999</v>
      </c>
      <c r="G568" s="45" t="s">
        <v>1665</v>
      </c>
      <c r="H568" s="45"/>
      <c r="I568" s="26" t="s">
        <v>856</v>
      </c>
      <c r="J568" s="26" t="s">
        <v>7</v>
      </c>
    </row>
    <row r="569" spans="1:10" ht="33" x14ac:dyDescent="0.25">
      <c r="A569" s="1" t="s">
        <v>48</v>
      </c>
      <c r="B569" s="25" t="s">
        <v>1666</v>
      </c>
      <c r="C569" s="25" t="s">
        <v>1667</v>
      </c>
      <c r="D569" s="27" t="s">
        <v>1083</v>
      </c>
      <c r="E569" s="27" t="s">
        <v>1668</v>
      </c>
      <c r="F569" s="31">
        <v>4600</v>
      </c>
      <c r="G569" s="45" t="s">
        <v>1669</v>
      </c>
      <c r="H569" s="45"/>
      <c r="I569" s="26" t="s">
        <v>200</v>
      </c>
      <c r="J569" s="26" t="s">
        <v>7</v>
      </c>
    </row>
    <row r="570" spans="1:10" ht="33" x14ac:dyDescent="0.25">
      <c r="A570" s="1" t="s">
        <v>48</v>
      </c>
      <c r="B570" s="25" t="s">
        <v>1666</v>
      </c>
      <c r="C570" s="25" t="s">
        <v>1667</v>
      </c>
      <c r="D570" s="27" t="s">
        <v>1166</v>
      </c>
      <c r="E570" s="27" t="s">
        <v>1668</v>
      </c>
      <c r="F570" s="31">
        <v>800</v>
      </c>
      <c r="G570" s="45" t="s">
        <v>1669</v>
      </c>
      <c r="H570" s="45"/>
      <c r="I570" s="26" t="s">
        <v>200</v>
      </c>
      <c r="J570" s="26" t="s">
        <v>7</v>
      </c>
    </row>
    <row r="571" spans="1:10" ht="33" x14ac:dyDescent="0.25">
      <c r="A571" s="1" t="s">
        <v>48</v>
      </c>
      <c r="B571" s="25" t="s">
        <v>1666</v>
      </c>
      <c r="C571" s="25" t="s">
        <v>1670</v>
      </c>
      <c r="D571" s="27" t="s">
        <v>985</v>
      </c>
      <c r="E571" s="27" t="s">
        <v>1671</v>
      </c>
      <c r="F571" s="31">
        <v>5998</v>
      </c>
      <c r="G571" s="45" t="s">
        <v>1672</v>
      </c>
      <c r="H571" s="45"/>
      <c r="I571" s="26" t="s">
        <v>705</v>
      </c>
      <c r="J571" s="26" t="s">
        <v>7</v>
      </c>
    </row>
    <row r="572" spans="1:10" ht="33" x14ac:dyDescent="0.25">
      <c r="A572" s="1" t="s">
        <v>48</v>
      </c>
      <c r="B572" s="25" t="s">
        <v>1666</v>
      </c>
      <c r="C572" s="25" t="s">
        <v>1670</v>
      </c>
      <c r="D572" s="27" t="s">
        <v>1142</v>
      </c>
      <c r="E572" s="27" t="s">
        <v>1673</v>
      </c>
      <c r="F572" s="31">
        <v>1500</v>
      </c>
      <c r="G572" s="45" t="s">
        <v>1674</v>
      </c>
      <c r="H572" s="45"/>
      <c r="I572" s="26" t="s">
        <v>705</v>
      </c>
      <c r="J572" s="26" t="s">
        <v>7</v>
      </c>
    </row>
    <row r="573" spans="1:10" ht="33" x14ac:dyDescent="0.25">
      <c r="A573" s="1" t="s">
        <v>48</v>
      </c>
      <c r="B573" s="25" t="s">
        <v>1666</v>
      </c>
      <c r="C573" s="25" t="s">
        <v>1670</v>
      </c>
      <c r="D573" s="27" t="s">
        <v>1142</v>
      </c>
      <c r="E573" s="27" t="s">
        <v>1675</v>
      </c>
      <c r="F573" s="31">
        <v>1500</v>
      </c>
      <c r="G573" s="45" t="s">
        <v>1676</v>
      </c>
      <c r="H573" s="45"/>
      <c r="I573" s="26" t="s">
        <v>389</v>
      </c>
      <c r="J573" s="26" t="s">
        <v>7</v>
      </c>
    </row>
    <row r="574" spans="1:10" ht="33" x14ac:dyDescent="0.25">
      <c r="A574" s="1" t="s">
        <v>48</v>
      </c>
      <c r="B574" s="25" t="s">
        <v>1666</v>
      </c>
      <c r="C574" s="25" t="s">
        <v>1670</v>
      </c>
      <c r="D574" s="27" t="s">
        <v>1088</v>
      </c>
      <c r="E574" s="27" t="s">
        <v>1677</v>
      </c>
      <c r="F574" s="31">
        <v>1580</v>
      </c>
      <c r="G574" s="45" t="s">
        <v>1678</v>
      </c>
      <c r="H574" s="45"/>
      <c r="I574" s="26" t="s">
        <v>547</v>
      </c>
      <c r="J574" s="26" t="s">
        <v>7</v>
      </c>
    </row>
    <row r="575" spans="1:10" ht="33" x14ac:dyDescent="0.25">
      <c r="A575" s="1" t="s">
        <v>48</v>
      </c>
      <c r="B575" s="25" t="s">
        <v>1666</v>
      </c>
      <c r="C575" s="25" t="s">
        <v>1679</v>
      </c>
      <c r="D575" s="27" t="s">
        <v>1003</v>
      </c>
      <c r="E575" s="27" t="s">
        <v>1680</v>
      </c>
      <c r="F575" s="31">
        <v>279</v>
      </c>
      <c r="G575" s="45" t="s">
        <v>1681</v>
      </c>
      <c r="H575" s="45"/>
      <c r="I575" s="26" t="s">
        <v>364</v>
      </c>
      <c r="J575" s="26" t="s">
        <v>7</v>
      </c>
    </row>
    <row r="576" spans="1:10" ht="33" x14ac:dyDescent="0.25">
      <c r="A576" s="1" t="s">
        <v>48</v>
      </c>
      <c r="B576" s="25" t="s">
        <v>1666</v>
      </c>
      <c r="C576" s="25" t="s">
        <v>1679</v>
      </c>
      <c r="D576" s="27" t="s">
        <v>1003</v>
      </c>
      <c r="E576" s="27" t="s">
        <v>1682</v>
      </c>
      <c r="F576" s="31">
        <v>186</v>
      </c>
      <c r="G576" s="45" t="s">
        <v>1683</v>
      </c>
      <c r="H576" s="45"/>
      <c r="I576" s="26" t="s">
        <v>364</v>
      </c>
      <c r="J576" s="26" t="s">
        <v>7</v>
      </c>
    </row>
    <row r="577" spans="1:10" ht="33" x14ac:dyDescent="0.25">
      <c r="A577" s="1" t="s">
        <v>48</v>
      </c>
      <c r="B577" s="25" t="s">
        <v>1666</v>
      </c>
      <c r="C577" s="25" t="s">
        <v>1679</v>
      </c>
      <c r="D577" s="27" t="s">
        <v>1003</v>
      </c>
      <c r="E577" s="27" t="s">
        <v>1684</v>
      </c>
      <c r="F577" s="31">
        <v>100</v>
      </c>
      <c r="G577" s="45" t="s">
        <v>1685</v>
      </c>
      <c r="H577" s="45"/>
      <c r="I577" s="26" t="s">
        <v>364</v>
      </c>
      <c r="J577" s="26" t="s">
        <v>7</v>
      </c>
    </row>
    <row r="578" spans="1:10" ht="33" x14ac:dyDescent="0.25">
      <c r="A578" s="1" t="s">
        <v>48</v>
      </c>
      <c r="B578" s="25" t="s">
        <v>1666</v>
      </c>
      <c r="C578" s="25" t="s">
        <v>1679</v>
      </c>
      <c r="D578" s="27" t="s">
        <v>1003</v>
      </c>
      <c r="E578" s="27" t="s">
        <v>1686</v>
      </c>
      <c r="F578" s="31">
        <v>107</v>
      </c>
      <c r="G578" s="45" t="s">
        <v>1687</v>
      </c>
      <c r="H578" s="45"/>
      <c r="I578" s="26" t="s">
        <v>364</v>
      </c>
      <c r="J578" s="26" t="s">
        <v>7</v>
      </c>
    </row>
    <row r="579" spans="1:10" ht="33" x14ac:dyDescent="0.25">
      <c r="A579" s="1" t="s">
        <v>48</v>
      </c>
      <c r="B579" s="25" t="s">
        <v>1666</v>
      </c>
      <c r="C579" s="25" t="s">
        <v>1679</v>
      </c>
      <c r="D579" s="27" t="s">
        <v>1003</v>
      </c>
      <c r="E579" s="27" t="s">
        <v>1688</v>
      </c>
      <c r="F579" s="31">
        <v>1190</v>
      </c>
      <c r="G579" s="45" t="s">
        <v>1689</v>
      </c>
      <c r="H579" s="45"/>
      <c r="I579" s="26" t="s">
        <v>364</v>
      </c>
      <c r="J579" s="26" t="s">
        <v>7</v>
      </c>
    </row>
    <row r="580" spans="1:10" ht="33" x14ac:dyDescent="0.25">
      <c r="A580" s="1" t="s">
        <v>48</v>
      </c>
      <c r="B580" s="25" t="s">
        <v>1666</v>
      </c>
      <c r="C580" s="25" t="s">
        <v>1679</v>
      </c>
      <c r="D580" s="27" t="s">
        <v>1003</v>
      </c>
      <c r="E580" s="27" t="s">
        <v>1690</v>
      </c>
      <c r="F580" s="31">
        <v>210</v>
      </c>
      <c r="G580" s="45" t="s">
        <v>1691</v>
      </c>
      <c r="H580" s="45"/>
      <c r="I580" s="26" t="s">
        <v>364</v>
      </c>
      <c r="J580" s="26" t="s">
        <v>7</v>
      </c>
    </row>
    <row r="581" spans="1:10" ht="33" x14ac:dyDescent="0.25">
      <c r="A581" s="1" t="s">
        <v>48</v>
      </c>
      <c r="B581" s="25" t="s">
        <v>1666</v>
      </c>
      <c r="C581" s="25" t="s">
        <v>1679</v>
      </c>
      <c r="D581" s="27" t="s">
        <v>1003</v>
      </c>
      <c r="E581" s="27" t="s">
        <v>1692</v>
      </c>
      <c r="F581" s="31">
        <v>291</v>
      </c>
      <c r="G581" s="45" t="s">
        <v>1693</v>
      </c>
      <c r="H581" s="45"/>
      <c r="I581" s="26" t="s">
        <v>364</v>
      </c>
      <c r="J581" s="26" t="s">
        <v>7</v>
      </c>
    </row>
    <row r="582" spans="1:10" x14ac:dyDescent="0.25">
      <c r="A582" s="1" t="s">
        <v>217</v>
      </c>
      <c r="B582" s="25" t="s">
        <v>1666</v>
      </c>
      <c r="C582" s="25" t="s">
        <v>218</v>
      </c>
      <c r="D582" s="27" t="s">
        <v>7</v>
      </c>
      <c r="E582" s="27" t="s">
        <v>1694</v>
      </c>
      <c r="F582" s="31">
        <v>6984</v>
      </c>
      <c r="G582" s="45" t="s">
        <v>1695</v>
      </c>
      <c r="H582" s="45"/>
      <c r="I582" s="26" t="s">
        <v>126</v>
      </c>
      <c r="J582" s="26" t="s">
        <v>7</v>
      </c>
    </row>
    <row r="583" spans="1:10" ht="33" x14ac:dyDescent="0.25">
      <c r="A583" s="1" t="s">
        <v>48</v>
      </c>
      <c r="B583" s="25" t="s">
        <v>638</v>
      </c>
      <c r="C583" s="25" t="s">
        <v>1696</v>
      </c>
      <c r="D583" s="27" t="s">
        <v>1150</v>
      </c>
      <c r="E583" s="27" t="s">
        <v>1697</v>
      </c>
      <c r="F583" s="31">
        <v>84</v>
      </c>
      <c r="G583" s="45" t="s">
        <v>1698</v>
      </c>
      <c r="H583" s="45"/>
      <c r="I583" s="26" t="s">
        <v>295</v>
      </c>
      <c r="J583" s="26" t="s">
        <v>7</v>
      </c>
    </row>
    <row r="584" spans="1:10" ht="33" x14ac:dyDescent="0.25">
      <c r="A584" s="1" t="s">
        <v>48</v>
      </c>
      <c r="B584" s="25" t="s">
        <v>638</v>
      </c>
      <c r="C584" s="25" t="s">
        <v>1699</v>
      </c>
      <c r="D584" s="27" t="s">
        <v>1018</v>
      </c>
      <c r="E584" s="27" t="s">
        <v>1700</v>
      </c>
      <c r="F584" s="31">
        <v>3318</v>
      </c>
      <c r="G584" s="45" t="s">
        <v>1701</v>
      </c>
      <c r="H584" s="45"/>
      <c r="I584" s="26" t="s">
        <v>1702</v>
      </c>
      <c r="J584" s="26" t="s">
        <v>7</v>
      </c>
    </row>
    <row r="585" spans="1:10" ht="33" x14ac:dyDescent="0.25">
      <c r="A585" s="1" t="s">
        <v>48</v>
      </c>
      <c r="B585" s="25" t="s">
        <v>638</v>
      </c>
      <c r="C585" s="25" t="s">
        <v>1699</v>
      </c>
      <c r="D585" s="27" t="s">
        <v>1356</v>
      </c>
      <c r="E585" s="27" t="s">
        <v>1700</v>
      </c>
      <c r="F585" s="31">
        <v>46</v>
      </c>
      <c r="G585" s="45" t="s">
        <v>1701</v>
      </c>
      <c r="H585" s="45"/>
      <c r="I585" s="26" t="s">
        <v>1702</v>
      </c>
      <c r="J585" s="26" t="s">
        <v>7</v>
      </c>
    </row>
    <row r="586" spans="1:10" ht="33" x14ac:dyDescent="0.25">
      <c r="A586" s="1" t="s">
        <v>48</v>
      </c>
      <c r="B586" s="25" t="s">
        <v>638</v>
      </c>
      <c r="C586" s="25" t="s">
        <v>1703</v>
      </c>
      <c r="D586" s="27" t="s">
        <v>563</v>
      </c>
      <c r="E586" s="27" t="s">
        <v>1704</v>
      </c>
      <c r="F586" s="31">
        <v>840</v>
      </c>
      <c r="G586" s="45" t="s">
        <v>1705</v>
      </c>
      <c r="H586" s="45"/>
      <c r="I586" s="26" t="s">
        <v>213</v>
      </c>
      <c r="J586" s="26" t="s">
        <v>7</v>
      </c>
    </row>
    <row r="587" spans="1:10" ht="33" x14ac:dyDescent="0.25">
      <c r="A587" s="1" t="s">
        <v>48</v>
      </c>
      <c r="B587" s="25" t="s">
        <v>638</v>
      </c>
      <c r="C587" s="25" t="s">
        <v>1703</v>
      </c>
      <c r="D587" s="27" t="s">
        <v>563</v>
      </c>
      <c r="E587" s="27" t="s">
        <v>1706</v>
      </c>
      <c r="F587" s="31">
        <v>2880</v>
      </c>
      <c r="G587" s="45" t="s">
        <v>1707</v>
      </c>
      <c r="H587" s="45"/>
      <c r="I587" s="26" t="s">
        <v>213</v>
      </c>
      <c r="J587" s="26" t="s">
        <v>7</v>
      </c>
    </row>
    <row r="588" spans="1:10" ht="33" x14ac:dyDescent="0.25">
      <c r="A588" s="1" t="s">
        <v>48</v>
      </c>
      <c r="B588" s="25" t="s">
        <v>638</v>
      </c>
      <c r="C588" s="25" t="s">
        <v>1703</v>
      </c>
      <c r="D588" s="27" t="s">
        <v>563</v>
      </c>
      <c r="E588" s="27" t="s">
        <v>1708</v>
      </c>
      <c r="F588" s="31">
        <v>1255</v>
      </c>
      <c r="G588" s="45" t="s">
        <v>1709</v>
      </c>
      <c r="H588" s="45"/>
      <c r="I588" s="26" t="s">
        <v>213</v>
      </c>
      <c r="J588" s="26" t="s">
        <v>7</v>
      </c>
    </row>
    <row r="589" spans="1:10" ht="33" x14ac:dyDescent="0.25">
      <c r="A589" s="1" t="s">
        <v>48</v>
      </c>
      <c r="B589" s="25" t="s">
        <v>638</v>
      </c>
      <c r="C589" s="25" t="s">
        <v>1703</v>
      </c>
      <c r="D589" s="27" t="s">
        <v>1115</v>
      </c>
      <c r="E589" s="27" t="s">
        <v>1710</v>
      </c>
      <c r="F589" s="31">
        <v>600</v>
      </c>
      <c r="G589" s="45" t="s">
        <v>1711</v>
      </c>
      <c r="H589" s="45"/>
      <c r="I589" s="26" t="s">
        <v>295</v>
      </c>
      <c r="J589" s="26" t="s">
        <v>7</v>
      </c>
    </row>
    <row r="590" spans="1:10" x14ac:dyDescent="0.25">
      <c r="A590" s="1" t="s">
        <v>48</v>
      </c>
      <c r="B590" s="25" t="s">
        <v>638</v>
      </c>
      <c r="C590" s="25" t="s">
        <v>1703</v>
      </c>
      <c r="D590" s="27" t="s">
        <v>1068</v>
      </c>
      <c r="E590" s="27" t="s">
        <v>1712</v>
      </c>
      <c r="F590" s="31">
        <v>8329</v>
      </c>
      <c r="G590" s="45" t="s">
        <v>1713</v>
      </c>
      <c r="H590" s="45"/>
      <c r="I590" s="26" t="s">
        <v>335</v>
      </c>
      <c r="J590" s="26" t="s">
        <v>7</v>
      </c>
    </row>
    <row r="591" spans="1:10" x14ac:dyDescent="0.25">
      <c r="A591" s="1" t="s">
        <v>48</v>
      </c>
      <c r="B591" s="25" t="s">
        <v>638</v>
      </c>
      <c r="C591" s="25" t="s">
        <v>1714</v>
      </c>
      <c r="D591" s="27" t="s">
        <v>402</v>
      </c>
      <c r="E591" s="27" t="s">
        <v>1715</v>
      </c>
      <c r="F591" s="31">
        <v>6597</v>
      </c>
      <c r="G591" s="45" t="s">
        <v>1716</v>
      </c>
      <c r="H591" s="45"/>
      <c r="I591" s="26" t="s">
        <v>82</v>
      </c>
      <c r="J591" s="26" t="s">
        <v>7</v>
      </c>
    </row>
    <row r="592" spans="1:10" x14ac:dyDescent="0.25">
      <c r="A592" s="1" t="s">
        <v>48</v>
      </c>
      <c r="B592" s="25" t="s">
        <v>638</v>
      </c>
      <c r="C592" s="25" t="s">
        <v>1717</v>
      </c>
      <c r="D592" s="27" t="s">
        <v>402</v>
      </c>
      <c r="E592" s="27" t="s">
        <v>1718</v>
      </c>
      <c r="F592" s="31">
        <v>8652</v>
      </c>
      <c r="G592" s="45" t="s">
        <v>1719</v>
      </c>
      <c r="H592" s="45"/>
      <c r="I592" s="26" t="s">
        <v>512</v>
      </c>
      <c r="J592" s="26" t="s">
        <v>7</v>
      </c>
    </row>
    <row r="593" spans="1:10" ht="33" x14ac:dyDescent="0.25">
      <c r="A593" s="1" t="s">
        <v>48</v>
      </c>
      <c r="B593" s="25" t="s">
        <v>638</v>
      </c>
      <c r="C593" s="25" t="s">
        <v>1720</v>
      </c>
      <c r="D593" s="27" t="s">
        <v>402</v>
      </c>
      <c r="E593" s="27" t="s">
        <v>1721</v>
      </c>
      <c r="F593" s="31">
        <v>9573</v>
      </c>
      <c r="G593" s="45" t="s">
        <v>1722</v>
      </c>
      <c r="H593" s="45"/>
      <c r="I593" s="26" t="s">
        <v>133</v>
      </c>
      <c r="J593" s="26" t="s">
        <v>7</v>
      </c>
    </row>
    <row r="594" spans="1:10" ht="49.5" x14ac:dyDescent="0.25">
      <c r="A594" s="1" t="s">
        <v>48</v>
      </c>
      <c r="B594" s="25" t="s">
        <v>638</v>
      </c>
      <c r="C594" s="25" t="s">
        <v>1723</v>
      </c>
      <c r="D594" s="27" t="s">
        <v>1100</v>
      </c>
      <c r="E594" s="27" t="s">
        <v>1724</v>
      </c>
      <c r="F594" s="31">
        <v>8184</v>
      </c>
      <c r="G594" s="45" t="s">
        <v>1725</v>
      </c>
      <c r="H594" s="45"/>
      <c r="I594" s="26" t="s">
        <v>295</v>
      </c>
      <c r="J594" s="26" t="s">
        <v>7</v>
      </c>
    </row>
    <row r="595" spans="1:10" x14ac:dyDescent="0.25">
      <c r="A595" s="1" t="s">
        <v>48</v>
      </c>
      <c r="B595" s="25" t="s">
        <v>638</v>
      </c>
      <c r="C595" s="25" t="s">
        <v>1726</v>
      </c>
      <c r="D595" s="27" t="s">
        <v>402</v>
      </c>
      <c r="E595" s="27" t="s">
        <v>1727</v>
      </c>
      <c r="F595" s="31">
        <v>6567</v>
      </c>
      <c r="G595" s="45" t="s">
        <v>1728</v>
      </c>
      <c r="H595" s="45"/>
      <c r="I595" s="26" t="s">
        <v>171</v>
      </c>
      <c r="J595" s="26" t="s">
        <v>7</v>
      </c>
    </row>
    <row r="596" spans="1:10" x14ac:dyDescent="0.25">
      <c r="A596" s="1" t="s">
        <v>48</v>
      </c>
      <c r="B596" s="25" t="s">
        <v>638</v>
      </c>
      <c r="C596" s="25" t="s">
        <v>1729</v>
      </c>
      <c r="D596" s="27" t="s">
        <v>402</v>
      </c>
      <c r="E596" s="27" t="s">
        <v>1730</v>
      </c>
      <c r="F596" s="31">
        <v>9115</v>
      </c>
      <c r="G596" s="45" t="s">
        <v>1731</v>
      </c>
      <c r="H596" s="45"/>
      <c r="I596" s="26" t="s">
        <v>607</v>
      </c>
      <c r="J596" s="26" t="s">
        <v>7</v>
      </c>
    </row>
    <row r="597" spans="1:10" x14ac:dyDescent="0.25">
      <c r="A597" s="1" t="s">
        <v>48</v>
      </c>
      <c r="B597" s="25" t="s">
        <v>638</v>
      </c>
      <c r="C597" s="25" t="s">
        <v>1732</v>
      </c>
      <c r="D597" s="27" t="s">
        <v>402</v>
      </c>
      <c r="E597" s="27" t="s">
        <v>1733</v>
      </c>
      <c r="F597" s="31">
        <v>27602</v>
      </c>
      <c r="G597" s="45" t="s">
        <v>1734</v>
      </c>
      <c r="H597" s="45"/>
      <c r="I597" s="26" t="s">
        <v>86</v>
      </c>
      <c r="J597" s="26" t="s">
        <v>7</v>
      </c>
    </row>
    <row r="598" spans="1:10" x14ac:dyDescent="0.25">
      <c r="A598" s="1" t="s">
        <v>48</v>
      </c>
      <c r="B598" s="25" t="s">
        <v>638</v>
      </c>
      <c r="C598" s="25" t="s">
        <v>1735</v>
      </c>
      <c r="D598" s="27" t="s">
        <v>402</v>
      </c>
      <c r="E598" s="27" t="s">
        <v>1736</v>
      </c>
      <c r="F598" s="31">
        <v>2520</v>
      </c>
      <c r="G598" s="45" t="s">
        <v>1737</v>
      </c>
      <c r="H598" s="45"/>
      <c r="I598" s="26" t="s">
        <v>86</v>
      </c>
      <c r="J598" s="26" t="s">
        <v>7</v>
      </c>
    </row>
    <row r="599" spans="1:10" x14ac:dyDescent="0.25">
      <c r="A599" s="1" t="s">
        <v>217</v>
      </c>
      <c r="B599" s="25" t="s">
        <v>1738</v>
      </c>
      <c r="C599" s="25" t="s">
        <v>218</v>
      </c>
      <c r="D599" s="27" t="s">
        <v>7</v>
      </c>
      <c r="E599" s="27" t="s">
        <v>1739</v>
      </c>
      <c r="F599" s="31">
        <v>671</v>
      </c>
      <c r="G599" s="45" t="s">
        <v>1740</v>
      </c>
      <c r="H599" s="45"/>
      <c r="I599" s="26" t="s">
        <v>1599</v>
      </c>
      <c r="J599" s="26" t="s">
        <v>7</v>
      </c>
    </row>
    <row r="600" spans="1:10" x14ac:dyDescent="0.25">
      <c r="A600" s="1" t="s">
        <v>48</v>
      </c>
      <c r="B600" s="25" t="s">
        <v>643</v>
      </c>
      <c r="C600" s="25" t="s">
        <v>1741</v>
      </c>
      <c r="D600" s="27" t="s">
        <v>402</v>
      </c>
      <c r="E600" s="27" t="s">
        <v>1742</v>
      </c>
      <c r="F600" s="31">
        <v>19947</v>
      </c>
      <c r="G600" s="45" t="s">
        <v>1743</v>
      </c>
      <c r="H600" s="45"/>
      <c r="I600" s="26" t="s">
        <v>295</v>
      </c>
      <c r="J600" s="26" t="s">
        <v>7</v>
      </c>
    </row>
    <row r="601" spans="1:10" x14ac:dyDescent="0.25">
      <c r="A601" s="1" t="s">
        <v>217</v>
      </c>
      <c r="B601" s="25" t="s">
        <v>643</v>
      </c>
      <c r="C601" s="25" t="s">
        <v>218</v>
      </c>
      <c r="D601" s="27" t="s">
        <v>7</v>
      </c>
      <c r="E601" s="27" t="s">
        <v>1744</v>
      </c>
      <c r="F601" s="31">
        <v>3790</v>
      </c>
      <c r="G601" s="45" t="s">
        <v>1745</v>
      </c>
      <c r="H601" s="45"/>
      <c r="I601" s="26" t="s">
        <v>1746</v>
      </c>
      <c r="J601" s="26" t="s">
        <v>7</v>
      </c>
    </row>
    <row r="602" spans="1:10" x14ac:dyDescent="0.25">
      <c r="A602" s="1" t="s">
        <v>48</v>
      </c>
      <c r="B602" s="25" t="s">
        <v>653</v>
      </c>
      <c r="C602" s="25" t="s">
        <v>1747</v>
      </c>
      <c r="D602" s="27" t="s">
        <v>402</v>
      </c>
      <c r="E602" s="27" t="s">
        <v>1748</v>
      </c>
      <c r="F602" s="31">
        <v>16335</v>
      </c>
      <c r="G602" s="45" t="s">
        <v>1749</v>
      </c>
      <c r="H602" s="45"/>
      <c r="I602" s="26" t="s">
        <v>171</v>
      </c>
      <c r="J602" s="26" t="s">
        <v>7</v>
      </c>
    </row>
    <row r="603" spans="1:10" x14ac:dyDescent="0.25">
      <c r="A603" s="1" t="s">
        <v>48</v>
      </c>
      <c r="B603" s="25" t="s">
        <v>653</v>
      </c>
      <c r="C603" s="25" t="s">
        <v>1750</v>
      </c>
      <c r="D603" s="27" t="s">
        <v>402</v>
      </c>
      <c r="E603" s="27" t="s">
        <v>1751</v>
      </c>
      <c r="F603" s="31">
        <v>19947</v>
      </c>
      <c r="G603" s="45" t="s">
        <v>1752</v>
      </c>
      <c r="H603" s="45"/>
      <c r="I603" s="26" t="s">
        <v>295</v>
      </c>
      <c r="J603" s="26" t="s">
        <v>7</v>
      </c>
    </row>
    <row r="604" spans="1:10" x14ac:dyDescent="0.25">
      <c r="A604" s="1" t="s">
        <v>48</v>
      </c>
      <c r="B604" s="25" t="s">
        <v>653</v>
      </c>
      <c r="C604" s="25" t="s">
        <v>1753</v>
      </c>
      <c r="D604" s="27" t="s">
        <v>402</v>
      </c>
      <c r="E604" s="27" t="s">
        <v>1754</v>
      </c>
      <c r="F604" s="31">
        <v>19681</v>
      </c>
      <c r="G604" s="45" t="s">
        <v>1755</v>
      </c>
      <c r="H604" s="45"/>
      <c r="I604" s="26" t="s">
        <v>295</v>
      </c>
      <c r="J604" s="26" t="s">
        <v>7</v>
      </c>
    </row>
    <row r="605" spans="1:10" x14ac:dyDescent="0.25">
      <c r="A605" s="1" t="s">
        <v>48</v>
      </c>
      <c r="B605" s="25" t="s">
        <v>653</v>
      </c>
      <c r="C605" s="25" t="s">
        <v>1756</v>
      </c>
      <c r="D605" s="27" t="s">
        <v>402</v>
      </c>
      <c r="E605" s="27" t="s">
        <v>1757</v>
      </c>
      <c r="F605" s="31">
        <v>20212</v>
      </c>
      <c r="G605" s="45" t="s">
        <v>1758</v>
      </c>
      <c r="H605" s="45"/>
      <c r="I605" s="26" t="s">
        <v>295</v>
      </c>
      <c r="J605" s="26" t="s">
        <v>7</v>
      </c>
    </row>
    <row r="606" spans="1:10" ht="49.5" x14ac:dyDescent="0.25">
      <c r="A606" s="1" t="s">
        <v>48</v>
      </c>
      <c r="B606" s="25" t="s">
        <v>653</v>
      </c>
      <c r="C606" s="25" t="s">
        <v>1759</v>
      </c>
      <c r="D606" s="27" t="s">
        <v>1100</v>
      </c>
      <c r="E606" s="27" t="s">
        <v>1760</v>
      </c>
      <c r="F606" s="31">
        <v>4084</v>
      </c>
      <c r="G606" s="45" t="s">
        <v>1761</v>
      </c>
      <c r="H606" s="45"/>
      <c r="I606" s="26" t="s">
        <v>82</v>
      </c>
      <c r="J606" s="26" t="s">
        <v>7</v>
      </c>
    </row>
    <row r="607" spans="1:10" x14ac:dyDescent="0.25">
      <c r="A607" s="1" t="s">
        <v>48</v>
      </c>
      <c r="B607" s="25" t="s">
        <v>653</v>
      </c>
      <c r="C607" s="25" t="s">
        <v>1762</v>
      </c>
      <c r="D607" s="27" t="s">
        <v>402</v>
      </c>
      <c r="E607" s="27" t="s">
        <v>1763</v>
      </c>
      <c r="F607" s="31">
        <v>8249</v>
      </c>
      <c r="G607" s="45" t="s">
        <v>1764</v>
      </c>
      <c r="H607" s="45"/>
      <c r="I607" s="26" t="s">
        <v>86</v>
      </c>
      <c r="J607" s="26" t="s">
        <v>7</v>
      </c>
    </row>
    <row r="608" spans="1:10" ht="33" x14ac:dyDescent="0.25">
      <c r="A608" s="1" t="s">
        <v>48</v>
      </c>
      <c r="B608" s="25" t="s">
        <v>656</v>
      </c>
      <c r="C608" s="25" t="s">
        <v>1765</v>
      </c>
      <c r="D608" s="27" t="s">
        <v>985</v>
      </c>
      <c r="E608" s="27" t="s">
        <v>1766</v>
      </c>
      <c r="F608" s="31">
        <v>16109</v>
      </c>
      <c r="G608" s="45" t="s">
        <v>1767</v>
      </c>
      <c r="H608" s="45"/>
      <c r="I608" s="26" t="s">
        <v>295</v>
      </c>
      <c r="J608" s="26" t="s">
        <v>7</v>
      </c>
    </row>
    <row r="609" spans="1:10" ht="33" x14ac:dyDescent="0.25">
      <c r="A609" s="1" t="s">
        <v>48</v>
      </c>
      <c r="B609" s="25" t="s">
        <v>677</v>
      </c>
      <c r="C609" s="25" t="s">
        <v>1768</v>
      </c>
      <c r="D609" s="27" t="s">
        <v>985</v>
      </c>
      <c r="E609" s="27" t="s">
        <v>1769</v>
      </c>
      <c r="F609" s="31">
        <v>8460</v>
      </c>
      <c r="G609" s="45" t="s">
        <v>1770</v>
      </c>
      <c r="H609" s="45"/>
      <c r="I609" s="26" t="s">
        <v>95</v>
      </c>
      <c r="J609" s="26" t="s">
        <v>7</v>
      </c>
    </row>
    <row r="610" spans="1:10" x14ac:dyDescent="0.25">
      <c r="A610" s="1" t="s">
        <v>48</v>
      </c>
      <c r="B610" s="25" t="s">
        <v>677</v>
      </c>
      <c r="C610" s="25" t="s">
        <v>1771</v>
      </c>
      <c r="D610" s="27" t="s">
        <v>1011</v>
      </c>
      <c r="E610" s="27" t="s">
        <v>1772</v>
      </c>
      <c r="F610" s="31">
        <v>2400</v>
      </c>
      <c r="G610" s="45" t="s">
        <v>1773</v>
      </c>
      <c r="H610" s="45"/>
      <c r="I610" s="26" t="s">
        <v>295</v>
      </c>
      <c r="J610" s="26" t="s">
        <v>7</v>
      </c>
    </row>
    <row r="611" spans="1:10" ht="33" x14ac:dyDescent="0.25">
      <c r="A611" s="1" t="s">
        <v>48</v>
      </c>
      <c r="B611" s="25" t="s">
        <v>677</v>
      </c>
      <c r="C611" s="25" t="s">
        <v>1771</v>
      </c>
      <c r="D611" s="27" t="s">
        <v>1088</v>
      </c>
      <c r="E611" s="27" t="s">
        <v>1774</v>
      </c>
      <c r="F611" s="31">
        <v>2400</v>
      </c>
      <c r="G611" s="45" t="s">
        <v>1775</v>
      </c>
      <c r="H611" s="45"/>
      <c r="I611" s="26" t="s">
        <v>389</v>
      </c>
      <c r="J611" s="26" t="s">
        <v>7</v>
      </c>
    </row>
    <row r="612" spans="1:10" ht="33" x14ac:dyDescent="0.25">
      <c r="A612" s="1" t="s">
        <v>48</v>
      </c>
      <c r="B612" s="25" t="s">
        <v>677</v>
      </c>
      <c r="C612" s="25" t="s">
        <v>1776</v>
      </c>
      <c r="D612" s="27" t="s">
        <v>1115</v>
      </c>
      <c r="E612" s="27" t="s">
        <v>1777</v>
      </c>
      <c r="F612" s="31">
        <v>2400</v>
      </c>
      <c r="G612" s="45" t="s">
        <v>1778</v>
      </c>
      <c r="H612" s="45"/>
      <c r="I612" s="26" t="s">
        <v>86</v>
      </c>
      <c r="J612" s="26" t="s">
        <v>7</v>
      </c>
    </row>
    <row r="613" spans="1:10" ht="33" x14ac:dyDescent="0.25">
      <c r="A613" s="1" t="s">
        <v>48</v>
      </c>
      <c r="B613" s="25" t="s">
        <v>677</v>
      </c>
      <c r="C613" s="25" t="s">
        <v>1776</v>
      </c>
      <c r="D613" s="27" t="s">
        <v>985</v>
      </c>
      <c r="E613" s="27" t="s">
        <v>1777</v>
      </c>
      <c r="F613" s="31">
        <v>406</v>
      </c>
      <c r="G613" s="45" t="s">
        <v>1778</v>
      </c>
      <c r="H613" s="45"/>
      <c r="I613" s="26" t="s">
        <v>86</v>
      </c>
      <c r="J613" s="26" t="s">
        <v>7</v>
      </c>
    </row>
    <row r="614" spans="1:10" ht="33" x14ac:dyDescent="0.25">
      <c r="A614" s="1" t="s">
        <v>48</v>
      </c>
      <c r="B614" s="25" t="s">
        <v>677</v>
      </c>
      <c r="C614" s="25" t="s">
        <v>1779</v>
      </c>
      <c r="D614" s="27" t="s">
        <v>985</v>
      </c>
      <c r="E614" s="27" t="s">
        <v>1780</v>
      </c>
      <c r="F614" s="31">
        <v>520</v>
      </c>
      <c r="G614" s="45" t="s">
        <v>1781</v>
      </c>
      <c r="H614" s="45"/>
      <c r="I614" s="26" t="s">
        <v>798</v>
      </c>
      <c r="J614" s="26" t="s">
        <v>7</v>
      </c>
    </row>
    <row r="615" spans="1:10" ht="49.5" x14ac:dyDescent="0.25">
      <c r="A615" s="1" t="s">
        <v>48</v>
      </c>
      <c r="B615" s="25" t="s">
        <v>677</v>
      </c>
      <c r="C615" s="25" t="s">
        <v>1782</v>
      </c>
      <c r="D615" s="27" t="s">
        <v>1100</v>
      </c>
      <c r="E615" s="27" t="s">
        <v>1783</v>
      </c>
      <c r="F615" s="31">
        <v>5106</v>
      </c>
      <c r="G615" s="45" t="s">
        <v>1784</v>
      </c>
      <c r="H615" s="45"/>
      <c r="I615" s="26" t="s">
        <v>95</v>
      </c>
      <c r="J615" s="26" t="s">
        <v>7</v>
      </c>
    </row>
    <row r="616" spans="1:10" ht="49.5" x14ac:dyDescent="0.25">
      <c r="A616" s="1" t="s">
        <v>48</v>
      </c>
      <c r="B616" s="25" t="s">
        <v>677</v>
      </c>
      <c r="C616" s="25" t="s">
        <v>1782</v>
      </c>
      <c r="D616" s="27" t="s">
        <v>1100</v>
      </c>
      <c r="E616" s="27" t="s">
        <v>1785</v>
      </c>
      <c r="F616" s="31">
        <v>5106</v>
      </c>
      <c r="G616" s="45" t="s">
        <v>1786</v>
      </c>
      <c r="H616" s="45"/>
      <c r="I616" s="26" t="s">
        <v>95</v>
      </c>
      <c r="J616" s="26" t="s">
        <v>7</v>
      </c>
    </row>
    <row r="617" spans="1:10" x14ac:dyDescent="0.25">
      <c r="A617" s="1" t="s">
        <v>217</v>
      </c>
      <c r="B617" s="25" t="s">
        <v>695</v>
      </c>
      <c r="C617" s="25" t="s">
        <v>69</v>
      </c>
      <c r="D617" s="27" t="s">
        <v>7</v>
      </c>
      <c r="E617" s="27" t="s">
        <v>1787</v>
      </c>
      <c r="F617" s="31">
        <v>9516</v>
      </c>
      <c r="G617" s="45" t="s">
        <v>1788</v>
      </c>
      <c r="H617" s="45"/>
      <c r="I617" s="26" t="s">
        <v>335</v>
      </c>
      <c r="J617" s="26" t="s">
        <v>7</v>
      </c>
    </row>
    <row r="618" spans="1:10" ht="33" x14ac:dyDescent="0.25">
      <c r="A618" s="1" t="s">
        <v>217</v>
      </c>
      <c r="B618" s="25" t="s">
        <v>695</v>
      </c>
      <c r="C618" s="25" t="s">
        <v>218</v>
      </c>
      <c r="D618" s="27" t="s">
        <v>7</v>
      </c>
      <c r="E618" s="27" t="s">
        <v>1789</v>
      </c>
      <c r="F618" s="31">
        <v>8361</v>
      </c>
      <c r="G618" s="45" t="s">
        <v>1790</v>
      </c>
      <c r="H618" s="45"/>
      <c r="I618" s="26" t="s">
        <v>118</v>
      </c>
      <c r="J618" s="26" t="s">
        <v>7</v>
      </c>
    </row>
    <row r="619" spans="1:10" ht="33" x14ac:dyDescent="0.25">
      <c r="A619" s="1" t="s">
        <v>217</v>
      </c>
      <c r="B619" s="25" t="s">
        <v>695</v>
      </c>
      <c r="C619" s="25" t="s">
        <v>218</v>
      </c>
      <c r="D619" s="27" t="s">
        <v>7</v>
      </c>
      <c r="E619" s="27" t="s">
        <v>1791</v>
      </c>
      <c r="F619" s="31">
        <v>8564</v>
      </c>
      <c r="G619" s="45" t="s">
        <v>1792</v>
      </c>
      <c r="H619" s="45"/>
      <c r="I619" s="26" t="s">
        <v>118</v>
      </c>
      <c r="J619" s="26" t="s">
        <v>7</v>
      </c>
    </row>
    <row r="620" spans="1:10" ht="33" x14ac:dyDescent="0.25">
      <c r="A620" s="1" t="s">
        <v>217</v>
      </c>
      <c r="B620" s="25" t="s">
        <v>695</v>
      </c>
      <c r="C620" s="25" t="s">
        <v>218</v>
      </c>
      <c r="D620" s="27" t="s">
        <v>7</v>
      </c>
      <c r="E620" s="27" t="s">
        <v>1793</v>
      </c>
      <c r="F620" s="31">
        <v>28873</v>
      </c>
      <c r="G620" s="45" t="s">
        <v>1794</v>
      </c>
      <c r="H620" s="45"/>
      <c r="I620" s="26" t="s">
        <v>118</v>
      </c>
      <c r="J620" s="26" t="s">
        <v>7</v>
      </c>
    </row>
    <row r="621" spans="1:10" ht="33" x14ac:dyDescent="0.25">
      <c r="A621" s="1" t="s">
        <v>217</v>
      </c>
      <c r="B621" s="25" t="s">
        <v>695</v>
      </c>
      <c r="C621" s="25" t="s">
        <v>218</v>
      </c>
      <c r="D621" s="27" t="s">
        <v>7</v>
      </c>
      <c r="E621" s="27" t="s">
        <v>1795</v>
      </c>
      <c r="F621" s="31">
        <v>22599</v>
      </c>
      <c r="G621" s="45" t="s">
        <v>1796</v>
      </c>
      <c r="H621" s="45"/>
      <c r="I621" s="26" t="s">
        <v>118</v>
      </c>
      <c r="J621" s="26" t="s">
        <v>7</v>
      </c>
    </row>
    <row r="622" spans="1:10" x14ac:dyDescent="0.25">
      <c r="A622" s="1" t="s">
        <v>48</v>
      </c>
      <c r="B622" s="25" t="s">
        <v>700</v>
      </c>
      <c r="C622" s="25" t="s">
        <v>1797</v>
      </c>
      <c r="D622" s="27" t="s">
        <v>563</v>
      </c>
      <c r="E622" s="27" t="s">
        <v>1798</v>
      </c>
      <c r="F622" s="31">
        <v>6015</v>
      </c>
      <c r="G622" s="45" t="s">
        <v>1799</v>
      </c>
      <c r="H622" s="45"/>
      <c r="I622" s="26" t="s">
        <v>166</v>
      </c>
      <c r="J622" s="26" t="s">
        <v>7</v>
      </c>
    </row>
    <row r="623" spans="1:10" ht="33" x14ac:dyDescent="0.25">
      <c r="A623" s="1" t="s">
        <v>48</v>
      </c>
      <c r="B623" s="25" t="s">
        <v>700</v>
      </c>
      <c r="C623" s="25" t="s">
        <v>1800</v>
      </c>
      <c r="D623" s="27" t="s">
        <v>1115</v>
      </c>
      <c r="E623" s="27" t="s">
        <v>1801</v>
      </c>
      <c r="F623" s="31">
        <v>6372</v>
      </c>
      <c r="G623" s="45" t="s">
        <v>1802</v>
      </c>
      <c r="H623" s="45"/>
      <c r="I623" s="26" t="s">
        <v>133</v>
      </c>
      <c r="J623" s="26" t="s">
        <v>7</v>
      </c>
    </row>
    <row r="624" spans="1:10" ht="33" x14ac:dyDescent="0.25">
      <c r="A624" s="1" t="s">
        <v>48</v>
      </c>
      <c r="B624" s="25" t="s">
        <v>700</v>
      </c>
      <c r="C624" s="25" t="s">
        <v>1800</v>
      </c>
      <c r="D624" s="27" t="s">
        <v>1115</v>
      </c>
      <c r="E624" s="27" t="s">
        <v>1803</v>
      </c>
      <c r="F624" s="31">
        <v>9000</v>
      </c>
      <c r="G624" s="45" t="s">
        <v>1804</v>
      </c>
      <c r="H624" s="45"/>
      <c r="I624" s="26" t="s">
        <v>512</v>
      </c>
      <c r="J624" s="26" t="s">
        <v>7</v>
      </c>
    </row>
    <row r="625" spans="1:10" ht="33" x14ac:dyDescent="0.25">
      <c r="A625" s="1" t="s">
        <v>48</v>
      </c>
      <c r="B625" s="25" t="s">
        <v>700</v>
      </c>
      <c r="C625" s="25" t="s">
        <v>1805</v>
      </c>
      <c r="D625" s="27" t="s">
        <v>985</v>
      </c>
      <c r="E625" s="27" t="s">
        <v>1806</v>
      </c>
      <c r="F625" s="31">
        <v>1607</v>
      </c>
      <c r="G625" s="45" t="s">
        <v>1807</v>
      </c>
      <c r="H625" s="45"/>
      <c r="I625" s="26" t="s">
        <v>1702</v>
      </c>
      <c r="J625" s="26" t="s">
        <v>7</v>
      </c>
    </row>
    <row r="626" spans="1:10" ht="33" x14ac:dyDescent="0.25">
      <c r="A626" s="1" t="s">
        <v>48</v>
      </c>
      <c r="B626" s="25" t="s">
        <v>706</v>
      </c>
      <c r="C626" s="25" t="s">
        <v>1808</v>
      </c>
      <c r="D626" s="27" t="s">
        <v>1150</v>
      </c>
      <c r="E626" s="27" t="s">
        <v>1809</v>
      </c>
      <c r="F626" s="31">
        <v>312</v>
      </c>
      <c r="G626" s="45" t="s">
        <v>1810</v>
      </c>
      <c r="H626" s="45"/>
      <c r="I626" s="26" t="s">
        <v>1131</v>
      </c>
      <c r="J626" s="26" t="s">
        <v>7</v>
      </c>
    </row>
    <row r="627" spans="1:10" x14ac:dyDescent="0.25">
      <c r="A627" s="1" t="s">
        <v>217</v>
      </c>
      <c r="B627" s="25" t="s">
        <v>706</v>
      </c>
      <c r="C627" s="25" t="s">
        <v>69</v>
      </c>
      <c r="D627" s="27" t="s">
        <v>7</v>
      </c>
      <c r="E627" s="27" t="s">
        <v>1811</v>
      </c>
      <c r="F627" s="31">
        <v>74</v>
      </c>
      <c r="G627" s="45" t="s">
        <v>1812</v>
      </c>
      <c r="H627" s="45"/>
      <c r="I627" s="26" t="s">
        <v>1746</v>
      </c>
      <c r="J627" s="26" t="s">
        <v>7</v>
      </c>
    </row>
    <row r="628" spans="1:10" x14ac:dyDescent="0.25">
      <c r="A628" s="1" t="s">
        <v>217</v>
      </c>
      <c r="B628" s="25" t="s">
        <v>706</v>
      </c>
      <c r="C628" s="25" t="s">
        <v>69</v>
      </c>
      <c r="D628" s="27" t="s">
        <v>7</v>
      </c>
      <c r="E628" s="27" t="s">
        <v>1811</v>
      </c>
      <c r="F628" s="31">
        <v>3626</v>
      </c>
      <c r="G628" s="45" t="s">
        <v>1812</v>
      </c>
      <c r="H628" s="45"/>
      <c r="I628" s="26" t="s">
        <v>1746</v>
      </c>
      <c r="J628" s="26" t="s">
        <v>7</v>
      </c>
    </row>
    <row r="629" spans="1:10" x14ac:dyDescent="0.25">
      <c r="A629" s="1" t="s">
        <v>217</v>
      </c>
      <c r="B629" s="25" t="s">
        <v>706</v>
      </c>
      <c r="C629" s="25" t="s">
        <v>69</v>
      </c>
      <c r="D629" s="27" t="s">
        <v>7</v>
      </c>
      <c r="E629" s="27" t="s">
        <v>1811</v>
      </c>
      <c r="F629" s="31">
        <v>1310</v>
      </c>
      <c r="G629" s="45" t="s">
        <v>1812</v>
      </c>
      <c r="H629" s="45"/>
      <c r="I629" s="26" t="s">
        <v>1746</v>
      </c>
      <c r="J629" s="26" t="s">
        <v>7</v>
      </c>
    </row>
    <row r="630" spans="1:10" x14ac:dyDescent="0.25">
      <c r="A630" s="1" t="s">
        <v>217</v>
      </c>
      <c r="B630" s="25" t="s">
        <v>706</v>
      </c>
      <c r="C630" s="25" t="s">
        <v>218</v>
      </c>
      <c r="D630" s="27" t="s">
        <v>7</v>
      </c>
      <c r="E630" s="27" t="s">
        <v>1813</v>
      </c>
      <c r="F630" s="31">
        <v>11001</v>
      </c>
      <c r="G630" s="45" t="s">
        <v>1814</v>
      </c>
      <c r="H630" s="45"/>
      <c r="I630" s="26" t="s">
        <v>856</v>
      </c>
      <c r="J630" s="26" t="s">
        <v>7</v>
      </c>
    </row>
    <row r="631" spans="1:10" x14ac:dyDescent="0.25">
      <c r="A631" s="1" t="s">
        <v>217</v>
      </c>
      <c r="B631" s="25" t="s">
        <v>706</v>
      </c>
      <c r="C631" s="25" t="s">
        <v>218</v>
      </c>
      <c r="D631" s="27" t="s">
        <v>7</v>
      </c>
      <c r="E631" s="27" t="s">
        <v>1815</v>
      </c>
      <c r="F631" s="31">
        <v>7200</v>
      </c>
      <c r="G631" s="45" t="s">
        <v>1816</v>
      </c>
      <c r="H631" s="45"/>
      <c r="I631" s="26" t="s">
        <v>1746</v>
      </c>
      <c r="J631" s="26" t="s">
        <v>7</v>
      </c>
    </row>
    <row r="632" spans="1:10" x14ac:dyDescent="0.25">
      <c r="A632" s="1" t="s">
        <v>217</v>
      </c>
      <c r="B632" s="25" t="s">
        <v>1817</v>
      </c>
      <c r="C632" s="25" t="s">
        <v>69</v>
      </c>
      <c r="D632" s="27" t="s">
        <v>7</v>
      </c>
      <c r="E632" s="27" t="s">
        <v>1818</v>
      </c>
      <c r="F632" s="31">
        <v>1500</v>
      </c>
      <c r="G632" s="45" t="s">
        <v>1819</v>
      </c>
      <c r="H632" s="45"/>
      <c r="I632" s="26" t="s">
        <v>1237</v>
      </c>
      <c r="J632" s="26" t="s">
        <v>7</v>
      </c>
    </row>
    <row r="633" spans="1:10" x14ac:dyDescent="0.25">
      <c r="A633" s="1" t="s">
        <v>217</v>
      </c>
      <c r="B633" s="25" t="s">
        <v>1817</v>
      </c>
      <c r="C633" s="25" t="s">
        <v>69</v>
      </c>
      <c r="D633" s="27" t="s">
        <v>7</v>
      </c>
      <c r="E633" s="27" t="s">
        <v>1820</v>
      </c>
      <c r="F633" s="31">
        <v>2160</v>
      </c>
      <c r="G633" s="45" t="s">
        <v>1821</v>
      </c>
      <c r="H633" s="45"/>
      <c r="I633" s="26" t="s">
        <v>1237</v>
      </c>
      <c r="J633" s="26" t="s">
        <v>7</v>
      </c>
    </row>
    <row r="634" spans="1:10" x14ac:dyDescent="0.25">
      <c r="A634" s="1" t="s">
        <v>217</v>
      </c>
      <c r="B634" s="25" t="s">
        <v>1817</v>
      </c>
      <c r="C634" s="25" t="s">
        <v>69</v>
      </c>
      <c r="D634" s="27" t="s">
        <v>7</v>
      </c>
      <c r="E634" s="27" t="s">
        <v>1822</v>
      </c>
      <c r="F634" s="31">
        <v>4075</v>
      </c>
      <c r="G634" s="45" t="s">
        <v>1823</v>
      </c>
      <c r="H634" s="45"/>
      <c r="I634" s="26" t="s">
        <v>335</v>
      </c>
      <c r="J634" s="26" t="s">
        <v>7</v>
      </c>
    </row>
    <row r="635" spans="1:10" ht="33" x14ac:dyDescent="0.25">
      <c r="A635" s="1" t="s">
        <v>48</v>
      </c>
      <c r="B635" s="25" t="s">
        <v>712</v>
      </c>
      <c r="C635" s="25" t="s">
        <v>1824</v>
      </c>
      <c r="D635" s="27" t="s">
        <v>1142</v>
      </c>
      <c r="E635" s="27" t="s">
        <v>1825</v>
      </c>
      <c r="F635" s="31">
        <v>14895</v>
      </c>
      <c r="G635" s="45" t="s">
        <v>1826</v>
      </c>
      <c r="H635" s="45"/>
      <c r="I635" s="26" t="s">
        <v>86</v>
      </c>
      <c r="J635" s="26" t="s">
        <v>7</v>
      </c>
    </row>
    <row r="636" spans="1:10" ht="33" x14ac:dyDescent="0.25">
      <c r="A636" s="1" t="s">
        <v>48</v>
      </c>
      <c r="B636" s="25" t="s">
        <v>712</v>
      </c>
      <c r="C636" s="25" t="s">
        <v>1827</v>
      </c>
      <c r="D636" s="27" t="s">
        <v>402</v>
      </c>
      <c r="E636" s="27" t="s">
        <v>1828</v>
      </c>
      <c r="F636" s="31">
        <v>34734</v>
      </c>
      <c r="G636" s="45" t="s">
        <v>1829</v>
      </c>
      <c r="H636" s="45"/>
      <c r="I636" s="26" t="s">
        <v>1524</v>
      </c>
      <c r="J636" s="26" t="s">
        <v>7</v>
      </c>
    </row>
    <row r="637" spans="1:10" ht="33" x14ac:dyDescent="0.25">
      <c r="A637" s="1" t="s">
        <v>48</v>
      </c>
      <c r="B637" s="25" t="s">
        <v>726</v>
      </c>
      <c r="C637" s="25" t="s">
        <v>1830</v>
      </c>
      <c r="D637" s="27" t="s">
        <v>985</v>
      </c>
      <c r="E637" s="27" t="s">
        <v>1831</v>
      </c>
      <c r="F637" s="31">
        <v>340</v>
      </c>
      <c r="G637" s="45" t="s">
        <v>1832</v>
      </c>
      <c r="H637" s="45"/>
      <c r="I637" s="26" t="s">
        <v>1131</v>
      </c>
      <c r="J637" s="26" t="s">
        <v>7</v>
      </c>
    </row>
    <row r="638" spans="1:10" ht="33" x14ac:dyDescent="0.25">
      <c r="A638" s="1" t="s">
        <v>48</v>
      </c>
      <c r="B638" s="25" t="s">
        <v>726</v>
      </c>
      <c r="C638" s="25" t="s">
        <v>1830</v>
      </c>
      <c r="D638" s="27" t="s">
        <v>1003</v>
      </c>
      <c r="E638" s="27" t="s">
        <v>1833</v>
      </c>
      <c r="F638" s="31">
        <v>1700</v>
      </c>
      <c r="G638" s="45" t="s">
        <v>1834</v>
      </c>
      <c r="H638" s="45"/>
      <c r="I638" s="26" t="s">
        <v>126</v>
      </c>
      <c r="J638" s="26" t="s">
        <v>7</v>
      </c>
    </row>
    <row r="639" spans="1:10" ht="33" x14ac:dyDescent="0.25">
      <c r="A639" s="1" t="s">
        <v>48</v>
      </c>
      <c r="B639" s="25" t="s">
        <v>726</v>
      </c>
      <c r="C639" s="25" t="s">
        <v>1830</v>
      </c>
      <c r="D639" s="27" t="s">
        <v>1003</v>
      </c>
      <c r="E639" s="27" t="s">
        <v>1835</v>
      </c>
      <c r="F639" s="31">
        <v>3500</v>
      </c>
      <c r="G639" s="45" t="s">
        <v>1836</v>
      </c>
      <c r="H639" s="45"/>
      <c r="I639" s="26" t="s">
        <v>126</v>
      </c>
      <c r="J639" s="26" t="s">
        <v>7</v>
      </c>
    </row>
    <row r="640" spans="1:10" ht="49.5" x14ac:dyDescent="0.25">
      <c r="A640" s="1" t="s">
        <v>48</v>
      </c>
      <c r="B640" s="25" t="s">
        <v>726</v>
      </c>
      <c r="C640" s="25" t="s">
        <v>1837</v>
      </c>
      <c r="D640" s="27" t="s">
        <v>1100</v>
      </c>
      <c r="E640" s="27" t="s">
        <v>1838</v>
      </c>
      <c r="F640" s="31">
        <v>4084</v>
      </c>
      <c r="G640" s="45" t="s">
        <v>1839</v>
      </c>
      <c r="H640" s="45"/>
      <c r="I640" s="26" t="s">
        <v>1131</v>
      </c>
      <c r="J640" s="26" t="s">
        <v>7</v>
      </c>
    </row>
    <row r="641" spans="1:10" ht="49.5" x14ac:dyDescent="0.25">
      <c r="A641" s="1" t="s">
        <v>48</v>
      </c>
      <c r="B641" s="25" t="s">
        <v>726</v>
      </c>
      <c r="C641" s="25" t="s">
        <v>1837</v>
      </c>
      <c r="D641" s="27" t="s">
        <v>1100</v>
      </c>
      <c r="E641" s="27" t="s">
        <v>1840</v>
      </c>
      <c r="F641" s="31">
        <v>4084</v>
      </c>
      <c r="G641" s="45" t="s">
        <v>1841</v>
      </c>
      <c r="H641" s="45"/>
      <c r="I641" s="26" t="s">
        <v>1131</v>
      </c>
      <c r="J641" s="26" t="s">
        <v>7</v>
      </c>
    </row>
    <row r="642" spans="1:10" x14ac:dyDescent="0.25">
      <c r="A642" s="1" t="s">
        <v>48</v>
      </c>
      <c r="B642" s="25" t="s">
        <v>726</v>
      </c>
      <c r="C642" s="25" t="s">
        <v>1842</v>
      </c>
      <c r="D642" s="27" t="s">
        <v>402</v>
      </c>
      <c r="E642" s="27" t="s">
        <v>1843</v>
      </c>
      <c r="F642" s="31">
        <v>5858</v>
      </c>
      <c r="G642" s="45" t="s">
        <v>1844</v>
      </c>
      <c r="H642" s="45"/>
      <c r="I642" s="26" t="s">
        <v>82</v>
      </c>
      <c r="J642" s="26" t="s">
        <v>7</v>
      </c>
    </row>
    <row r="643" spans="1:10" x14ac:dyDescent="0.25">
      <c r="A643" s="1" t="s">
        <v>217</v>
      </c>
      <c r="B643" s="25" t="s">
        <v>726</v>
      </c>
      <c r="C643" s="25" t="s">
        <v>69</v>
      </c>
      <c r="D643" s="27" t="s">
        <v>7</v>
      </c>
      <c r="E643" s="27" t="s">
        <v>1845</v>
      </c>
      <c r="F643" s="31">
        <v>120</v>
      </c>
      <c r="G643" s="45" t="s">
        <v>1846</v>
      </c>
      <c r="H643" s="45"/>
      <c r="I643" s="26" t="s">
        <v>1847</v>
      </c>
      <c r="J643" s="26" t="s">
        <v>7</v>
      </c>
    </row>
    <row r="644" spans="1:10" x14ac:dyDescent="0.25">
      <c r="A644" s="1" t="s">
        <v>48</v>
      </c>
      <c r="B644" s="25" t="s">
        <v>743</v>
      </c>
      <c r="C644" s="25" t="s">
        <v>1848</v>
      </c>
      <c r="D644" s="27" t="s">
        <v>402</v>
      </c>
      <c r="E644" s="27" t="s">
        <v>1849</v>
      </c>
      <c r="F644" s="31">
        <v>3456</v>
      </c>
      <c r="G644" s="45" t="s">
        <v>1850</v>
      </c>
      <c r="H644" s="45"/>
      <c r="I644" s="26" t="s">
        <v>607</v>
      </c>
      <c r="J644" s="26" t="s">
        <v>7</v>
      </c>
    </row>
    <row r="645" spans="1:10" ht="33" x14ac:dyDescent="0.25">
      <c r="A645" s="1" t="s">
        <v>48</v>
      </c>
      <c r="B645" s="25" t="s">
        <v>743</v>
      </c>
      <c r="C645" s="25" t="s">
        <v>1851</v>
      </c>
      <c r="D645" s="27" t="s">
        <v>985</v>
      </c>
      <c r="E645" s="27" t="s">
        <v>1852</v>
      </c>
      <c r="F645" s="31">
        <v>24762</v>
      </c>
      <c r="G645" s="45" t="s">
        <v>1853</v>
      </c>
      <c r="H645" s="45"/>
      <c r="I645" s="26" t="s">
        <v>62</v>
      </c>
      <c r="J645" s="26" t="s">
        <v>7</v>
      </c>
    </row>
    <row r="646" spans="1:10" ht="33" x14ac:dyDescent="0.25">
      <c r="A646" s="1" t="s">
        <v>48</v>
      </c>
      <c r="B646" s="25" t="s">
        <v>750</v>
      </c>
      <c r="C646" s="25" t="s">
        <v>1854</v>
      </c>
      <c r="D646" s="27" t="s">
        <v>1115</v>
      </c>
      <c r="E646" s="27" t="s">
        <v>1855</v>
      </c>
      <c r="F646" s="31">
        <v>60</v>
      </c>
      <c r="G646" s="45" t="s">
        <v>1856</v>
      </c>
      <c r="H646" s="45"/>
      <c r="I646" s="26" t="s">
        <v>133</v>
      </c>
      <c r="J646" s="26" t="s">
        <v>7</v>
      </c>
    </row>
    <row r="647" spans="1:10" ht="33" x14ac:dyDescent="0.25">
      <c r="A647" s="1" t="s">
        <v>48</v>
      </c>
      <c r="B647" s="25" t="s">
        <v>750</v>
      </c>
      <c r="C647" s="25" t="s">
        <v>1857</v>
      </c>
      <c r="D647" s="27" t="s">
        <v>985</v>
      </c>
      <c r="E647" s="27" t="s">
        <v>1858</v>
      </c>
      <c r="F647" s="31">
        <v>3463</v>
      </c>
      <c r="G647" s="45" t="s">
        <v>1859</v>
      </c>
      <c r="H647" s="45"/>
      <c r="I647" s="26" t="s">
        <v>266</v>
      </c>
      <c r="J647" s="26" t="s">
        <v>7</v>
      </c>
    </row>
    <row r="648" spans="1:10" x14ac:dyDescent="0.25">
      <c r="A648" s="1" t="s">
        <v>217</v>
      </c>
      <c r="B648" s="25" t="s">
        <v>750</v>
      </c>
      <c r="C648" s="25" t="s">
        <v>218</v>
      </c>
      <c r="D648" s="27" t="s">
        <v>7</v>
      </c>
      <c r="E648" s="27" t="s">
        <v>1860</v>
      </c>
      <c r="F648" s="31">
        <v>10000</v>
      </c>
      <c r="G648" s="45" t="s">
        <v>1861</v>
      </c>
      <c r="H648" s="45"/>
      <c r="I648" s="26" t="s">
        <v>1862</v>
      </c>
      <c r="J648" s="26" t="s">
        <v>7</v>
      </c>
    </row>
    <row r="649" spans="1:10" ht="33" x14ac:dyDescent="0.25">
      <c r="A649" s="1" t="s">
        <v>217</v>
      </c>
      <c r="B649" s="25" t="s">
        <v>765</v>
      </c>
      <c r="C649" s="25" t="s">
        <v>218</v>
      </c>
      <c r="D649" s="27" t="s">
        <v>7</v>
      </c>
      <c r="E649" s="27" t="s">
        <v>1863</v>
      </c>
      <c r="F649" s="31">
        <v>43906</v>
      </c>
      <c r="G649" s="45" t="s">
        <v>1864</v>
      </c>
      <c r="H649" s="45"/>
      <c r="I649" s="26" t="s">
        <v>156</v>
      </c>
      <c r="J649" s="26" t="s">
        <v>7</v>
      </c>
    </row>
    <row r="650" spans="1:10" x14ac:dyDescent="0.25">
      <c r="A650" s="1" t="s">
        <v>48</v>
      </c>
      <c r="B650" s="25" t="s">
        <v>771</v>
      </c>
      <c r="C650" s="25" t="s">
        <v>1865</v>
      </c>
      <c r="D650" s="27" t="s">
        <v>563</v>
      </c>
      <c r="E650" s="27" t="s">
        <v>1866</v>
      </c>
      <c r="F650" s="31">
        <v>2001</v>
      </c>
      <c r="G650" s="45" t="s">
        <v>1867</v>
      </c>
      <c r="H650" s="45"/>
      <c r="I650" s="26" t="s">
        <v>798</v>
      </c>
      <c r="J650" s="26" t="s">
        <v>7</v>
      </c>
    </row>
    <row r="651" spans="1:10" ht="33" x14ac:dyDescent="0.25">
      <c r="A651" s="1" t="s">
        <v>48</v>
      </c>
      <c r="B651" s="25" t="s">
        <v>771</v>
      </c>
      <c r="C651" s="25" t="s">
        <v>1868</v>
      </c>
      <c r="D651" s="27" t="s">
        <v>1003</v>
      </c>
      <c r="E651" s="27" t="s">
        <v>1869</v>
      </c>
      <c r="F651" s="31">
        <v>4069</v>
      </c>
      <c r="G651" s="45" t="s">
        <v>1870</v>
      </c>
      <c r="H651" s="45"/>
      <c r="I651" s="26" t="s">
        <v>126</v>
      </c>
      <c r="J651" s="26" t="s">
        <v>7</v>
      </c>
    </row>
    <row r="652" spans="1:10" x14ac:dyDescent="0.25">
      <c r="A652" s="1" t="s">
        <v>48</v>
      </c>
      <c r="B652" s="25" t="s">
        <v>771</v>
      </c>
      <c r="C652" s="25" t="s">
        <v>1868</v>
      </c>
      <c r="D652" s="27" t="s">
        <v>1068</v>
      </c>
      <c r="E652" s="27" t="s">
        <v>1871</v>
      </c>
      <c r="F652" s="31">
        <v>380</v>
      </c>
      <c r="G652" s="45" t="s">
        <v>1872</v>
      </c>
      <c r="H652" s="45"/>
      <c r="I652" s="26" t="s">
        <v>126</v>
      </c>
      <c r="J652" s="26" t="s">
        <v>7</v>
      </c>
    </row>
    <row r="653" spans="1:10" ht="33" x14ac:dyDescent="0.25">
      <c r="A653" s="1" t="s">
        <v>48</v>
      </c>
      <c r="B653" s="25" t="s">
        <v>771</v>
      </c>
      <c r="C653" s="25" t="s">
        <v>1868</v>
      </c>
      <c r="D653" s="27" t="s">
        <v>985</v>
      </c>
      <c r="E653" s="27" t="s">
        <v>1871</v>
      </c>
      <c r="F653" s="31">
        <v>43</v>
      </c>
      <c r="G653" s="45" t="s">
        <v>1872</v>
      </c>
      <c r="H653" s="45"/>
      <c r="I653" s="26" t="s">
        <v>126</v>
      </c>
      <c r="J653" s="26" t="s">
        <v>7</v>
      </c>
    </row>
    <row r="654" spans="1:10" ht="33" x14ac:dyDescent="0.25">
      <c r="A654" s="1" t="s">
        <v>48</v>
      </c>
      <c r="B654" s="25" t="s">
        <v>771</v>
      </c>
      <c r="C654" s="25" t="s">
        <v>1868</v>
      </c>
      <c r="D654" s="27" t="s">
        <v>1003</v>
      </c>
      <c r="E654" s="27" t="s">
        <v>1873</v>
      </c>
      <c r="F654" s="31">
        <v>287</v>
      </c>
      <c r="G654" s="45" t="s">
        <v>1874</v>
      </c>
      <c r="H654" s="45"/>
      <c r="I654" s="26" t="s">
        <v>126</v>
      </c>
      <c r="J654" s="26" t="s">
        <v>7</v>
      </c>
    </row>
    <row r="655" spans="1:10" ht="33" x14ac:dyDescent="0.25">
      <c r="A655" s="1" t="s">
        <v>48</v>
      </c>
      <c r="B655" s="25" t="s">
        <v>771</v>
      </c>
      <c r="C655" s="25" t="s">
        <v>1868</v>
      </c>
      <c r="D655" s="27" t="s">
        <v>1875</v>
      </c>
      <c r="E655" s="27" t="s">
        <v>1873</v>
      </c>
      <c r="F655" s="31">
        <v>1650</v>
      </c>
      <c r="G655" s="45" t="s">
        <v>1874</v>
      </c>
      <c r="H655" s="45"/>
      <c r="I655" s="26" t="s">
        <v>126</v>
      </c>
      <c r="J655" s="26" t="s">
        <v>7</v>
      </c>
    </row>
    <row r="656" spans="1:10" ht="33" x14ac:dyDescent="0.25">
      <c r="A656" s="1" t="s">
        <v>48</v>
      </c>
      <c r="B656" s="25" t="s">
        <v>771</v>
      </c>
      <c r="C656" s="25" t="s">
        <v>1868</v>
      </c>
      <c r="D656" s="27" t="s">
        <v>1003</v>
      </c>
      <c r="E656" s="27" t="s">
        <v>1876</v>
      </c>
      <c r="F656" s="31">
        <v>212</v>
      </c>
      <c r="G656" s="45" t="s">
        <v>1877</v>
      </c>
      <c r="H656" s="45"/>
      <c r="I656" s="26" t="s">
        <v>126</v>
      </c>
      <c r="J656" s="26" t="s">
        <v>7</v>
      </c>
    </row>
    <row r="657" spans="1:10" ht="33" x14ac:dyDescent="0.25">
      <c r="A657" s="1" t="s">
        <v>48</v>
      </c>
      <c r="B657" s="25" t="s">
        <v>771</v>
      </c>
      <c r="C657" s="25" t="s">
        <v>1868</v>
      </c>
      <c r="D657" s="27" t="s">
        <v>1115</v>
      </c>
      <c r="E657" s="27" t="s">
        <v>1878</v>
      </c>
      <c r="F657" s="31">
        <v>630</v>
      </c>
      <c r="G657" s="45" t="s">
        <v>1879</v>
      </c>
      <c r="H657" s="45"/>
      <c r="I657" s="26" t="s">
        <v>126</v>
      </c>
      <c r="J657" s="26" t="s">
        <v>7</v>
      </c>
    </row>
    <row r="658" spans="1:10" ht="33" x14ac:dyDescent="0.25">
      <c r="A658" s="1" t="s">
        <v>48</v>
      </c>
      <c r="B658" s="25" t="s">
        <v>771</v>
      </c>
      <c r="C658" s="25" t="s">
        <v>1868</v>
      </c>
      <c r="D658" s="27" t="s">
        <v>985</v>
      </c>
      <c r="E658" s="27" t="s">
        <v>1880</v>
      </c>
      <c r="F658" s="31">
        <v>1805</v>
      </c>
      <c r="G658" s="45" t="s">
        <v>1881</v>
      </c>
      <c r="H658" s="45"/>
      <c r="I658" s="26" t="s">
        <v>126</v>
      </c>
      <c r="J658" s="26" t="s">
        <v>7</v>
      </c>
    </row>
    <row r="659" spans="1:10" ht="33" x14ac:dyDescent="0.25">
      <c r="A659" s="1" t="s">
        <v>48</v>
      </c>
      <c r="B659" s="25" t="s">
        <v>771</v>
      </c>
      <c r="C659" s="25" t="s">
        <v>1868</v>
      </c>
      <c r="D659" s="27" t="s">
        <v>1115</v>
      </c>
      <c r="E659" s="27" t="s">
        <v>1880</v>
      </c>
      <c r="F659" s="31">
        <v>675</v>
      </c>
      <c r="G659" s="45" t="s">
        <v>1881</v>
      </c>
      <c r="H659" s="45"/>
      <c r="I659" s="26" t="s">
        <v>126</v>
      </c>
      <c r="J659" s="26" t="s">
        <v>7</v>
      </c>
    </row>
    <row r="660" spans="1:10" ht="33" x14ac:dyDescent="0.25">
      <c r="A660" s="1" t="s">
        <v>48</v>
      </c>
      <c r="B660" s="25" t="s">
        <v>771</v>
      </c>
      <c r="C660" s="25" t="s">
        <v>1868</v>
      </c>
      <c r="D660" s="27" t="s">
        <v>1003</v>
      </c>
      <c r="E660" s="27" t="s">
        <v>1882</v>
      </c>
      <c r="F660" s="31">
        <v>225</v>
      </c>
      <c r="G660" s="45" t="s">
        <v>1883</v>
      </c>
      <c r="H660" s="45"/>
      <c r="I660" s="26" t="s">
        <v>126</v>
      </c>
      <c r="J660" s="26" t="s">
        <v>7</v>
      </c>
    </row>
    <row r="661" spans="1:10" x14ac:dyDescent="0.25">
      <c r="A661" s="1" t="s">
        <v>48</v>
      </c>
      <c r="B661" s="25" t="s">
        <v>771</v>
      </c>
      <c r="C661" s="25" t="s">
        <v>1868</v>
      </c>
      <c r="D661" s="27" t="s">
        <v>1068</v>
      </c>
      <c r="E661" s="27" t="s">
        <v>1884</v>
      </c>
      <c r="F661" s="31">
        <v>2610</v>
      </c>
      <c r="G661" s="45" t="s">
        <v>1885</v>
      </c>
      <c r="H661" s="45"/>
      <c r="I661" s="26" t="s">
        <v>126</v>
      </c>
      <c r="J661" s="26" t="s">
        <v>7</v>
      </c>
    </row>
    <row r="662" spans="1:10" ht="33" x14ac:dyDescent="0.25">
      <c r="A662" s="1" t="s">
        <v>48</v>
      </c>
      <c r="B662" s="25" t="s">
        <v>771</v>
      </c>
      <c r="C662" s="25" t="s">
        <v>1868</v>
      </c>
      <c r="D662" s="27" t="s">
        <v>985</v>
      </c>
      <c r="E662" s="27" t="s">
        <v>1886</v>
      </c>
      <c r="F662" s="31">
        <v>5669</v>
      </c>
      <c r="G662" s="45" t="s">
        <v>1887</v>
      </c>
      <c r="H662" s="45"/>
      <c r="I662" s="26" t="s">
        <v>126</v>
      </c>
      <c r="J662" s="26" t="s">
        <v>7</v>
      </c>
    </row>
    <row r="663" spans="1:10" ht="33" x14ac:dyDescent="0.25">
      <c r="A663" s="1" t="s">
        <v>48</v>
      </c>
      <c r="B663" s="25" t="s">
        <v>771</v>
      </c>
      <c r="C663" s="25" t="s">
        <v>1868</v>
      </c>
      <c r="D663" s="27" t="s">
        <v>985</v>
      </c>
      <c r="E663" s="27" t="s">
        <v>1888</v>
      </c>
      <c r="F663" s="31">
        <v>104</v>
      </c>
      <c r="G663" s="45" t="s">
        <v>1889</v>
      </c>
      <c r="H663" s="45"/>
      <c r="I663" s="26" t="s">
        <v>126</v>
      </c>
      <c r="J663" s="26" t="s">
        <v>7</v>
      </c>
    </row>
    <row r="664" spans="1:10" x14ac:dyDescent="0.25">
      <c r="A664" s="1" t="s">
        <v>48</v>
      </c>
      <c r="B664" s="25" t="s">
        <v>771</v>
      </c>
      <c r="C664" s="25" t="s">
        <v>1868</v>
      </c>
      <c r="D664" s="27" t="s">
        <v>1437</v>
      </c>
      <c r="E664" s="27" t="s">
        <v>1888</v>
      </c>
      <c r="F664" s="31">
        <v>2798</v>
      </c>
      <c r="G664" s="45" t="s">
        <v>1889</v>
      </c>
      <c r="H664" s="45"/>
      <c r="I664" s="26" t="s">
        <v>126</v>
      </c>
      <c r="J664" s="26" t="s">
        <v>7</v>
      </c>
    </row>
    <row r="665" spans="1:10" x14ac:dyDescent="0.25">
      <c r="A665" s="1" t="s">
        <v>48</v>
      </c>
      <c r="B665" s="25" t="s">
        <v>771</v>
      </c>
      <c r="C665" s="25" t="s">
        <v>1868</v>
      </c>
      <c r="D665" s="27" t="s">
        <v>1890</v>
      </c>
      <c r="E665" s="27" t="s">
        <v>1891</v>
      </c>
      <c r="F665" s="31">
        <v>8232</v>
      </c>
      <c r="G665" s="45" t="s">
        <v>1892</v>
      </c>
      <c r="H665" s="45"/>
      <c r="I665" s="26" t="s">
        <v>126</v>
      </c>
      <c r="J665" s="26" t="s">
        <v>7</v>
      </c>
    </row>
    <row r="666" spans="1:10" ht="33" x14ac:dyDescent="0.25">
      <c r="A666" s="1" t="s">
        <v>48</v>
      </c>
      <c r="B666" s="25" t="s">
        <v>785</v>
      </c>
      <c r="C666" s="25" t="s">
        <v>1893</v>
      </c>
      <c r="D666" s="27" t="s">
        <v>1115</v>
      </c>
      <c r="E666" s="27" t="s">
        <v>1894</v>
      </c>
      <c r="F666" s="31">
        <v>570</v>
      </c>
      <c r="G666" s="45" t="s">
        <v>1895</v>
      </c>
      <c r="H666" s="45"/>
      <c r="I666" s="26" t="s">
        <v>1702</v>
      </c>
      <c r="J666" s="26" t="s">
        <v>7</v>
      </c>
    </row>
    <row r="667" spans="1:10" x14ac:dyDescent="0.25">
      <c r="A667" s="1" t="s">
        <v>48</v>
      </c>
      <c r="B667" s="25" t="s">
        <v>785</v>
      </c>
      <c r="C667" s="25" t="s">
        <v>1893</v>
      </c>
      <c r="D667" s="27" t="s">
        <v>1437</v>
      </c>
      <c r="E667" s="27" t="s">
        <v>1894</v>
      </c>
      <c r="F667" s="31">
        <v>2242</v>
      </c>
      <c r="G667" s="45" t="s">
        <v>1895</v>
      </c>
      <c r="H667" s="45"/>
      <c r="I667" s="26" t="s">
        <v>1702</v>
      </c>
      <c r="J667" s="26" t="s">
        <v>7</v>
      </c>
    </row>
    <row r="668" spans="1:10" ht="33" x14ac:dyDescent="0.25">
      <c r="A668" s="1" t="s">
        <v>48</v>
      </c>
      <c r="B668" s="25" t="s">
        <v>785</v>
      </c>
      <c r="C668" s="25" t="s">
        <v>1893</v>
      </c>
      <c r="D668" s="27" t="s">
        <v>1142</v>
      </c>
      <c r="E668" s="27" t="s">
        <v>1896</v>
      </c>
      <c r="F668" s="31">
        <v>2700</v>
      </c>
      <c r="G668" s="45" t="s">
        <v>1897</v>
      </c>
      <c r="H668" s="45"/>
      <c r="I668" s="26" t="s">
        <v>200</v>
      </c>
      <c r="J668" s="26" t="s">
        <v>7</v>
      </c>
    </row>
    <row r="669" spans="1:10" ht="33" x14ac:dyDescent="0.25">
      <c r="A669" s="1" t="s">
        <v>48</v>
      </c>
      <c r="B669" s="25" t="s">
        <v>785</v>
      </c>
      <c r="C669" s="25" t="s">
        <v>1898</v>
      </c>
      <c r="D669" s="27" t="s">
        <v>1115</v>
      </c>
      <c r="E669" s="27" t="s">
        <v>1899</v>
      </c>
      <c r="F669" s="31">
        <v>1370</v>
      </c>
      <c r="G669" s="45" t="s">
        <v>1900</v>
      </c>
      <c r="H669" s="45"/>
      <c r="I669" s="26" t="s">
        <v>126</v>
      </c>
      <c r="J669" s="26" t="s">
        <v>7</v>
      </c>
    </row>
    <row r="670" spans="1:10" ht="33" x14ac:dyDescent="0.25">
      <c r="A670" s="1" t="s">
        <v>48</v>
      </c>
      <c r="B670" s="25" t="s">
        <v>785</v>
      </c>
      <c r="C670" s="25" t="s">
        <v>1898</v>
      </c>
      <c r="D670" s="27" t="s">
        <v>1003</v>
      </c>
      <c r="E670" s="27" t="s">
        <v>1899</v>
      </c>
      <c r="F670" s="31">
        <v>2440</v>
      </c>
      <c r="G670" s="45" t="s">
        <v>1900</v>
      </c>
      <c r="H670" s="45"/>
      <c r="I670" s="26" t="s">
        <v>126</v>
      </c>
      <c r="J670" s="26" t="s">
        <v>7</v>
      </c>
    </row>
    <row r="671" spans="1:10" ht="33" x14ac:dyDescent="0.25">
      <c r="A671" s="1" t="s">
        <v>48</v>
      </c>
      <c r="B671" s="25" t="s">
        <v>785</v>
      </c>
      <c r="C671" s="25" t="s">
        <v>1898</v>
      </c>
      <c r="D671" s="27" t="s">
        <v>1003</v>
      </c>
      <c r="E671" s="27" t="s">
        <v>1901</v>
      </c>
      <c r="F671" s="31">
        <v>1524</v>
      </c>
      <c r="G671" s="45" t="s">
        <v>1902</v>
      </c>
      <c r="H671" s="45"/>
      <c r="I671" s="26" t="s">
        <v>126</v>
      </c>
      <c r="J671" s="26" t="s">
        <v>7</v>
      </c>
    </row>
    <row r="672" spans="1:10" ht="33" x14ac:dyDescent="0.25">
      <c r="A672" s="1" t="s">
        <v>48</v>
      </c>
      <c r="B672" s="25" t="s">
        <v>785</v>
      </c>
      <c r="C672" s="25" t="s">
        <v>1903</v>
      </c>
      <c r="D672" s="27" t="s">
        <v>402</v>
      </c>
      <c r="E672" s="27" t="s">
        <v>1904</v>
      </c>
      <c r="F672" s="31">
        <v>35960</v>
      </c>
      <c r="G672" s="45" t="s">
        <v>1905</v>
      </c>
      <c r="H672" s="45"/>
      <c r="I672" s="26" t="s">
        <v>133</v>
      </c>
      <c r="J672" s="26" t="s">
        <v>7</v>
      </c>
    </row>
    <row r="673" spans="1:10" x14ac:dyDescent="0.25">
      <c r="A673" s="1" t="s">
        <v>217</v>
      </c>
      <c r="B673" s="25" t="s">
        <v>785</v>
      </c>
      <c r="C673" s="25" t="s">
        <v>69</v>
      </c>
      <c r="D673" s="27" t="s">
        <v>7</v>
      </c>
      <c r="E673" s="27" t="s">
        <v>1906</v>
      </c>
      <c r="F673" s="31">
        <v>2520</v>
      </c>
      <c r="G673" s="45" t="s">
        <v>1907</v>
      </c>
      <c r="H673" s="45"/>
      <c r="I673" s="26" t="s">
        <v>1237</v>
      </c>
      <c r="J673" s="26" t="s">
        <v>7</v>
      </c>
    </row>
    <row r="674" spans="1:10" x14ac:dyDescent="0.25">
      <c r="A674" s="1" t="s">
        <v>217</v>
      </c>
      <c r="B674" s="25" t="s">
        <v>785</v>
      </c>
      <c r="C674" s="25" t="s">
        <v>218</v>
      </c>
      <c r="D674" s="27" t="s">
        <v>7</v>
      </c>
      <c r="E674" s="27" t="s">
        <v>1908</v>
      </c>
      <c r="F674" s="31">
        <v>905</v>
      </c>
      <c r="G674" s="45" t="s">
        <v>1909</v>
      </c>
      <c r="H674" s="45"/>
      <c r="I674" s="26" t="s">
        <v>389</v>
      </c>
      <c r="J674" s="26" t="s">
        <v>7</v>
      </c>
    </row>
    <row r="675" spans="1:10" x14ac:dyDescent="0.25">
      <c r="A675" s="1" t="s">
        <v>217</v>
      </c>
      <c r="B675" s="25" t="s">
        <v>785</v>
      </c>
      <c r="C675" s="25" t="s">
        <v>218</v>
      </c>
      <c r="D675" s="27" t="s">
        <v>7</v>
      </c>
      <c r="E675" s="27" t="s">
        <v>1910</v>
      </c>
      <c r="F675" s="31">
        <v>187</v>
      </c>
      <c r="G675" s="45" t="s">
        <v>1911</v>
      </c>
      <c r="H675" s="45"/>
      <c r="I675" s="26" t="s">
        <v>1912</v>
      </c>
      <c r="J675" s="26" t="s">
        <v>7</v>
      </c>
    </row>
    <row r="676" spans="1:10" x14ac:dyDescent="0.25">
      <c r="A676" s="1" t="s">
        <v>217</v>
      </c>
      <c r="B676" s="25" t="s">
        <v>785</v>
      </c>
      <c r="C676" s="25" t="s">
        <v>218</v>
      </c>
      <c r="D676" s="27" t="s">
        <v>7</v>
      </c>
      <c r="E676" s="27" t="s">
        <v>1913</v>
      </c>
      <c r="F676" s="31">
        <v>4998</v>
      </c>
      <c r="G676" s="45" t="s">
        <v>1914</v>
      </c>
      <c r="H676" s="45"/>
      <c r="I676" s="26" t="s">
        <v>1915</v>
      </c>
      <c r="J676" s="26" t="s">
        <v>7</v>
      </c>
    </row>
    <row r="677" spans="1:10" ht="33" x14ac:dyDescent="0.25">
      <c r="A677" s="1" t="s">
        <v>48</v>
      </c>
      <c r="B677" s="25" t="s">
        <v>805</v>
      </c>
      <c r="C677" s="25" t="s">
        <v>1916</v>
      </c>
      <c r="D677" s="27" t="s">
        <v>1003</v>
      </c>
      <c r="E677" s="27" t="s">
        <v>1917</v>
      </c>
      <c r="F677" s="31">
        <v>1331</v>
      </c>
      <c r="G677" s="45" t="s">
        <v>1918</v>
      </c>
      <c r="H677" s="45"/>
      <c r="I677" s="26" t="s">
        <v>126</v>
      </c>
      <c r="J677" s="26" t="s">
        <v>7</v>
      </c>
    </row>
    <row r="678" spans="1:10" ht="33" x14ac:dyDescent="0.25">
      <c r="A678" s="1" t="s">
        <v>48</v>
      </c>
      <c r="B678" s="25" t="s">
        <v>805</v>
      </c>
      <c r="C678" s="25" t="s">
        <v>1916</v>
      </c>
      <c r="D678" s="27" t="s">
        <v>1115</v>
      </c>
      <c r="E678" s="27" t="s">
        <v>1917</v>
      </c>
      <c r="F678" s="31">
        <v>600</v>
      </c>
      <c r="G678" s="45" t="s">
        <v>1918</v>
      </c>
      <c r="H678" s="45"/>
      <c r="I678" s="26" t="s">
        <v>126</v>
      </c>
      <c r="J678" s="26" t="s">
        <v>7</v>
      </c>
    </row>
    <row r="679" spans="1:10" ht="33" x14ac:dyDescent="0.25">
      <c r="A679" s="1" t="s">
        <v>48</v>
      </c>
      <c r="B679" s="25" t="s">
        <v>805</v>
      </c>
      <c r="C679" s="25" t="s">
        <v>1916</v>
      </c>
      <c r="D679" s="27" t="s">
        <v>1003</v>
      </c>
      <c r="E679" s="27" t="s">
        <v>1919</v>
      </c>
      <c r="F679" s="31">
        <v>1829</v>
      </c>
      <c r="G679" s="45" t="s">
        <v>1920</v>
      </c>
      <c r="H679" s="45"/>
      <c r="I679" s="26" t="s">
        <v>126</v>
      </c>
      <c r="J679" s="26" t="s">
        <v>7</v>
      </c>
    </row>
    <row r="680" spans="1:10" ht="33" x14ac:dyDescent="0.25">
      <c r="A680" s="1" t="s">
        <v>48</v>
      </c>
      <c r="B680" s="25" t="s">
        <v>805</v>
      </c>
      <c r="C680" s="25" t="s">
        <v>1916</v>
      </c>
      <c r="D680" s="27" t="s">
        <v>1921</v>
      </c>
      <c r="E680" s="27" t="s">
        <v>1919</v>
      </c>
      <c r="F680" s="31">
        <v>319</v>
      </c>
      <c r="G680" s="45" t="s">
        <v>1920</v>
      </c>
      <c r="H680" s="45"/>
      <c r="I680" s="26" t="s">
        <v>126</v>
      </c>
      <c r="J680" s="26" t="s">
        <v>7</v>
      </c>
    </row>
    <row r="681" spans="1:10" ht="33" x14ac:dyDescent="0.25">
      <c r="A681" s="1" t="s">
        <v>48</v>
      </c>
      <c r="B681" s="25" t="s">
        <v>805</v>
      </c>
      <c r="C681" s="25" t="s">
        <v>1916</v>
      </c>
      <c r="D681" s="27" t="s">
        <v>985</v>
      </c>
      <c r="E681" s="27" t="s">
        <v>1922</v>
      </c>
      <c r="F681" s="31">
        <v>4850</v>
      </c>
      <c r="G681" s="45" t="s">
        <v>1923</v>
      </c>
      <c r="H681" s="45"/>
      <c r="I681" s="26" t="s">
        <v>126</v>
      </c>
      <c r="J681" s="26" t="s">
        <v>7</v>
      </c>
    </row>
    <row r="682" spans="1:10" ht="33" x14ac:dyDescent="0.25">
      <c r="A682" s="1" t="s">
        <v>48</v>
      </c>
      <c r="B682" s="25" t="s">
        <v>805</v>
      </c>
      <c r="C682" s="25" t="s">
        <v>1924</v>
      </c>
      <c r="D682" s="27" t="s">
        <v>985</v>
      </c>
      <c r="E682" s="27" t="s">
        <v>1925</v>
      </c>
      <c r="F682" s="31">
        <v>597</v>
      </c>
      <c r="G682" s="45" t="s">
        <v>1926</v>
      </c>
      <c r="H682" s="45"/>
      <c r="I682" s="26" t="s">
        <v>126</v>
      </c>
      <c r="J682" s="26" t="s">
        <v>7</v>
      </c>
    </row>
    <row r="683" spans="1:10" ht="33" x14ac:dyDescent="0.25">
      <c r="A683" s="1" t="s">
        <v>48</v>
      </c>
      <c r="B683" s="25" t="s">
        <v>805</v>
      </c>
      <c r="C683" s="25" t="s">
        <v>1924</v>
      </c>
      <c r="D683" s="27" t="s">
        <v>985</v>
      </c>
      <c r="E683" s="27" t="s">
        <v>1927</v>
      </c>
      <c r="F683" s="31">
        <v>3679</v>
      </c>
      <c r="G683" s="45" t="s">
        <v>1928</v>
      </c>
      <c r="H683" s="45"/>
      <c r="I683" s="26" t="s">
        <v>126</v>
      </c>
      <c r="J683" s="26" t="s">
        <v>7</v>
      </c>
    </row>
    <row r="684" spans="1:10" x14ac:dyDescent="0.25">
      <c r="A684" s="1" t="s">
        <v>48</v>
      </c>
      <c r="B684" s="25" t="s">
        <v>805</v>
      </c>
      <c r="C684" s="25" t="s">
        <v>1924</v>
      </c>
      <c r="D684" s="27" t="s">
        <v>1068</v>
      </c>
      <c r="E684" s="27" t="s">
        <v>1929</v>
      </c>
      <c r="F684" s="31">
        <v>400</v>
      </c>
      <c r="G684" s="45" t="s">
        <v>1930</v>
      </c>
      <c r="H684" s="45"/>
      <c r="I684" s="26" t="s">
        <v>126</v>
      </c>
      <c r="J684" s="26" t="s">
        <v>7</v>
      </c>
    </row>
    <row r="685" spans="1:10" ht="33" x14ac:dyDescent="0.25">
      <c r="A685" s="1" t="s">
        <v>48</v>
      </c>
      <c r="B685" s="25" t="s">
        <v>805</v>
      </c>
      <c r="C685" s="25" t="s">
        <v>1924</v>
      </c>
      <c r="D685" s="27" t="s">
        <v>1115</v>
      </c>
      <c r="E685" s="27" t="s">
        <v>1931</v>
      </c>
      <c r="F685" s="31">
        <v>3645</v>
      </c>
      <c r="G685" s="45" t="s">
        <v>1932</v>
      </c>
      <c r="H685" s="45"/>
      <c r="I685" s="26" t="s">
        <v>126</v>
      </c>
      <c r="J685" s="26" t="s">
        <v>7</v>
      </c>
    </row>
    <row r="686" spans="1:10" x14ac:dyDescent="0.25">
      <c r="A686" s="1" t="s">
        <v>48</v>
      </c>
      <c r="B686" s="25" t="s">
        <v>805</v>
      </c>
      <c r="C686" s="25" t="s">
        <v>1924</v>
      </c>
      <c r="D686" s="27" t="s">
        <v>1092</v>
      </c>
      <c r="E686" s="27" t="s">
        <v>1933</v>
      </c>
      <c r="F686" s="31">
        <v>220</v>
      </c>
      <c r="G686" s="45" t="s">
        <v>1934</v>
      </c>
      <c r="H686" s="45"/>
      <c r="I686" s="26" t="s">
        <v>126</v>
      </c>
      <c r="J686" s="26" t="s">
        <v>7</v>
      </c>
    </row>
    <row r="687" spans="1:10" ht="33" x14ac:dyDescent="0.25">
      <c r="A687" s="1" t="s">
        <v>48</v>
      </c>
      <c r="B687" s="25" t="s">
        <v>805</v>
      </c>
      <c r="C687" s="25" t="s">
        <v>1924</v>
      </c>
      <c r="D687" s="27" t="s">
        <v>985</v>
      </c>
      <c r="E687" s="27" t="s">
        <v>1933</v>
      </c>
      <c r="F687" s="31">
        <v>62</v>
      </c>
      <c r="G687" s="45" t="s">
        <v>1934</v>
      </c>
      <c r="H687" s="45"/>
      <c r="I687" s="26" t="s">
        <v>126</v>
      </c>
      <c r="J687" s="26" t="s">
        <v>7</v>
      </c>
    </row>
    <row r="688" spans="1:10" ht="33" x14ac:dyDescent="0.25">
      <c r="A688" s="1" t="s">
        <v>48</v>
      </c>
      <c r="B688" s="25" t="s">
        <v>805</v>
      </c>
      <c r="C688" s="25" t="s">
        <v>1924</v>
      </c>
      <c r="D688" s="27" t="s">
        <v>1018</v>
      </c>
      <c r="E688" s="27" t="s">
        <v>1935</v>
      </c>
      <c r="F688" s="31">
        <v>3201</v>
      </c>
      <c r="G688" s="45" t="s">
        <v>1936</v>
      </c>
      <c r="H688" s="45"/>
      <c r="I688" s="26" t="s">
        <v>798</v>
      </c>
      <c r="J688" s="26" t="s">
        <v>7</v>
      </c>
    </row>
    <row r="689" spans="1:10" x14ac:dyDescent="0.25">
      <c r="A689" s="1" t="s">
        <v>48</v>
      </c>
      <c r="B689" s="25" t="s">
        <v>805</v>
      </c>
      <c r="C689" s="25" t="s">
        <v>1924</v>
      </c>
      <c r="D689" s="27" t="s">
        <v>1068</v>
      </c>
      <c r="E689" s="27" t="s">
        <v>1937</v>
      </c>
      <c r="F689" s="31">
        <v>240</v>
      </c>
      <c r="G689" s="45" t="s">
        <v>1938</v>
      </c>
      <c r="H689" s="45"/>
      <c r="I689" s="26" t="s">
        <v>798</v>
      </c>
      <c r="J689" s="26" t="s">
        <v>7</v>
      </c>
    </row>
    <row r="690" spans="1:10" ht="33" x14ac:dyDescent="0.25">
      <c r="A690" s="1" t="s">
        <v>48</v>
      </c>
      <c r="B690" s="25" t="s">
        <v>805</v>
      </c>
      <c r="C690" s="25" t="s">
        <v>1939</v>
      </c>
      <c r="D690" s="27" t="s">
        <v>1003</v>
      </c>
      <c r="E690" s="27" t="s">
        <v>1940</v>
      </c>
      <c r="F690" s="31">
        <v>8500</v>
      </c>
      <c r="G690" s="45" t="s">
        <v>1941</v>
      </c>
      <c r="H690" s="45"/>
      <c r="I690" s="26" t="s">
        <v>1847</v>
      </c>
      <c r="J690" s="26" t="s">
        <v>7</v>
      </c>
    </row>
    <row r="691" spans="1:10" ht="33" x14ac:dyDescent="0.25">
      <c r="A691" s="1" t="s">
        <v>48</v>
      </c>
      <c r="B691" s="25" t="s">
        <v>805</v>
      </c>
      <c r="C691" s="25" t="s">
        <v>1939</v>
      </c>
      <c r="D691" s="27" t="s">
        <v>1003</v>
      </c>
      <c r="E691" s="27" t="s">
        <v>1942</v>
      </c>
      <c r="F691" s="31">
        <v>900</v>
      </c>
      <c r="G691" s="45" t="s">
        <v>1943</v>
      </c>
      <c r="H691" s="45"/>
      <c r="I691" s="26" t="s">
        <v>1847</v>
      </c>
      <c r="J691" s="26" t="s">
        <v>7</v>
      </c>
    </row>
    <row r="692" spans="1:10" ht="33" x14ac:dyDescent="0.25">
      <c r="A692" s="1" t="s">
        <v>48</v>
      </c>
      <c r="B692" s="25" t="s">
        <v>805</v>
      </c>
      <c r="C692" s="25" t="s">
        <v>1944</v>
      </c>
      <c r="D692" s="27" t="s">
        <v>1115</v>
      </c>
      <c r="E692" s="27" t="s">
        <v>1945</v>
      </c>
      <c r="F692" s="31">
        <v>152</v>
      </c>
      <c r="G692" s="45" t="s">
        <v>1946</v>
      </c>
      <c r="H692" s="45"/>
      <c r="I692" s="26" t="s">
        <v>1131</v>
      </c>
      <c r="J692" s="26" t="s">
        <v>7</v>
      </c>
    </row>
    <row r="693" spans="1:10" ht="33" x14ac:dyDescent="0.25">
      <c r="A693" s="1" t="s">
        <v>48</v>
      </c>
      <c r="B693" s="25" t="s">
        <v>805</v>
      </c>
      <c r="C693" s="25" t="s">
        <v>1944</v>
      </c>
      <c r="D693" s="27" t="s">
        <v>985</v>
      </c>
      <c r="E693" s="27" t="s">
        <v>1945</v>
      </c>
      <c r="F693" s="31">
        <v>3348</v>
      </c>
      <c r="G693" s="45" t="s">
        <v>1946</v>
      </c>
      <c r="H693" s="45"/>
      <c r="I693" s="26" t="s">
        <v>1131</v>
      </c>
      <c r="J693" s="26" t="s">
        <v>7</v>
      </c>
    </row>
    <row r="694" spans="1:10" ht="33" x14ac:dyDescent="0.25">
      <c r="A694" s="1" t="s">
        <v>48</v>
      </c>
      <c r="B694" s="25" t="s">
        <v>805</v>
      </c>
      <c r="C694" s="25" t="s">
        <v>1944</v>
      </c>
      <c r="D694" s="27" t="s">
        <v>985</v>
      </c>
      <c r="E694" s="27" t="s">
        <v>1947</v>
      </c>
      <c r="F694" s="31">
        <v>3398</v>
      </c>
      <c r="G694" s="45" t="s">
        <v>1948</v>
      </c>
      <c r="H694" s="45"/>
      <c r="I694" s="26" t="s">
        <v>1131</v>
      </c>
      <c r="J694" s="26" t="s">
        <v>7</v>
      </c>
    </row>
    <row r="695" spans="1:10" ht="33" x14ac:dyDescent="0.25">
      <c r="A695" s="1" t="s">
        <v>48</v>
      </c>
      <c r="B695" s="25" t="s">
        <v>805</v>
      </c>
      <c r="C695" s="25" t="s">
        <v>1944</v>
      </c>
      <c r="D695" s="27" t="s">
        <v>1068</v>
      </c>
      <c r="E695" s="27" t="s">
        <v>1949</v>
      </c>
      <c r="F695" s="31">
        <v>3470</v>
      </c>
      <c r="G695" s="45" t="s">
        <v>1950</v>
      </c>
      <c r="H695" s="45"/>
      <c r="I695" s="26" t="s">
        <v>1131</v>
      </c>
      <c r="J695" s="26" t="s">
        <v>7</v>
      </c>
    </row>
    <row r="696" spans="1:10" ht="33" x14ac:dyDescent="0.25">
      <c r="A696" s="1" t="s">
        <v>48</v>
      </c>
      <c r="B696" s="25" t="s">
        <v>805</v>
      </c>
      <c r="C696" s="25" t="s">
        <v>1944</v>
      </c>
      <c r="D696" s="27" t="s">
        <v>985</v>
      </c>
      <c r="E696" s="27" t="s">
        <v>1951</v>
      </c>
      <c r="F696" s="31">
        <v>969</v>
      </c>
      <c r="G696" s="45" t="s">
        <v>1952</v>
      </c>
      <c r="H696" s="45"/>
      <c r="I696" s="26" t="s">
        <v>1131</v>
      </c>
      <c r="J696" s="26" t="s">
        <v>7</v>
      </c>
    </row>
    <row r="697" spans="1:10" ht="33" x14ac:dyDescent="0.25">
      <c r="A697" s="1" t="s">
        <v>48</v>
      </c>
      <c r="B697" s="25" t="s">
        <v>805</v>
      </c>
      <c r="C697" s="25" t="s">
        <v>1944</v>
      </c>
      <c r="D697" s="27" t="s">
        <v>985</v>
      </c>
      <c r="E697" s="27" t="s">
        <v>1953</v>
      </c>
      <c r="F697" s="31">
        <v>1091</v>
      </c>
      <c r="G697" s="45" t="s">
        <v>1954</v>
      </c>
      <c r="H697" s="45"/>
      <c r="I697" s="26" t="s">
        <v>1131</v>
      </c>
      <c r="J697" s="26" t="s">
        <v>7</v>
      </c>
    </row>
    <row r="698" spans="1:10" ht="33" x14ac:dyDescent="0.25">
      <c r="A698" s="1" t="s">
        <v>48</v>
      </c>
      <c r="B698" s="25" t="s">
        <v>805</v>
      </c>
      <c r="C698" s="25" t="s">
        <v>1944</v>
      </c>
      <c r="D698" s="27" t="s">
        <v>985</v>
      </c>
      <c r="E698" s="27" t="s">
        <v>1955</v>
      </c>
      <c r="F698" s="31">
        <v>2178</v>
      </c>
      <c r="G698" s="45" t="s">
        <v>1956</v>
      </c>
      <c r="H698" s="45"/>
      <c r="I698" s="26" t="s">
        <v>1131</v>
      </c>
      <c r="J698" s="26" t="s">
        <v>7</v>
      </c>
    </row>
    <row r="699" spans="1:10" ht="33" x14ac:dyDescent="0.25">
      <c r="A699" s="1" t="s">
        <v>48</v>
      </c>
      <c r="B699" s="25" t="s">
        <v>805</v>
      </c>
      <c r="C699" s="25" t="s">
        <v>1944</v>
      </c>
      <c r="D699" s="27" t="s">
        <v>1115</v>
      </c>
      <c r="E699" s="27" t="s">
        <v>1957</v>
      </c>
      <c r="F699" s="31">
        <v>78</v>
      </c>
      <c r="G699" s="45" t="s">
        <v>1958</v>
      </c>
      <c r="H699" s="45"/>
      <c r="I699" s="26" t="s">
        <v>1131</v>
      </c>
      <c r="J699" s="26" t="s">
        <v>7</v>
      </c>
    </row>
    <row r="700" spans="1:10" ht="33" x14ac:dyDescent="0.25">
      <c r="A700" s="1" t="s">
        <v>48</v>
      </c>
      <c r="B700" s="25" t="s">
        <v>805</v>
      </c>
      <c r="C700" s="25" t="s">
        <v>1944</v>
      </c>
      <c r="D700" s="27" t="s">
        <v>985</v>
      </c>
      <c r="E700" s="27" t="s">
        <v>1957</v>
      </c>
      <c r="F700" s="31">
        <v>3371</v>
      </c>
      <c r="G700" s="45" t="s">
        <v>1958</v>
      </c>
      <c r="H700" s="45"/>
      <c r="I700" s="26" t="s">
        <v>1131</v>
      </c>
      <c r="J700" s="26" t="s">
        <v>7</v>
      </c>
    </row>
    <row r="701" spans="1:10" ht="33" x14ac:dyDescent="0.25">
      <c r="A701" s="1" t="s">
        <v>48</v>
      </c>
      <c r="B701" s="25" t="s">
        <v>805</v>
      </c>
      <c r="C701" s="25" t="s">
        <v>1944</v>
      </c>
      <c r="D701" s="27" t="s">
        <v>985</v>
      </c>
      <c r="E701" s="27" t="s">
        <v>1959</v>
      </c>
      <c r="F701" s="31">
        <v>3491</v>
      </c>
      <c r="G701" s="45" t="s">
        <v>1960</v>
      </c>
      <c r="H701" s="45"/>
      <c r="I701" s="26" t="s">
        <v>1131</v>
      </c>
      <c r="J701" s="26" t="s">
        <v>7</v>
      </c>
    </row>
    <row r="702" spans="1:10" ht="33" x14ac:dyDescent="0.25">
      <c r="A702" s="1" t="s">
        <v>48</v>
      </c>
      <c r="B702" s="25" t="s">
        <v>810</v>
      </c>
      <c r="C702" s="25" t="s">
        <v>1961</v>
      </c>
      <c r="D702" s="27" t="s">
        <v>985</v>
      </c>
      <c r="E702" s="27" t="s">
        <v>1962</v>
      </c>
      <c r="F702" s="31">
        <v>14823</v>
      </c>
      <c r="G702" s="45" t="s">
        <v>1963</v>
      </c>
      <c r="H702" s="45"/>
      <c r="I702" s="26" t="s">
        <v>1294</v>
      </c>
      <c r="J702" s="26" t="s">
        <v>7</v>
      </c>
    </row>
    <row r="703" spans="1:10" ht="33" x14ac:dyDescent="0.25">
      <c r="A703" s="1" t="s">
        <v>48</v>
      </c>
      <c r="B703" s="25" t="s">
        <v>810</v>
      </c>
      <c r="C703" s="25" t="s">
        <v>1964</v>
      </c>
      <c r="D703" s="27" t="s">
        <v>1076</v>
      </c>
      <c r="E703" s="27" t="s">
        <v>1965</v>
      </c>
      <c r="F703" s="31">
        <v>57555</v>
      </c>
      <c r="G703" s="45" t="s">
        <v>1966</v>
      </c>
      <c r="H703" s="45"/>
      <c r="I703" s="26" t="s">
        <v>742</v>
      </c>
      <c r="J703" s="26" t="s">
        <v>7</v>
      </c>
    </row>
    <row r="704" spans="1:10" ht="33" x14ac:dyDescent="0.25">
      <c r="A704" s="1" t="s">
        <v>48</v>
      </c>
      <c r="B704" s="25" t="s">
        <v>810</v>
      </c>
      <c r="C704" s="25" t="s">
        <v>1967</v>
      </c>
      <c r="D704" s="27" t="s">
        <v>1076</v>
      </c>
      <c r="E704" s="27" t="s">
        <v>1968</v>
      </c>
      <c r="F704" s="31">
        <v>36508</v>
      </c>
      <c r="G704" s="45" t="s">
        <v>1966</v>
      </c>
      <c r="H704" s="45"/>
      <c r="I704" s="26" t="s">
        <v>742</v>
      </c>
      <c r="J704" s="26" t="s">
        <v>7</v>
      </c>
    </row>
    <row r="705" spans="1:10" ht="33" x14ac:dyDescent="0.25">
      <c r="A705" s="1" t="s">
        <v>48</v>
      </c>
      <c r="B705" s="25" t="s">
        <v>810</v>
      </c>
      <c r="C705" s="25" t="s">
        <v>1969</v>
      </c>
      <c r="D705" s="27" t="s">
        <v>1076</v>
      </c>
      <c r="E705" s="27" t="s">
        <v>1970</v>
      </c>
      <c r="F705" s="31">
        <v>34580</v>
      </c>
      <c r="G705" s="45" t="s">
        <v>1966</v>
      </c>
      <c r="H705" s="45"/>
      <c r="I705" s="26" t="s">
        <v>742</v>
      </c>
      <c r="J705" s="26" t="s">
        <v>7</v>
      </c>
    </row>
    <row r="706" spans="1:10" ht="33" x14ac:dyDescent="0.25">
      <c r="A706" s="1" t="s">
        <v>48</v>
      </c>
      <c r="B706" s="25" t="s">
        <v>810</v>
      </c>
      <c r="C706" s="25" t="s">
        <v>1971</v>
      </c>
      <c r="D706" s="27" t="s">
        <v>985</v>
      </c>
      <c r="E706" s="27" t="s">
        <v>1972</v>
      </c>
      <c r="F706" s="31">
        <v>15633</v>
      </c>
      <c r="G706" s="45" t="s">
        <v>1973</v>
      </c>
      <c r="H706" s="45"/>
      <c r="I706" s="26" t="s">
        <v>1599</v>
      </c>
      <c r="J706" s="26" t="s">
        <v>7</v>
      </c>
    </row>
    <row r="707" spans="1:10" ht="33" x14ac:dyDescent="0.25">
      <c r="A707" s="1" t="s">
        <v>48</v>
      </c>
      <c r="B707" s="25" t="s">
        <v>810</v>
      </c>
      <c r="C707" s="25" t="s">
        <v>1974</v>
      </c>
      <c r="D707" s="27" t="s">
        <v>1076</v>
      </c>
      <c r="E707" s="27" t="s">
        <v>1975</v>
      </c>
      <c r="F707" s="31">
        <v>31904</v>
      </c>
      <c r="G707" s="45" t="s">
        <v>1966</v>
      </c>
      <c r="H707" s="45"/>
      <c r="I707" s="26" t="s">
        <v>742</v>
      </c>
      <c r="J707" s="26" t="s">
        <v>7</v>
      </c>
    </row>
    <row r="708" spans="1:10" ht="33" x14ac:dyDescent="0.25">
      <c r="A708" s="1" t="s">
        <v>48</v>
      </c>
      <c r="B708" s="25" t="s">
        <v>810</v>
      </c>
      <c r="C708" s="25" t="s">
        <v>1976</v>
      </c>
      <c r="D708" s="27" t="s">
        <v>985</v>
      </c>
      <c r="E708" s="27" t="s">
        <v>1977</v>
      </c>
      <c r="F708" s="31">
        <v>9354</v>
      </c>
      <c r="G708" s="45" t="s">
        <v>1978</v>
      </c>
      <c r="H708" s="45"/>
      <c r="I708" s="26" t="s">
        <v>1294</v>
      </c>
      <c r="J708" s="26" t="s">
        <v>7</v>
      </c>
    </row>
    <row r="709" spans="1:10" ht="33" x14ac:dyDescent="0.25">
      <c r="A709" s="1" t="s">
        <v>48</v>
      </c>
      <c r="B709" s="25" t="s">
        <v>810</v>
      </c>
      <c r="C709" s="25" t="s">
        <v>1979</v>
      </c>
      <c r="D709" s="27" t="s">
        <v>1115</v>
      </c>
      <c r="E709" s="27" t="s">
        <v>1980</v>
      </c>
      <c r="F709" s="31">
        <v>7180</v>
      </c>
      <c r="G709" s="45" t="s">
        <v>1981</v>
      </c>
      <c r="H709" s="45"/>
      <c r="I709" s="26" t="s">
        <v>213</v>
      </c>
      <c r="J709" s="26" t="s">
        <v>7</v>
      </c>
    </row>
    <row r="710" spans="1:10" ht="33" x14ac:dyDescent="0.25">
      <c r="A710" s="1" t="s">
        <v>48</v>
      </c>
      <c r="B710" s="25" t="s">
        <v>810</v>
      </c>
      <c r="C710" s="25" t="s">
        <v>1979</v>
      </c>
      <c r="D710" s="27" t="s">
        <v>1115</v>
      </c>
      <c r="E710" s="27" t="s">
        <v>1982</v>
      </c>
      <c r="F710" s="31">
        <v>8000</v>
      </c>
      <c r="G710" s="45" t="s">
        <v>1981</v>
      </c>
      <c r="H710" s="45"/>
      <c r="I710" s="26" t="s">
        <v>213</v>
      </c>
      <c r="J710" s="26" t="s">
        <v>7</v>
      </c>
    </row>
    <row r="711" spans="1:10" ht="33" x14ac:dyDescent="0.25">
      <c r="A711" s="1" t="s">
        <v>48</v>
      </c>
      <c r="B711" s="25" t="s">
        <v>810</v>
      </c>
      <c r="C711" s="25" t="s">
        <v>1983</v>
      </c>
      <c r="D711" s="27" t="s">
        <v>1011</v>
      </c>
      <c r="E711" s="27" t="s">
        <v>1984</v>
      </c>
      <c r="F711" s="31">
        <v>3380</v>
      </c>
      <c r="G711" s="45" t="s">
        <v>1985</v>
      </c>
      <c r="H711" s="45"/>
      <c r="I711" s="26" t="s">
        <v>213</v>
      </c>
      <c r="J711" s="26" t="s">
        <v>7</v>
      </c>
    </row>
    <row r="712" spans="1:10" x14ac:dyDescent="0.25">
      <c r="A712" s="1" t="s">
        <v>217</v>
      </c>
      <c r="B712" s="25" t="s">
        <v>810</v>
      </c>
      <c r="C712" s="25" t="s">
        <v>69</v>
      </c>
      <c r="D712" s="27" t="s">
        <v>7</v>
      </c>
      <c r="E712" s="27" t="s">
        <v>1986</v>
      </c>
      <c r="F712" s="31">
        <v>332</v>
      </c>
      <c r="G712" s="45" t="s">
        <v>1987</v>
      </c>
      <c r="H712" s="45"/>
      <c r="I712" s="26" t="s">
        <v>1237</v>
      </c>
      <c r="J712" s="26" t="s">
        <v>7</v>
      </c>
    </row>
    <row r="713" spans="1:10" x14ac:dyDescent="0.25">
      <c r="A713" s="1" t="s">
        <v>217</v>
      </c>
      <c r="B713" s="25" t="s">
        <v>810</v>
      </c>
      <c r="C713" s="25" t="s">
        <v>218</v>
      </c>
      <c r="D713" s="27" t="s">
        <v>7</v>
      </c>
      <c r="E713" s="27" t="s">
        <v>1988</v>
      </c>
      <c r="F713" s="31">
        <v>150</v>
      </c>
      <c r="G713" s="45" t="s">
        <v>1989</v>
      </c>
      <c r="H713" s="45"/>
      <c r="I713" s="26" t="s">
        <v>462</v>
      </c>
      <c r="J713" s="26" t="s">
        <v>7</v>
      </c>
    </row>
    <row r="714" spans="1:10" x14ac:dyDescent="0.25">
      <c r="A714" s="1" t="s">
        <v>217</v>
      </c>
      <c r="B714" s="25" t="s">
        <v>845</v>
      </c>
      <c r="C714" s="25" t="s">
        <v>218</v>
      </c>
      <c r="D714" s="27" t="s">
        <v>7</v>
      </c>
      <c r="E714" s="27" t="s">
        <v>1990</v>
      </c>
      <c r="F714" s="31">
        <v>3300</v>
      </c>
      <c r="G714" s="45" t="s">
        <v>1991</v>
      </c>
      <c r="H714" s="45"/>
      <c r="I714" s="26" t="s">
        <v>1992</v>
      </c>
      <c r="J714" s="26" t="s">
        <v>7</v>
      </c>
    </row>
    <row r="715" spans="1:10" x14ac:dyDescent="0.25">
      <c r="A715" s="1" t="s">
        <v>217</v>
      </c>
      <c r="B715" s="25" t="s">
        <v>845</v>
      </c>
      <c r="C715" s="25" t="s">
        <v>218</v>
      </c>
      <c r="D715" s="27" t="s">
        <v>7</v>
      </c>
      <c r="E715" s="27" t="s">
        <v>1993</v>
      </c>
      <c r="F715" s="31">
        <v>16</v>
      </c>
      <c r="G715" s="45" t="s">
        <v>840</v>
      </c>
      <c r="H715" s="45"/>
      <c r="I715" s="26" t="s">
        <v>462</v>
      </c>
      <c r="J715" s="26" t="s">
        <v>7</v>
      </c>
    </row>
    <row r="716" spans="1:10" ht="33" x14ac:dyDescent="0.25">
      <c r="A716" s="1" t="s">
        <v>48</v>
      </c>
      <c r="B716" s="25" t="s">
        <v>852</v>
      </c>
      <c r="C716" s="25" t="s">
        <v>1994</v>
      </c>
      <c r="D716" s="27" t="s">
        <v>402</v>
      </c>
      <c r="E716" s="27" t="s">
        <v>1995</v>
      </c>
      <c r="F716" s="31">
        <v>44403</v>
      </c>
      <c r="G716" s="45" t="s">
        <v>1996</v>
      </c>
      <c r="H716" s="45"/>
      <c r="I716" s="26" t="s">
        <v>1524</v>
      </c>
      <c r="J716" s="26" t="s">
        <v>7</v>
      </c>
    </row>
    <row r="717" spans="1:10" x14ac:dyDescent="0.25">
      <c r="A717" s="1" t="s">
        <v>217</v>
      </c>
      <c r="B717" s="25" t="s">
        <v>852</v>
      </c>
      <c r="C717" s="25" t="s">
        <v>69</v>
      </c>
      <c r="D717" s="27" t="s">
        <v>7</v>
      </c>
      <c r="E717" s="27" t="s">
        <v>1997</v>
      </c>
      <c r="F717" s="31">
        <v>1034</v>
      </c>
      <c r="G717" s="45" t="s">
        <v>1998</v>
      </c>
      <c r="H717" s="45"/>
      <c r="I717" s="26" t="s">
        <v>1702</v>
      </c>
      <c r="J717" s="26" t="s">
        <v>7</v>
      </c>
    </row>
    <row r="718" spans="1:10" x14ac:dyDescent="0.25">
      <c r="A718" s="1" t="s">
        <v>217</v>
      </c>
      <c r="B718" s="25" t="s">
        <v>852</v>
      </c>
      <c r="C718" s="25" t="s">
        <v>218</v>
      </c>
      <c r="D718" s="27" t="s">
        <v>7</v>
      </c>
      <c r="E718" s="27" t="s">
        <v>1999</v>
      </c>
      <c r="F718" s="31">
        <v>5996</v>
      </c>
      <c r="G718" s="45" t="s">
        <v>2000</v>
      </c>
      <c r="H718" s="45"/>
      <c r="I718" s="26" t="s">
        <v>462</v>
      </c>
      <c r="J718" s="26" t="s">
        <v>7</v>
      </c>
    </row>
    <row r="719" spans="1:10" ht="33" x14ac:dyDescent="0.25">
      <c r="A719" s="1" t="s">
        <v>217</v>
      </c>
      <c r="B719" s="25" t="s">
        <v>852</v>
      </c>
      <c r="C719" s="25" t="s">
        <v>218</v>
      </c>
      <c r="D719" s="27" t="s">
        <v>7</v>
      </c>
      <c r="E719" s="27" t="s">
        <v>2001</v>
      </c>
      <c r="F719" s="31">
        <v>123883</v>
      </c>
      <c r="G719" s="45" t="s">
        <v>2002</v>
      </c>
      <c r="H719" s="45"/>
      <c r="I719" s="26" t="s">
        <v>193</v>
      </c>
      <c r="J719" s="26" t="s">
        <v>7</v>
      </c>
    </row>
    <row r="720" spans="1:10" ht="33" x14ac:dyDescent="0.25">
      <c r="A720" s="1" t="s">
        <v>217</v>
      </c>
      <c r="B720" s="25" t="s">
        <v>877</v>
      </c>
      <c r="C720" s="25" t="s">
        <v>218</v>
      </c>
      <c r="D720" s="27" t="s">
        <v>7</v>
      </c>
      <c r="E720" s="27" t="s">
        <v>2003</v>
      </c>
      <c r="F720" s="31">
        <v>13484</v>
      </c>
      <c r="G720" s="45" t="s">
        <v>2004</v>
      </c>
      <c r="H720" s="45"/>
      <c r="I720" s="26" t="s">
        <v>156</v>
      </c>
      <c r="J720" s="26" t="s">
        <v>7</v>
      </c>
    </row>
    <row r="721" spans="1:10" ht="33" x14ac:dyDescent="0.25">
      <c r="A721" s="1" t="s">
        <v>217</v>
      </c>
      <c r="B721" s="25" t="s">
        <v>877</v>
      </c>
      <c r="C721" s="25" t="s">
        <v>218</v>
      </c>
      <c r="D721" s="27" t="s">
        <v>7</v>
      </c>
      <c r="E721" s="27" t="s">
        <v>2005</v>
      </c>
      <c r="F721" s="31">
        <v>13484</v>
      </c>
      <c r="G721" s="45" t="s">
        <v>2006</v>
      </c>
      <c r="H721" s="45"/>
      <c r="I721" s="26" t="s">
        <v>156</v>
      </c>
      <c r="J721" s="26" t="s">
        <v>7</v>
      </c>
    </row>
    <row r="722" spans="1:10" ht="33" x14ac:dyDescent="0.25">
      <c r="A722" s="1" t="s">
        <v>217</v>
      </c>
      <c r="B722" s="25" t="s">
        <v>877</v>
      </c>
      <c r="C722" s="25" t="s">
        <v>218</v>
      </c>
      <c r="D722" s="27" t="s">
        <v>7</v>
      </c>
      <c r="E722" s="27" t="s">
        <v>2007</v>
      </c>
      <c r="F722" s="31">
        <v>13484</v>
      </c>
      <c r="G722" s="45" t="s">
        <v>2008</v>
      </c>
      <c r="H722" s="45"/>
      <c r="I722" s="26" t="s">
        <v>156</v>
      </c>
      <c r="J722" s="26" t="s">
        <v>7</v>
      </c>
    </row>
    <row r="723" spans="1:10" ht="33" x14ac:dyDescent="0.25">
      <c r="A723" s="1" t="s">
        <v>217</v>
      </c>
      <c r="B723" s="25" t="s">
        <v>877</v>
      </c>
      <c r="C723" s="25" t="s">
        <v>218</v>
      </c>
      <c r="D723" s="27" t="s">
        <v>7</v>
      </c>
      <c r="E723" s="27" t="s">
        <v>2009</v>
      </c>
      <c r="F723" s="31">
        <v>6597</v>
      </c>
      <c r="G723" s="45" t="s">
        <v>2010</v>
      </c>
      <c r="H723" s="45"/>
      <c r="I723" s="26" t="s">
        <v>156</v>
      </c>
      <c r="J723" s="26" t="s">
        <v>7</v>
      </c>
    </row>
    <row r="724" spans="1:10" ht="33" x14ac:dyDescent="0.25">
      <c r="A724" s="1" t="s">
        <v>217</v>
      </c>
      <c r="B724" s="25" t="s">
        <v>877</v>
      </c>
      <c r="C724" s="25" t="s">
        <v>218</v>
      </c>
      <c r="D724" s="27" t="s">
        <v>7</v>
      </c>
      <c r="E724" s="27" t="s">
        <v>2011</v>
      </c>
      <c r="F724" s="31">
        <v>6597</v>
      </c>
      <c r="G724" s="45" t="s">
        <v>2012</v>
      </c>
      <c r="H724" s="45"/>
      <c r="I724" s="26" t="s">
        <v>156</v>
      </c>
      <c r="J724" s="26" t="s">
        <v>7</v>
      </c>
    </row>
    <row r="725" spans="1:10" ht="33" x14ac:dyDescent="0.25">
      <c r="A725" s="1" t="s">
        <v>217</v>
      </c>
      <c r="B725" s="25" t="s">
        <v>877</v>
      </c>
      <c r="C725" s="25" t="s">
        <v>218</v>
      </c>
      <c r="D725" s="27" t="s">
        <v>7</v>
      </c>
      <c r="E725" s="27" t="s">
        <v>2013</v>
      </c>
      <c r="F725" s="31">
        <v>6597</v>
      </c>
      <c r="G725" s="45" t="s">
        <v>2014</v>
      </c>
      <c r="H725" s="45"/>
      <c r="I725" s="26" t="s">
        <v>156</v>
      </c>
      <c r="J725" s="26" t="s">
        <v>7</v>
      </c>
    </row>
    <row r="726" spans="1:10" ht="33" x14ac:dyDescent="0.25">
      <c r="A726" s="1" t="s">
        <v>217</v>
      </c>
      <c r="B726" s="25" t="s">
        <v>877</v>
      </c>
      <c r="C726" s="25" t="s">
        <v>218</v>
      </c>
      <c r="D726" s="27" t="s">
        <v>7</v>
      </c>
      <c r="E726" s="27" t="s">
        <v>2015</v>
      </c>
      <c r="F726" s="31">
        <v>8259</v>
      </c>
      <c r="G726" s="45" t="s">
        <v>2016</v>
      </c>
      <c r="H726" s="45"/>
      <c r="I726" s="26" t="s">
        <v>156</v>
      </c>
      <c r="J726" s="26" t="s">
        <v>7</v>
      </c>
    </row>
    <row r="727" spans="1:10" ht="33" x14ac:dyDescent="0.25">
      <c r="A727" s="1" t="s">
        <v>217</v>
      </c>
      <c r="B727" s="25" t="s">
        <v>877</v>
      </c>
      <c r="C727" s="25" t="s">
        <v>218</v>
      </c>
      <c r="D727" s="27" t="s">
        <v>7</v>
      </c>
      <c r="E727" s="27" t="s">
        <v>2017</v>
      </c>
      <c r="F727" s="31">
        <v>8259</v>
      </c>
      <c r="G727" s="45" t="s">
        <v>2018</v>
      </c>
      <c r="H727" s="45"/>
      <c r="I727" s="26" t="s">
        <v>156</v>
      </c>
      <c r="J727" s="26" t="s">
        <v>7</v>
      </c>
    </row>
    <row r="728" spans="1:10" ht="33" x14ac:dyDescent="0.25">
      <c r="A728" s="1" t="s">
        <v>217</v>
      </c>
      <c r="B728" s="25" t="s">
        <v>877</v>
      </c>
      <c r="C728" s="25" t="s">
        <v>218</v>
      </c>
      <c r="D728" s="27" t="s">
        <v>7</v>
      </c>
      <c r="E728" s="27" t="s">
        <v>2019</v>
      </c>
      <c r="F728" s="31">
        <v>10033</v>
      </c>
      <c r="G728" s="45" t="s">
        <v>2020</v>
      </c>
      <c r="H728" s="45"/>
      <c r="I728" s="26" t="s">
        <v>156</v>
      </c>
      <c r="J728" s="26" t="s">
        <v>7</v>
      </c>
    </row>
    <row r="729" spans="1:10" ht="33" x14ac:dyDescent="0.25">
      <c r="A729" s="1" t="s">
        <v>217</v>
      </c>
      <c r="B729" s="25" t="s">
        <v>877</v>
      </c>
      <c r="C729" s="25" t="s">
        <v>218</v>
      </c>
      <c r="D729" s="27" t="s">
        <v>7</v>
      </c>
      <c r="E729" s="27" t="s">
        <v>2021</v>
      </c>
      <c r="F729" s="31">
        <v>10033</v>
      </c>
      <c r="G729" s="45" t="s">
        <v>2022</v>
      </c>
      <c r="H729" s="45"/>
      <c r="I729" s="26" t="s">
        <v>156</v>
      </c>
      <c r="J729" s="26" t="s">
        <v>7</v>
      </c>
    </row>
    <row r="730" spans="1:10" x14ac:dyDescent="0.25">
      <c r="A730" s="1" t="s">
        <v>217</v>
      </c>
      <c r="B730" s="25" t="s">
        <v>877</v>
      </c>
      <c r="C730" s="25" t="s">
        <v>218</v>
      </c>
      <c r="D730" s="27" t="s">
        <v>7</v>
      </c>
      <c r="E730" s="27" t="s">
        <v>2023</v>
      </c>
      <c r="F730" s="31">
        <v>26100</v>
      </c>
      <c r="G730" s="45" t="s">
        <v>2024</v>
      </c>
      <c r="H730" s="45"/>
      <c r="I730" s="26" t="s">
        <v>86</v>
      </c>
      <c r="J730" s="26" t="s">
        <v>7</v>
      </c>
    </row>
    <row r="731" spans="1:10" ht="33" x14ac:dyDescent="0.25">
      <c r="A731" s="1" t="s">
        <v>48</v>
      </c>
      <c r="B731" s="25" t="s">
        <v>890</v>
      </c>
      <c r="C731" s="25" t="s">
        <v>2025</v>
      </c>
      <c r="D731" s="27" t="s">
        <v>1083</v>
      </c>
      <c r="E731" s="27" t="s">
        <v>2026</v>
      </c>
      <c r="F731" s="31">
        <v>19163</v>
      </c>
      <c r="G731" s="45" t="s">
        <v>2027</v>
      </c>
      <c r="H731" s="45"/>
      <c r="I731" s="26" t="s">
        <v>1237</v>
      </c>
      <c r="J731" s="26" t="s">
        <v>7</v>
      </c>
    </row>
    <row r="732" spans="1:10" ht="33" x14ac:dyDescent="0.25">
      <c r="A732" s="1" t="s">
        <v>48</v>
      </c>
      <c r="B732" s="25" t="s">
        <v>890</v>
      </c>
      <c r="C732" s="25" t="s">
        <v>2028</v>
      </c>
      <c r="D732" s="27" t="s">
        <v>1076</v>
      </c>
      <c r="E732" s="27" t="s">
        <v>2029</v>
      </c>
      <c r="F732" s="31">
        <v>21295</v>
      </c>
      <c r="G732" s="45" t="s">
        <v>1966</v>
      </c>
      <c r="H732" s="45"/>
      <c r="I732" s="26" t="s">
        <v>742</v>
      </c>
      <c r="J732" s="26" t="s">
        <v>7</v>
      </c>
    </row>
    <row r="733" spans="1:10" ht="33" x14ac:dyDescent="0.25">
      <c r="A733" s="1" t="s">
        <v>48</v>
      </c>
      <c r="B733" s="25" t="s">
        <v>890</v>
      </c>
      <c r="C733" s="25" t="s">
        <v>2030</v>
      </c>
      <c r="D733" s="27" t="s">
        <v>1043</v>
      </c>
      <c r="E733" s="27" t="s">
        <v>2031</v>
      </c>
      <c r="F733" s="31">
        <v>72950</v>
      </c>
      <c r="G733" s="45" t="s">
        <v>2032</v>
      </c>
      <c r="H733" s="45"/>
      <c r="I733" s="26" t="s">
        <v>67</v>
      </c>
      <c r="J733" s="26" t="s">
        <v>7</v>
      </c>
    </row>
    <row r="734" spans="1:10" ht="33" x14ac:dyDescent="0.25">
      <c r="A734" s="1" t="s">
        <v>48</v>
      </c>
      <c r="B734" s="25" t="s">
        <v>890</v>
      </c>
      <c r="C734" s="25" t="s">
        <v>2033</v>
      </c>
      <c r="D734" s="27" t="s">
        <v>1076</v>
      </c>
      <c r="E734" s="27" t="s">
        <v>2034</v>
      </c>
      <c r="F734" s="31">
        <v>18158</v>
      </c>
      <c r="G734" s="45" t="s">
        <v>2035</v>
      </c>
      <c r="H734" s="45"/>
      <c r="I734" s="26" t="s">
        <v>742</v>
      </c>
      <c r="J734" s="26" t="s">
        <v>7</v>
      </c>
    </row>
    <row r="735" spans="1:10" ht="33" x14ac:dyDescent="0.25">
      <c r="A735" s="1" t="s">
        <v>48</v>
      </c>
      <c r="B735" s="25" t="s">
        <v>890</v>
      </c>
      <c r="C735" s="25" t="s">
        <v>2036</v>
      </c>
      <c r="D735" s="27" t="s">
        <v>985</v>
      </c>
      <c r="E735" s="27" t="s">
        <v>2037</v>
      </c>
      <c r="F735" s="31">
        <v>16828</v>
      </c>
      <c r="G735" s="45" t="s">
        <v>2038</v>
      </c>
      <c r="H735" s="45"/>
      <c r="I735" s="26" t="s">
        <v>400</v>
      </c>
      <c r="J735" s="26" t="s">
        <v>7</v>
      </c>
    </row>
    <row r="736" spans="1:10" ht="33" x14ac:dyDescent="0.25">
      <c r="A736" s="1" t="s">
        <v>48</v>
      </c>
      <c r="B736" s="25" t="s">
        <v>890</v>
      </c>
      <c r="C736" s="25" t="s">
        <v>2039</v>
      </c>
      <c r="D736" s="27" t="s">
        <v>1003</v>
      </c>
      <c r="E736" s="27" t="s">
        <v>2040</v>
      </c>
      <c r="F736" s="31">
        <v>18776</v>
      </c>
      <c r="G736" s="45" t="s">
        <v>2041</v>
      </c>
      <c r="H736" s="45"/>
      <c r="I736" s="26" t="s">
        <v>1915</v>
      </c>
      <c r="J736" s="26" t="s">
        <v>7</v>
      </c>
    </row>
    <row r="737" spans="1:10" ht="33" x14ac:dyDescent="0.25">
      <c r="A737" s="1" t="s">
        <v>48</v>
      </c>
      <c r="B737" s="25" t="s">
        <v>890</v>
      </c>
      <c r="C737" s="25" t="s">
        <v>2042</v>
      </c>
      <c r="D737" s="27" t="s">
        <v>1018</v>
      </c>
      <c r="E737" s="27" t="s">
        <v>2043</v>
      </c>
      <c r="F737" s="31">
        <v>98600</v>
      </c>
      <c r="G737" s="45" t="s">
        <v>2044</v>
      </c>
      <c r="H737" s="45"/>
      <c r="I737" s="26" t="s">
        <v>512</v>
      </c>
      <c r="J737" s="26" t="s">
        <v>7</v>
      </c>
    </row>
    <row r="738" spans="1:10" ht="33" x14ac:dyDescent="0.25">
      <c r="A738" s="1" t="s">
        <v>48</v>
      </c>
      <c r="B738" s="25" t="s">
        <v>890</v>
      </c>
      <c r="C738" s="25" t="s">
        <v>2045</v>
      </c>
      <c r="D738" s="27" t="s">
        <v>1003</v>
      </c>
      <c r="E738" s="27" t="s">
        <v>2046</v>
      </c>
      <c r="F738" s="31">
        <v>7980</v>
      </c>
      <c r="G738" s="45" t="s">
        <v>2047</v>
      </c>
      <c r="H738" s="45"/>
      <c r="I738" s="26" t="s">
        <v>1237</v>
      </c>
      <c r="J738" s="26" t="s">
        <v>7</v>
      </c>
    </row>
    <row r="739" spans="1:10" x14ac:dyDescent="0.25">
      <c r="A739" s="1" t="s">
        <v>217</v>
      </c>
      <c r="B739" s="25" t="s">
        <v>890</v>
      </c>
      <c r="C739" s="25" t="s">
        <v>218</v>
      </c>
      <c r="D739" s="27" t="s">
        <v>7</v>
      </c>
      <c r="E739" s="27" t="s">
        <v>2048</v>
      </c>
      <c r="F739" s="31">
        <v>15091</v>
      </c>
      <c r="G739" s="45" t="s">
        <v>2049</v>
      </c>
      <c r="H739" s="45"/>
      <c r="I739" s="26" t="s">
        <v>347</v>
      </c>
      <c r="J739" s="26" t="s">
        <v>7</v>
      </c>
    </row>
    <row r="740" spans="1:10" x14ac:dyDescent="0.25">
      <c r="A740" s="1" t="s">
        <v>217</v>
      </c>
      <c r="B740" s="25" t="s">
        <v>890</v>
      </c>
      <c r="C740" s="25" t="s">
        <v>218</v>
      </c>
      <c r="D740" s="27" t="s">
        <v>7</v>
      </c>
      <c r="E740" s="27" t="s">
        <v>2050</v>
      </c>
      <c r="F740" s="31">
        <v>14522</v>
      </c>
      <c r="G740" s="45" t="s">
        <v>2051</v>
      </c>
      <c r="H740" s="45"/>
      <c r="I740" s="26" t="s">
        <v>279</v>
      </c>
      <c r="J740" s="26" t="s">
        <v>7</v>
      </c>
    </row>
    <row r="741" spans="1:10" ht="33" x14ac:dyDescent="0.25">
      <c r="A741" s="1" t="s">
        <v>48</v>
      </c>
      <c r="B741" s="25" t="s">
        <v>913</v>
      </c>
      <c r="C741" s="25" t="s">
        <v>2052</v>
      </c>
      <c r="D741" s="27" t="s">
        <v>1043</v>
      </c>
      <c r="E741" s="27" t="s">
        <v>2053</v>
      </c>
      <c r="F741" s="31">
        <v>719</v>
      </c>
      <c r="G741" s="45" t="s">
        <v>2054</v>
      </c>
      <c r="H741" s="45"/>
      <c r="I741" s="26" t="s">
        <v>67</v>
      </c>
      <c r="J741" s="26" t="s">
        <v>7</v>
      </c>
    </row>
    <row r="742" spans="1:10" ht="33" x14ac:dyDescent="0.25">
      <c r="A742" s="1" t="s">
        <v>48</v>
      </c>
      <c r="B742" s="25" t="s">
        <v>913</v>
      </c>
      <c r="C742" s="25" t="s">
        <v>2055</v>
      </c>
      <c r="D742" s="27" t="s">
        <v>985</v>
      </c>
      <c r="E742" s="27" t="s">
        <v>2056</v>
      </c>
      <c r="F742" s="31">
        <v>3461</v>
      </c>
      <c r="G742" s="45" t="s">
        <v>2057</v>
      </c>
      <c r="H742" s="45"/>
      <c r="I742" s="26" t="s">
        <v>1131</v>
      </c>
      <c r="J742" s="26" t="s">
        <v>7</v>
      </c>
    </row>
    <row r="743" spans="1:10" ht="33" x14ac:dyDescent="0.25">
      <c r="A743" s="1" t="s">
        <v>48</v>
      </c>
      <c r="B743" s="25" t="s">
        <v>913</v>
      </c>
      <c r="C743" s="25" t="s">
        <v>2058</v>
      </c>
      <c r="D743" s="27" t="s">
        <v>985</v>
      </c>
      <c r="E743" s="27" t="s">
        <v>2059</v>
      </c>
      <c r="F743" s="31">
        <v>5719</v>
      </c>
      <c r="G743" s="45" t="s">
        <v>2060</v>
      </c>
      <c r="H743" s="45"/>
      <c r="I743" s="26" t="s">
        <v>95</v>
      </c>
      <c r="J743" s="26" t="s">
        <v>7</v>
      </c>
    </row>
    <row r="744" spans="1:10" ht="33" x14ac:dyDescent="0.25">
      <c r="A744" s="1" t="s">
        <v>48</v>
      </c>
      <c r="B744" s="25" t="s">
        <v>913</v>
      </c>
      <c r="C744" s="25" t="s">
        <v>2061</v>
      </c>
      <c r="D744" s="27" t="s">
        <v>1115</v>
      </c>
      <c r="E744" s="27" t="s">
        <v>2062</v>
      </c>
      <c r="F744" s="31">
        <v>600</v>
      </c>
      <c r="G744" s="45" t="s">
        <v>2063</v>
      </c>
      <c r="H744" s="45"/>
      <c r="I744" s="26" t="s">
        <v>295</v>
      </c>
      <c r="J744" s="26" t="s">
        <v>7</v>
      </c>
    </row>
    <row r="745" spans="1:10" ht="33" x14ac:dyDescent="0.25">
      <c r="A745" s="1" t="s">
        <v>48</v>
      </c>
      <c r="B745" s="25" t="s">
        <v>927</v>
      </c>
      <c r="C745" s="25" t="s">
        <v>2064</v>
      </c>
      <c r="D745" s="27" t="s">
        <v>985</v>
      </c>
      <c r="E745" s="27" t="s">
        <v>2065</v>
      </c>
      <c r="F745" s="31">
        <v>60000</v>
      </c>
      <c r="G745" s="45" t="s">
        <v>2066</v>
      </c>
      <c r="H745" s="45"/>
      <c r="I745" s="26" t="s">
        <v>1050</v>
      </c>
      <c r="J745" s="26" t="s">
        <v>7</v>
      </c>
    </row>
    <row r="746" spans="1:10" ht="33" x14ac:dyDescent="0.25">
      <c r="A746" s="1" t="s">
        <v>48</v>
      </c>
      <c r="B746" s="25" t="s">
        <v>933</v>
      </c>
      <c r="C746" s="25" t="s">
        <v>2067</v>
      </c>
      <c r="D746" s="27" t="s">
        <v>1003</v>
      </c>
      <c r="E746" s="27" t="s">
        <v>2068</v>
      </c>
      <c r="F746" s="31">
        <v>16800</v>
      </c>
      <c r="G746" s="45" t="s">
        <v>2069</v>
      </c>
      <c r="H746" s="45"/>
      <c r="I746" s="26" t="s">
        <v>335</v>
      </c>
      <c r="J746" s="26" t="s">
        <v>7</v>
      </c>
    </row>
    <row r="747" spans="1:10" x14ac:dyDescent="0.25">
      <c r="A747" s="1" t="s">
        <v>48</v>
      </c>
      <c r="B747" s="25" t="s">
        <v>933</v>
      </c>
      <c r="C747" s="25" t="s">
        <v>2070</v>
      </c>
      <c r="D747" s="27" t="s">
        <v>402</v>
      </c>
      <c r="E747" s="27" t="s">
        <v>2071</v>
      </c>
      <c r="F747" s="31">
        <v>4939</v>
      </c>
      <c r="G747" s="45" t="s">
        <v>2072</v>
      </c>
      <c r="H747" s="45"/>
      <c r="I747" s="26" t="s">
        <v>171</v>
      </c>
      <c r="J747" s="26" t="s">
        <v>7</v>
      </c>
    </row>
    <row r="748" spans="1:10" x14ac:dyDescent="0.25">
      <c r="A748" s="1" t="s">
        <v>217</v>
      </c>
      <c r="B748" s="25" t="s">
        <v>933</v>
      </c>
      <c r="C748" s="25" t="s">
        <v>218</v>
      </c>
      <c r="D748" s="27" t="s">
        <v>7</v>
      </c>
      <c r="E748" s="27" t="s">
        <v>2073</v>
      </c>
      <c r="F748" s="31">
        <v>7073</v>
      </c>
      <c r="G748" s="45" t="s">
        <v>2074</v>
      </c>
      <c r="H748" s="45"/>
      <c r="I748" s="26" t="s">
        <v>126</v>
      </c>
      <c r="J748" s="26" t="s">
        <v>7</v>
      </c>
    </row>
    <row r="749" spans="1:10" x14ac:dyDescent="0.25">
      <c r="A749" s="1" t="s">
        <v>217</v>
      </c>
      <c r="B749" s="25" t="s">
        <v>933</v>
      </c>
      <c r="C749" s="25" t="s">
        <v>218</v>
      </c>
      <c r="D749" s="27" t="s">
        <v>7</v>
      </c>
      <c r="E749" s="27" t="s">
        <v>2075</v>
      </c>
      <c r="F749" s="31">
        <v>12253</v>
      </c>
      <c r="G749" s="45" t="s">
        <v>2076</v>
      </c>
      <c r="H749" s="45"/>
      <c r="I749" s="26" t="s">
        <v>400</v>
      </c>
      <c r="J749" s="26" t="s">
        <v>7</v>
      </c>
    </row>
    <row r="750" spans="1:10" x14ac:dyDescent="0.25">
      <c r="A750" s="1" t="s">
        <v>217</v>
      </c>
      <c r="B750" s="25" t="s">
        <v>939</v>
      </c>
      <c r="C750" s="25" t="s">
        <v>218</v>
      </c>
      <c r="D750" s="27" t="s">
        <v>7</v>
      </c>
      <c r="E750" s="27" t="s">
        <v>2077</v>
      </c>
      <c r="F750" s="31">
        <v>17153</v>
      </c>
      <c r="G750" s="45" t="s">
        <v>2078</v>
      </c>
      <c r="H750" s="45"/>
      <c r="I750" s="26" t="s">
        <v>2079</v>
      </c>
      <c r="J750" s="26" t="s">
        <v>7</v>
      </c>
    </row>
    <row r="751" spans="1:10" ht="33" x14ac:dyDescent="0.25">
      <c r="A751" s="1" t="s">
        <v>217</v>
      </c>
      <c r="B751" s="25" t="s">
        <v>939</v>
      </c>
      <c r="C751" s="25" t="s">
        <v>218</v>
      </c>
      <c r="D751" s="27" t="s">
        <v>7</v>
      </c>
      <c r="E751" s="27" t="s">
        <v>2080</v>
      </c>
      <c r="F751" s="31">
        <v>30000</v>
      </c>
      <c r="G751" s="45" t="s">
        <v>2081</v>
      </c>
      <c r="H751" s="45"/>
      <c r="I751" s="26" t="s">
        <v>62</v>
      </c>
      <c r="J751" s="26" t="s">
        <v>7</v>
      </c>
    </row>
    <row r="752" spans="1:10" x14ac:dyDescent="0.25">
      <c r="A752" s="1" t="s">
        <v>217</v>
      </c>
      <c r="B752" s="25" t="s">
        <v>939</v>
      </c>
      <c r="C752" s="25" t="s">
        <v>218</v>
      </c>
      <c r="D752" s="27" t="s">
        <v>7</v>
      </c>
      <c r="E752" s="27" t="s">
        <v>2082</v>
      </c>
      <c r="F752" s="31">
        <v>8400</v>
      </c>
      <c r="G752" s="45" t="s">
        <v>2083</v>
      </c>
      <c r="H752" s="45"/>
      <c r="I752" s="26" t="s">
        <v>2084</v>
      </c>
      <c r="J752" s="26" t="s">
        <v>7</v>
      </c>
    </row>
    <row r="753" spans="1:10" ht="33" x14ac:dyDescent="0.25">
      <c r="A753" s="1" t="s">
        <v>48</v>
      </c>
      <c r="B753" s="25" t="s">
        <v>947</v>
      </c>
      <c r="C753" s="25" t="s">
        <v>2085</v>
      </c>
      <c r="D753" s="27" t="s">
        <v>1003</v>
      </c>
      <c r="E753" s="27" t="s">
        <v>2086</v>
      </c>
      <c r="F753" s="31">
        <v>45500</v>
      </c>
      <c r="G753" s="45" t="s">
        <v>2087</v>
      </c>
      <c r="H753" s="45"/>
      <c r="I753" s="26" t="s">
        <v>335</v>
      </c>
      <c r="J753" s="26" t="s">
        <v>7</v>
      </c>
    </row>
    <row r="754" spans="1:10" ht="33" x14ac:dyDescent="0.25">
      <c r="A754" s="1" t="s">
        <v>48</v>
      </c>
      <c r="B754" s="25" t="s">
        <v>947</v>
      </c>
      <c r="C754" s="25" t="s">
        <v>2088</v>
      </c>
      <c r="D754" s="27" t="s">
        <v>1003</v>
      </c>
      <c r="E754" s="27" t="s">
        <v>2089</v>
      </c>
      <c r="F754" s="31">
        <v>36000</v>
      </c>
      <c r="G754" s="45" t="s">
        <v>2090</v>
      </c>
      <c r="H754" s="45"/>
      <c r="I754" s="26" t="s">
        <v>335</v>
      </c>
      <c r="J754" s="26" t="s">
        <v>7</v>
      </c>
    </row>
    <row r="755" spans="1:10" ht="33" x14ac:dyDescent="0.25">
      <c r="A755" s="1" t="s">
        <v>48</v>
      </c>
      <c r="B755" s="25" t="s">
        <v>947</v>
      </c>
      <c r="C755" s="25" t="s">
        <v>2091</v>
      </c>
      <c r="D755" s="27" t="s">
        <v>985</v>
      </c>
      <c r="E755" s="27" t="s">
        <v>2092</v>
      </c>
      <c r="F755" s="31">
        <v>45780</v>
      </c>
      <c r="G755" s="45" t="s">
        <v>2093</v>
      </c>
      <c r="H755" s="45"/>
      <c r="I755" s="26" t="s">
        <v>335</v>
      </c>
      <c r="J755" s="26" t="s">
        <v>7</v>
      </c>
    </row>
    <row r="756" spans="1:10" ht="33" x14ac:dyDescent="0.25">
      <c r="A756" s="1" t="s">
        <v>48</v>
      </c>
      <c r="B756" s="25" t="s">
        <v>947</v>
      </c>
      <c r="C756" s="25" t="s">
        <v>2094</v>
      </c>
      <c r="D756" s="27" t="s">
        <v>985</v>
      </c>
      <c r="E756" s="27" t="s">
        <v>2095</v>
      </c>
      <c r="F756" s="31">
        <v>33495</v>
      </c>
      <c r="G756" s="45" t="s">
        <v>2096</v>
      </c>
      <c r="H756" s="45"/>
      <c r="I756" s="26" t="s">
        <v>335</v>
      </c>
      <c r="J756" s="26" t="s">
        <v>7</v>
      </c>
    </row>
    <row r="757" spans="1:10" x14ac:dyDescent="0.25">
      <c r="A757" s="1" t="s">
        <v>48</v>
      </c>
      <c r="B757" s="25" t="s">
        <v>947</v>
      </c>
      <c r="C757" s="25" t="s">
        <v>2097</v>
      </c>
      <c r="D757" s="27" t="s">
        <v>1068</v>
      </c>
      <c r="E757" s="27" t="s">
        <v>2098</v>
      </c>
      <c r="F757" s="31">
        <v>13493</v>
      </c>
      <c r="G757" s="45" t="s">
        <v>2099</v>
      </c>
      <c r="H757" s="45"/>
      <c r="I757" s="26" t="s">
        <v>290</v>
      </c>
      <c r="J757" s="26" t="s">
        <v>7</v>
      </c>
    </row>
    <row r="758" spans="1:10" ht="33" x14ac:dyDescent="0.25">
      <c r="A758" s="1" t="s">
        <v>48</v>
      </c>
      <c r="B758" s="25" t="s">
        <v>947</v>
      </c>
      <c r="C758" s="25" t="s">
        <v>2100</v>
      </c>
      <c r="D758" s="27" t="s">
        <v>985</v>
      </c>
      <c r="E758" s="27" t="s">
        <v>2101</v>
      </c>
      <c r="F758" s="31">
        <v>25000</v>
      </c>
      <c r="G758" s="45" t="s">
        <v>2102</v>
      </c>
      <c r="H758" s="45"/>
      <c r="I758" s="26" t="s">
        <v>67</v>
      </c>
      <c r="J758" s="26" t="s">
        <v>7</v>
      </c>
    </row>
    <row r="759" spans="1:10" ht="33" x14ac:dyDescent="0.25">
      <c r="A759" s="1" t="s">
        <v>48</v>
      </c>
      <c r="B759" s="25" t="s">
        <v>947</v>
      </c>
      <c r="C759" s="25" t="s">
        <v>2103</v>
      </c>
      <c r="D759" s="27" t="s">
        <v>985</v>
      </c>
      <c r="E759" s="27" t="s">
        <v>2104</v>
      </c>
      <c r="F759" s="31">
        <v>35280</v>
      </c>
      <c r="G759" s="45" t="s">
        <v>2105</v>
      </c>
      <c r="H759" s="45"/>
      <c r="I759" s="26" t="s">
        <v>95</v>
      </c>
      <c r="J759" s="26" t="s">
        <v>7</v>
      </c>
    </row>
    <row r="760" spans="1:10" x14ac:dyDescent="0.25">
      <c r="A760" s="1" t="s">
        <v>217</v>
      </c>
      <c r="B760" s="25" t="s">
        <v>947</v>
      </c>
      <c r="C760" s="25" t="s">
        <v>218</v>
      </c>
      <c r="D760" s="27" t="s">
        <v>7</v>
      </c>
      <c r="E760" s="27" t="s">
        <v>2106</v>
      </c>
      <c r="F760" s="31">
        <v>326</v>
      </c>
      <c r="G760" s="45" t="s">
        <v>2107</v>
      </c>
      <c r="H760" s="45"/>
      <c r="I760" s="26" t="s">
        <v>126</v>
      </c>
      <c r="J760" s="26" t="s">
        <v>7</v>
      </c>
    </row>
    <row r="761" spans="1:10" x14ac:dyDescent="0.25">
      <c r="A761" s="1" t="s">
        <v>217</v>
      </c>
      <c r="B761" s="25" t="s">
        <v>947</v>
      </c>
      <c r="C761" s="25" t="s">
        <v>218</v>
      </c>
      <c r="D761" s="27" t="s">
        <v>7</v>
      </c>
      <c r="E761" s="27" t="s">
        <v>2108</v>
      </c>
      <c r="F761" s="31">
        <v>169</v>
      </c>
      <c r="G761" s="45" t="s">
        <v>2109</v>
      </c>
      <c r="H761" s="45"/>
      <c r="I761" s="26" t="s">
        <v>126</v>
      </c>
      <c r="J761" s="26" t="s">
        <v>7</v>
      </c>
    </row>
    <row r="762" spans="1:10" x14ac:dyDescent="0.25">
      <c r="A762" s="1" t="s">
        <v>217</v>
      </c>
      <c r="B762" s="25" t="s">
        <v>947</v>
      </c>
      <c r="C762" s="25" t="s">
        <v>218</v>
      </c>
      <c r="D762" s="27" t="s">
        <v>7</v>
      </c>
      <c r="E762" s="27" t="s">
        <v>2110</v>
      </c>
      <c r="F762" s="31">
        <v>828</v>
      </c>
      <c r="G762" s="45" t="s">
        <v>2111</v>
      </c>
      <c r="H762" s="45"/>
      <c r="I762" s="26" t="s">
        <v>126</v>
      </c>
      <c r="J762" s="26" t="s">
        <v>7</v>
      </c>
    </row>
    <row r="763" spans="1:10" x14ac:dyDescent="0.25">
      <c r="A763" s="1" t="s">
        <v>217</v>
      </c>
      <c r="B763" s="25" t="s">
        <v>947</v>
      </c>
      <c r="C763" s="25" t="s">
        <v>218</v>
      </c>
      <c r="D763" s="27" t="s">
        <v>7</v>
      </c>
      <c r="E763" s="27" t="s">
        <v>2112</v>
      </c>
      <c r="F763" s="31">
        <v>1439</v>
      </c>
      <c r="G763" s="45" t="s">
        <v>2113</v>
      </c>
      <c r="H763" s="45"/>
      <c r="I763" s="26" t="s">
        <v>126</v>
      </c>
      <c r="J763" s="26" t="s">
        <v>7</v>
      </c>
    </row>
    <row r="764" spans="1:10" x14ac:dyDescent="0.25">
      <c r="A764" s="1" t="s">
        <v>217</v>
      </c>
      <c r="B764" s="25" t="s">
        <v>947</v>
      </c>
      <c r="C764" s="25" t="s">
        <v>218</v>
      </c>
      <c r="D764" s="27" t="s">
        <v>7</v>
      </c>
      <c r="E764" s="27" t="s">
        <v>2114</v>
      </c>
      <c r="F764" s="31">
        <v>8400</v>
      </c>
      <c r="G764" s="45" t="s">
        <v>2115</v>
      </c>
      <c r="H764" s="45"/>
      <c r="I764" s="26" t="s">
        <v>126</v>
      </c>
      <c r="J764" s="26" t="s">
        <v>7</v>
      </c>
    </row>
    <row r="765" spans="1:10" x14ac:dyDescent="0.25">
      <c r="A765" s="1" t="s">
        <v>217</v>
      </c>
      <c r="B765" s="25" t="s">
        <v>947</v>
      </c>
      <c r="C765" s="25" t="s">
        <v>218</v>
      </c>
      <c r="D765" s="27" t="s">
        <v>7</v>
      </c>
      <c r="E765" s="27" t="s">
        <v>2116</v>
      </c>
      <c r="F765" s="31">
        <v>22505</v>
      </c>
      <c r="G765" s="45" t="s">
        <v>2117</v>
      </c>
      <c r="H765" s="45"/>
      <c r="I765" s="26" t="s">
        <v>126</v>
      </c>
      <c r="J765" s="26" t="s">
        <v>7</v>
      </c>
    </row>
    <row r="766" spans="1:10" x14ac:dyDescent="0.25">
      <c r="A766" s="1" t="s">
        <v>217</v>
      </c>
      <c r="B766" s="25" t="s">
        <v>947</v>
      </c>
      <c r="C766" s="25" t="s">
        <v>218</v>
      </c>
      <c r="D766" s="27" t="s">
        <v>7</v>
      </c>
      <c r="E766" s="27" t="s">
        <v>2118</v>
      </c>
      <c r="F766" s="31">
        <v>25395</v>
      </c>
      <c r="G766" s="45" t="s">
        <v>2119</v>
      </c>
      <c r="H766" s="45"/>
      <c r="I766" s="26" t="s">
        <v>171</v>
      </c>
      <c r="J766" s="26" t="s">
        <v>7</v>
      </c>
    </row>
    <row r="767" spans="1:10" x14ac:dyDescent="0.25">
      <c r="A767" s="1" t="s">
        <v>217</v>
      </c>
      <c r="B767" s="25" t="s">
        <v>965</v>
      </c>
      <c r="C767" s="25" t="s">
        <v>218</v>
      </c>
      <c r="D767" s="27" t="s">
        <v>7</v>
      </c>
      <c r="E767" s="27" t="s">
        <v>2120</v>
      </c>
      <c r="F767" s="31">
        <v>6500</v>
      </c>
      <c r="G767" s="45" t="s">
        <v>2121</v>
      </c>
      <c r="H767" s="45"/>
      <c r="I767" s="26" t="s">
        <v>1912</v>
      </c>
      <c r="J767" s="26" t="s">
        <v>7</v>
      </c>
    </row>
    <row r="768" spans="1:10" x14ac:dyDescent="0.25">
      <c r="A768" s="1" t="s">
        <v>217</v>
      </c>
      <c r="B768" s="25" t="s">
        <v>974</v>
      </c>
      <c r="C768" s="25" t="s">
        <v>218</v>
      </c>
      <c r="D768" s="27" t="s">
        <v>7</v>
      </c>
      <c r="E768" s="27" t="s">
        <v>2122</v>
      </c>
      <c r="F768" s="31">
        <v>638</v>
      </c>
      <c r="G768" s="45" t="s">
        <v>2123</v>
      </c>
      <c r="H768" s="45"/>
      <c r="I768" s="26" t="s">
        <v>798</v>
      </c>
      <c r="J768" s="26" t="s">
        <v>7</v>
      </c>
    </row>
    <row r="769" spans="1:10" x14ac:dyDescent="0.25">
      <c r="A769" s="1" t="s">
        <v>22</v>
      </c>
      <c r="B769" s="25" t="s">
        <v>977</v>
      </c>
      <c r="C769" s="25" t="s">
        <v>218</v>
      </c>
      <c r="D769" s="27" t="s">
        <v>7</v>
      </c>
      <c r="E769" s="27" t="s">
        <v>2124</v>
      </c>
      <c r="F769" s="31">
        <v>8000</v>
      </c>
      <c r="G769" s="45" t="s">
        <v>7</v>
      </c>
      <c r="H769" s="45"/>
      <c r="I769" s="26" t="s">
        <v>856</v>
      </c>
      <c r="J769" s="26" t="s">
        <v>7</v>
      </c>
    </row>
    <row r="770" spans="1:10" x14ac:dyDescent="0.25">
      <c r="B770" s="28" t="s">
        <v>44</v>
      </c>
      <c r="C770" s="45" t="s">
        <v>2125</v>
      </c>
      <c r="D770" s="46"/>
      <c r="E770" s="47"/>
      <c r="F770" s="48"/>
      <c r="G770" s="45"/>
      <c r="H770" s="45"/>
      <c r="I770" s="45"/>
      <c r="J770" s="45"/>
    </row>
    <row r="771" spans="1:10" x14ac:dyDescent="0.25">
      <c r="A771" s="24" t="s">
        <v>27</v>
      </c>
      <c r="B771" s="21"/>
      <c r="C771" s="21"/>
      <c r="D771" s="29"/>
      <c r="E771" s="30"/>
      <c r="F771" s="23"/>
      <c r="G771" s="22"/>
      <c r="H771" s="22"/>
      <c r="I771" s="22"/>
      <c r="J771" s="22"/>
    </row>
    <row r="772" spans="1:10" ht="33" x14ac:dyDescent="0.25">
      <c r="A772" s="1" t="s">
        <v>48</v>
      </c>
      <c r="B772" s="25" t="s">
        <v>142</v>
      </c>
      <c r="C772" s="25" t="s">
        <v>2126</v>
      </c>
      <c r="D772" s="27" t="s">
        <v>2127</v>
      </c>
      <c r="E772" s="27" t="s">
        <v>2128</v>
      </c>
      <c r="F772" s="31">
        <v>15000</v>
      </c>
      <c r="G772" s="45" t="s">
        <v>2129</v>
      </c>
      <c r="H772" s="45"/>
      <c r="I772" s="26" t="s">
        <v>2130</v>
      </c>
      <c r="J772" s="26" t="s">
        <v>7</v>
      </c>
    </row>
    <row r="773" spans="1:10" ht="33" x14ac:dyDescent="0.25">
      <c r="A773" s="1" t="s">
        <v>48</v>
      </c>
      <c r="B773" s="25" t="s">
        <v>150</v>
      </c>
      <c r="C773" s="25" t="s">
        <v>2131</v>
      </c>
      <c r="D773" s="27" t="s">
        <v>2127</v>
      </c>
      <c r="E773" s="27" t="s">
        <v>2132</v>
      </c>
      <c r="F773" s="31">
        <v>41120</v>
      </c>
      <c r="G773" s="45" t="s">
        <v>2133</v>
      </c>
      <c r="H773" s="45"/>
      <c r="I773" s="26" t="s">
        <v>607</v>
      </c>
      <c r="J773" s="26" t="s">
        <v>7</v>
      </c>
    </row>
    <row r="774" spans="1:10" ht="33" x14ac:dyDescent="0.25">
      <c r="A774" s="1" t="s">
        <v>48</v>
      </c>
      <c r="B774" s="25" t="s">
        <v>272</v>
      </c>
      <c r="C774" s="25" t="s">
        <v>2134</v>
      </c>
      <c r="D774" s="27" t="s">
        <v>2135</v>
      </c>
      <c r="E774" s="27" t="s">
        <v>2136</v>
      </c>
      <c r="F774" s="31">
        <v>88800</v>
      </c>
      <c r="G774" s="45" t="s">
        <v>2137</v>
      </c>
      <c r="H774" s="45"/>
      <c r="I774" s="26" t="s">
        <v>95</v>
      </c>
      <c r="J774" s="26" t="s">
        <v>7</v>
      </c>
    </row>
    <row r="775" spans="1:10" ht="33" x14ac:dyDescent="0.25">
      <c r="A775" s="1" t="s">
        <v>48</v>
      </c>
      <c r="B775" s="25" t="s">
        <v>314</v>
      </c>
      <c r="C775" s="25" t="s">
        <v>2138</v>
      </c>
      <c r="D775" s="27" t="s">
        <v>2139</v>
      </c>
      <c r="E775" s="27" t="s">
        <v>2140</v>
      </c>
      <c r="F775" s="31">
        <v>24050</v>
      </c>
      <c r="G775" s="45" t="s">
        <v>2141</v>
      </c>
      <c r="H775" s="45"/>
      <c r="I775" s="26" t="s">
        <v>67</v>
      </c>
      <c r="J775" s="26" t="s">
        <v>7</v>
      </c>
    </row>
    <row r="776" spans="1:10" ht="33" x14ac:dyDescent="0.25">
      <c r="A776" s="1" t="s">
        <v>48</v>
      </c>
      <c r="B776" s="25" t="s">
        <v>378</v>
      </c>
      <c r="C776" s="25" t="s">
        <v>2142</v>
      </c>
      <c r="D776" s="27" t="s">
        <v>2127</v>
      </c>
      <c r="E776" s="27" t="s">
        <v>2143</v>
      </c>
      <c r="F776" s="31">
        <v>15000</v>
      </c>
      <c r="G776" s="45" t="s">
        <v>2144</v>
      </c>
      <c r="H776" s="45"/>
      <c r="I776" s="26" t="s">
        <v>2145</v>
      </c>
      <c r="J776" s="26" t="s">
        <v>7</v>
      </c>
    </row>
    <row r="777" spans="1:10" ht="33" x14ac:dyDescent="0.25">
      <c r="A777" s="1" t="s">
        <v>48</v>
      </c>
      <c r="B777" s="25" t="s">
        <v>405</v>
      </c>
      <c r="C777" s="25" t="s">
        <v>2146</v>
      </c>
      <c r="D777" s="27" t="s">
        <v>2127</v>
      </c>
      <c r="E777" s="27" t="s">
        <v>2147</v>
      </c>
      <c r="F777" s="31">
        <v>20000</v>
      </c>
      <c r="G777" s="45" t="s">
        <v>2148</v>
      </c>
      <c r="H777" s="45"/>
      <c r="I777" s="26" t="s">
        <v>133</v>
      </c>
      <c r="J777" s="26" t="s">
        <v>7</v>
      </c>
    </row>
    <row r="778" spans="1:10" ht="33" x14ac:dyDescent="0.25">
      <c r="A778" s="1" t="s">
        <v>48</v>
      </c>
      <c r="B778" s="25" t="s">
        <v>445</v>
      </c>
      <c r="C778" s="25" t="s">
        <v>2149</v>
      </c>
      <c r="D778" s="27" t="s">
        <v>2127</v>
      </c>
      <c r="E778" s="27" t="s">
        <v>2150</v>
      </c>
      <c r="F778" s="31">
        <v>18186</v>
      </c>
      <c r="G778" s="45" t="s">
        <v>2151</v>
      </c>
      <c r="H778" s="45"/>
      <c r="I778" s="26" t="s">
        <v>607</v>
      </c>
      <c r="J778" s="26" t="s">
        <v>7</v>
      </c>
    </row>
    <row r="779" spans="1:10" ht="33" x14ac:dyDescent="0.25">
      <c r="A779" s="1" t="s">
        <v>48</v>
      </c>
      <c r="B779" s="25" t="s">
        <v>445</v>
      </c>
      <c r="C779" s="25" t="s">
        <v>2152</v>
      </c>
      <c r="D779" s="27" t="s">
        <v>2139</v>
      </c>
      <c r="E779" s="27" t="s">
        <v>2153</v>
      </c>
      <c r="F779" s="31">
        <v>51800</v>
      </c>
      <c r="G779" s="45" t="s">
        <v>2154</v>
      </c>
      <c r="H779" s="45"/>
      <c r="I779" s="26" t="s">
        <v>271</v>
      </c>
      <c r="J779" s="26" t="s">
        <v>7</v>
      </c>
    </row>
    <row r="780" spans="1:10" ht="33" x14ac:dyDescent="0.25">
      <c r="A780" s="1" t="s">
        <v>48</v>
      </c>
      <c r="B780" s="25" t="s">
        <v>445</v>
      </c>
      <c r="C780" s="25" t="s">
        <v>2155</v>
      </c>
      <c r="D780" s="27" t="s">
        <v>2156</v>
      </c>
      <c r="E780" s="27" t="s">
        <v>2157</v>
      </c>
      <c r="F780" s="31">
        <v>14000</v>
      </c>
      <c r="G780" s="45" t="s">
        <v>2158</v>
      </c>
      <c r="H780" s="45"/>
      <c r="I780" s="26" t="s">
        <v>2159</v>
      </c>
      <c r="J780" s="26" t="s">
        <v>7</v>
      </c>
    </row>
    <row r="781" spans="1:10" ht="33" x14ac:dyDescent="0.25">
      <c r="A781" s="1" t="s">
        <v>48</v>
      </c>
      <c r="B781" s="25" t="s">
        <v>1481</v>
      </c>
      <c r="C781" s="25" t="s">
        <v>2160</v>
      </c>
      <c r="D781" s="27" t="s">
        <v>2127</v>
      </c>
      <c r="E781" s="27" t="s">
        <v>2161</v>
      </c>
      <c r="F781" s="31">
        <v>15000</v>
      </c>
      <c r="G781" s="45" t="s">
        <v>2162</v>
      </c>
      <c r="H781" s="45"/>
      <c r="I781" s="26" t="s">
        <v>122</v>
      </c>
      <c r="J781" s="26" t="s">
        <v>7</v>
      </c>
    </row>
    <row r="782" spans="1:10" ht="33" x14ac:dyDescent="0.25">
      <c r="A782" s="1" t="s">
        <v>48</v>
      </c>
      <c r="B782" s="25" t="s">
        <v>503</v>
      </c>
      <c r="C782" s="25" t="s">
        <v>2163</v>
      </c>
      <c r="D782" s="27" t="s">
        <v>2127</v>
      </c>
      <c r="E782" s="27" t="s">
        <v>2164</v>
      </c>
      <c r="F782" s="31">
        <v>10000</v>
      </c>
      <c r="G782" s="45" t="s">
        <v>2165</v>
      </c>
      <c r="H782" s="45"/>
      <c r="I782" s="26" t="s">
        <v>118</v>
      </c>
      <c r="J782" s="26" t="s">
        <v>7</v>
      </c>
    </row>
    <row r="783" spans="1:10" x14ac:dyDescent="0.25">
      <c r="A783" s="1" t="s">
        <v>217</v>
      </c>
      <c r="B783" s="25" t="s">
        <v>521</v>
      </c>
      <c r="C783" s="25" t="s">
        <v>69</v>
      </c>
      <c r="D783" s="27" t="s">
        <v>7</v>
      </c>
      <c r="E783" s="27" t="s">
        <v>2166</v>
      </c>
      <c r="F783" s="31">
        <v>20000</v>
      </c>
      <c r="G783" s="45" t="s">
        <v>2167</v>
      </c>
      <c r="H783" s="45"/>
      <c r="I783" s="26" t="s">
        <v>76</v>
      </c>
      <c r="J783" s="26" t="s">
        <v>7</v>
      </c>
    </row>
    <row r="784" spans="1:10" x14ac:dyDescent="0.25">
      <c r="A784" s="1" t="s">
        <v>217</v>
      </c>
      <c r="B784" s="25" t="s">
        <v>638</v>
      </c>
      <c r="C784" s="25" t="s">
        <v>218</v>
      </c>
      <c r="D784" s="27" t="s">
        <v>7</v>
      </c>
      <c r="E784" s="27" t="s">
        <v>2168</v>
      </c>
      <c r="F784" s="31">
        <v>22200</v>
      </c>
      <c r="G784" s="45" t="s">
        <v>2169</v>
      </c>
      <c r="H784" s="45"/>
      <c r="I784" s="26" t="s">
        <v>2170</v>
      </c>
      <c r="J784" s="26" t="s">
        <v>7</v>
      </c>
    </row>
    <row r="785" spans="1:10" x14ac:dyDescent="0.25">
      <c r="A785" s="1" t="s">
        <v>217</v>
      </c>
      <c r="B785" s="25" t="s">
        <v>677</v>
      </c>
      <c r="C785" s="25" t="s">
        <v>218</v>
      </c>
      <c r="D785" s="27" t="s">
        <v>7</v>
      </c>
      <c r="E785" s="27" t="s">
        <v>2171</v>
      </c>
      <c r="F785" s="31">
        <v>20000</v>
      </c>
      <c r="G785" s="45" t="s">
        <v>2172</v>
      </c>
      <c r="H785" s="45"/>
      <c r="I785" s="26" t="s">
        <v>2173</v>
      </c>
      <c r="J785" s="26" t="s">
        <v>7</v>
      </c>
    </row>
    <row r="786" spans="1:10" ht="33" x14ac:dyDescent="0.25">
      <c r="A786" s="1" t="s">
        <v>48</v>
      </c>
      <c r="B786" s="25" t="s">
        <v>695</v>
      </c>
      <c r="C786" s="25" t="s">
        <v>2174</v>
      </c>
      <c r="D786" s="27" t="s">
        <v>2175</v>
      </c>
      <c r="E786" s="27" t="s">
        <v>2176</v>
      </c>
      <c r="F786" s="31">
        <v>27405</v>
      </c>
      <c r="G786" s="45" t="s">
        <v>2177</v>
      </c>
      <c r="H786" s="45"/>
      <c r="I786" s="26" t="s">
        <v>2178</v>
      </c>
      <c r="J786" s="26" t="s">
        <v>7</v>
      </c>
    </row>
    <row r="787" spans="1:10" ht="33" x14ac:dyDescent="0.25">
      <c r="A787" s="1" t="s">
        <v>217</v>
      </c>
      <c r="B787" s="25" t="s">
        <v>706</v>
      </c>
      <c r="C787" s="25" t="s">
        <v>69</v>
      </c>
      <c r="D787" s="27" t="s">
        <v>7</v>
      </c>
      <c r="E787" s="27" t="s">
        <v>2179</v>
      </c>
      <c r="F787" s="31">
        <v>10000</v>
      </c>
      <c r="G787" s="45" t="s">
        <v>2180</v>
      </c>
      <c r="H787" s="45"/>
      <c r="I787" s="26" t="s">
        <v>118</v>
      </c>
      <c r="J787" s="26" t="s">
        <v>7</v>
      </c>
    </row>
    <row r="788" spans="1:10" ht="33" x14ac:dyDescent="0.25">
      <c r="A788" s="1" t="s">
        <v>217</v>
      </c>
      <c r="B788" s="25" t="s">
        <v>2181</v>
      </c>
      <c r="C788" s="25" t="s">
        <v>69</v>
      </c>
      <c r="D788" s="27" t="s">
        <v>7</v>
      </c>
      <c r="E788" s="27" t="s">
        <v>2182</v>
      </c>
      <c r="F788" s="31">
        <v>18000</v>
      </c>
      <c r="G788" s="45" t="s">
        <v>2183</v>
      </c>
      <c r="H788" s="45"/>
      <c r="I788" s="26" t="s">
        <v>133</v>
      </c>
      <c r="J788" s="26" t="s">
        <v>7</v>
      </c>
    </row>
    <row r="789" spans="1:10" ht="33" x14ac:dyDescent="0.25">
      <c r="A789" s="1" t="s">
        <v>48</v>
      </c>
      <c r="B789" s="25" t="s">
        <v>726</v>
      </c>
      <c r="C789" s="25" t="s">
        <v>2184</v>
      </c>
      <c r="D789" s="27" t="s">
        <v>2139</v>
      </c>
      <c r="E789" s="27" t="s">
        <v>2185</v>
      </c>
      <c r="F789" s="31">
        <v>13000</v>
      </c>
      <c r="G789" s="45" t="s">
        <v>2186</v>
      </c>
      <c r="H789" s="45"/>
      <c r="I789" s="26" t="s">
        <v>54</v>
      </c>
      <c r="J789" s="26" t="s">
        <v>7</v>
      </c>
    </row>
    <row r="790" spans="1:10" ht="33" x14ac:dyDescent="0.25">
      <c r="A790" s="1" t="s">
        <v>217</v>
      </c>
      <c r="B790" s="25" t="s">
        <v>726</v>
      </c>
      <c r="C790" s="25" t="s">
        <v>218</v>
      </c>
      <c r="D790" s="27" t="s">
        <v>7</v>
      </c>
      <c r="E790" s="27" t="s">
        <v>2187</v>
      </c>
      <c r="F790" s="31">
        <v>10000</v>
      </c>
      <c r="G790" s="45" t="s">
        <v>2188</v>
      </c>
      <c r="H790" s="45"/>
      <c r="I790" s="26" t="s">
        <v>118</v>
      </c>
      <c r="J790" s="26" t="s">
        <v>7</v>
      </c>
    </row>
    <row r="791" spans="1:10" ht="33" x14ac:dyDescent="0.25">
      <c r="A791" s="1" t="s">
        <v>217</v>
      </c>
      <c r="B791" s="25" t="s">
        <v>743</v>
      </c>
      <c r="C791" s="25" t="s">
        <v>69</v>
      </c>
      <c r="D791" s="27" t="s">
        <v>7</v>
      </c>
      <c r="E791" s="27" t="s">
        <v>2189</v>
      </c>
      <c r="F791" s="31">
        <v>18000</v>
      </c>
      <c r="G791" s="45" t="s">
        <v>2190</v>
      </c>
      <c r="H791" s="45"/>
      <c r="I791" s="26" t="s">
        <v>133</v>
      </c>
      <c r="J791" s="26" t="s">
        <v>7</v>
      </c>
    </row>
    <row r="792" spans="1:10" ht="33" x14ac:dyDescent="0.25">
      <c r="A792" s="1" t="s">
        <v>48</v>
      </c>
      <c r="B792" s="25" t="s">
        <v>750</v>
      </c>
      <c r="C792" s="25" t="s">
        <v>2191</v>
      </c>
      <c r="D792" s="27" t="s">
        <v>2156</v>
      </c>
      <c r="E792" s="27" t="s">
        <v>2192</v>
      </c>
      <c r="F792" s="31">
        <v>30000</v>
      </c>
      <c r="G792" s="45" t="s">
        <v>2193</v>
      </c>
      <c r="H792" s="45"/>
      <c r="I792" s="26" t="s">
        <v>82</v>
      </c>
      <c r="J792" s="26" t="s">
        <v>7</v>
      </c>
    </row>
    <row r="793" spans="1:10" ht="33" x14ac:dyDescent="0.25">
      <c r="A793" s="1" t="s">
        <v>48</v>
      </c>
      <c r="B793" s="25" t="s">
        <v>750</v>
      </c>
      <c r="C793" s="25" t="s">
        <v>2194</v>
      </c>
      <c r="D793" s="27" t="s">
        <v>2156</v>
      </c>
      <c r="E793" s="27" t="s">
        <v>2195</v>
      </c>
      <c r="F793" s="31">
        <v>30000</v>
      </c>
      <c r="G793" s="45" t="s">
        <v>2196</v>
      </c>
      <c r="H793" s="45"/>
      <c r="I793" s="26" t="s">
        <v>82</v>
      </c>
      <c r="J793" s="26" t="s">
        <v>7</v>
      </c>
    </row>
    <row r="794" spans="1:10" ht="33" x14ac:dyDescent="0.25">
      <c r="A794" s="1" t="s">
        <v>48</v>
      </c>
      <c r="B794" s="25" t="s">
        <v>750</v>
      </c>
      <c r="C794" s="25" t="s">
        <v>2197</v>
      </c>
      <c r="D794" s="27" t="s">
        <v>2156</v>
      </c>
      <c r="E794" s="27" t="s">
        <v>2198</v>
      </c>
      <c r="F794" s="31">
        <v>30000</v>
      </c>
      <c r="G794" s="45" t="s">
        <v>2199</v>
      </c>
      <c r="H794" s="45"/>
      <c r="I794" s="26" t="s">
        <v>82</v>
      </c>
      <c r="J794" s="26" t="s">
        <v>7</v>
      </c>
    </row>
    <row r="795" spans="1:10" ht="33" x14ac:dyDescent="0.25">
      <c r="A795" s="1" t="s">
        <v>48</v>
      </c>
      <c r="B795" s="25" t="s">
        <v>750</v>
      </c>
      <c r="C795" s="25" t="s">
        <v>2200</v>
      </c>
      <c r="D795" s="27" t="s">
        <v>2156</v>
      </c>
      <c r="E795" s="27" t="s">
        <v>2201</v>
      </c>
      <c r="F795" s="31">
        <v>30000</v>
      </c>
      <c r="G795" s="45" t="s">
        <v>2202</v>
      </c>
      <c r="H795" s="45"/>
      <c r="I795" s="26" t="s">
        <v>82</v>
      </c>
      <c r="J795" s="26" t="s">
        <v>7</v>
      </c>
    </row>
    <row r="796" spans="1:10" ht="33" x14ac:dyDescent="0.25">
      <c r="A796" s="1" t="s">
        <v>48</v>
      </c>
      <c r="B796" s="25" t="s">
        <v>771</v>
      </c>
      <c r="C796" s="25" t="s">
        <v>2203</v>
      </c>
      <c r="D796" s="27" t="s">
        <v>2156</v>
      </c>
      <c r="E796" s="27" t="s">
        <v>2204</v>
      </c>
      <c r="F796" s="31">
        <v>28000</v>
      </c>
      <c r="G796" s="45" t="s">
        <v>2205</v>
      </c>
      <c r="H796" s="45"/>
      <c r="I796" s="26" t="s">
        <v>82</v>
      </c>
      <c r="J796" s="26" t="s">
        <v>7</v>
      </c>
    </row>
    <row r="797" spans="1:10" ht="33" x14ac:dyDescent="0.25">
      <c r="A797" s="1" t="s">
        <v>48</v>
      </c>
      <c r="B797" s="25" t="s">
        <v>771</v>
      </c>
      <c r="C797" s="25" t="s">
        <v>2206</v>
      </c>
      <c r="D797" s="27" t="s">
        <v>2156</v>
      </c>
      <c r="E797" s="27" t="s">
        <v>2207</v>
      </c>
      <c r="F797" s="31">
        <v>15000</v>
      </c>
      <c r="G797" s="45" t="s">
        <v>2208</v>
      </c>
      <c r="H797" s="45"/>
      <c r="I797" s="26" t="s">
        <v>54</v>
      </c>
      <c r="J797" s="26" t="s">
        <v>7</v>
      </c>
    </row>
    <row r="798" spans="1:10" x14ac:dyDescent="0.25">
      <c r="A798" s="1" t="s">
        <v>217</v>
      </c>
      <c r="B798" s="25" t="s">
        <v>785</v>
      </c>
      <c r="C798" s="25" t="s">
        <v>218</v>
      </c>
      <c r="D798" s="27" t="s">
        <v>7</v>
      </c>
      <c r="E798" s="27" t="s">
        <v>2209</v>
      </c>
      <c r="F798" s="31">
        <v>54805</v>
      </c>
      <c r="G798" s="45" t="s">
        <v>2210</v>
      </c>
      <c r="H798" s="45"/>
      <c r="I798" s="26" t="s">
        <v>103</v>
      </c>
      <c r="J798" s="26" t="s">
        <v>7</v>
      </c>
    </row>
    <row r="799" spans="1:10" x14ac:dyDescent="0.25">
      <c r="A799" s="1" t="s">
        <v>217</v>
      </c>
      <c r="B799" s="25" t="s">
        <v>805</v>
      </c>
      <c r="C799" s="25" t="s">
        <v>218</v>
      </c>
      <c r="D799" s="27" t="s">
        <v>7</v>
      </c>
      <c r="E799" s="27" t="s">
        <v>2211</v>
      </c>
      <c r="F799" s="31">
        <v>20000</v>
      </c>
      <c r="G799" s="45" t="s">
        <v>2212</v>
      </c>
      <c r="H799" s="45"/>
      <c r="I799" s="26" t="s">
        <v>2213</v>
      </c>
      <c r="J799" s="26" t="s">
        <v>7</v>
      </c>
    </row>
    <row r="800" spans="1:10" x14ac:dyDescent="0.25">
      <c r="A800" s="1" t="s">
        <v>217</v>
      </c>
      <c r="B800" s="25" t="s">
        <v>805</v>
      </c>
      <c r="C800" s="25" t="s">
        <v>218</v>
      </c>
      <c r="D800" s="27" t="s">
        <v>7</v>
      </c>
      <c r="E800" s="27" t="s">
        <v>2214</v>
      </c>
      <c r="F800" s="31">
        <v>34000</v>
      </c>
      <c r="G800" s="45" t="s">
        <v>2215</v>
      </c>
      <c r="H800" s="45"/>
      <c r="I800" s="26" t="s">
        <v>364</v>
      </c>
      <c r="J800" s="26" t="s">
        <v>7</v>
      </c>
    </row>
    <row r="801" spans="1:10" ht="33" x14ac:dyDescent="0.25">
      <c r="A801" s="1" t="s">
        <v>217</v>
      </c>
      <c r="B801" s="25" t="s">
        <v>805</v>
      </c>
      <c r="C801" s="25" t="s">
        <v>218</v>
      </c>
      <c r="D801" s="27" t="s">
        <v>7</v>
      </c>
      <c r="E801" s="27" t="s">
        <v>2216</v>
      </c>
      <c r="F801" s="31">
        <v>10000</v>
      </c>
      <c r="G801" s="45" t="s">
        <v>2217</v>
      </c>
      <c r="H801" s="45"/>
      <c r="I801" s="26" t="s">
        <v>118</v>
      </c>
      <c r="J801" s="26" t="s">
        <v>7</v>
      </c>
    </row>
    <row r="802" spans="1:10" ht="33" x14ac:dyDescent="0.25">
      <c r="A802" s="1" t="s">
        <v>48</v>
      </c>
      <c r="B802" s="25" t="s">
        <v>810</v>
      </c>
      <c r="C802" s="25" t="s">
        <v>2218</v>
      </c>
      <c r="D802" s="27" t="s">
        <v>2175</v>
      </c>
      <c r="E802" s="27" t="s">
        <v>2219</v>
      </c>
      <c r="F802" s="31">
        <v>12000</v>
      </c>
      <c r="G802" s="45" t="s">
        <v>2220</v>
      </c>
      <c r="H802" s="45"/>
      <c r="I802" s="26" t="s">
        <v>54</v>
      </c>
      <c r="J802" s="26" t="s">
        <v>7</v>
      </c>
    </row>
    <row r="803" spans="1:10" ht="33" x14ac:dyDescent="0.25">
      <c r="A803" s="1" t="s">
        <v>217</v>
      </c>
      <c r="B803" s="25" t="s">
        <v>810</v>
      </c>
      <c r="C803" s="25" t="s">
        <v>218</v>
      </c>
      <c r="D803" s="27" t="s">
        <v>7</v>
      </c>
      <c r="E803" s="27" t="s">
        <v>2221</v>
      </c>
      <c r="F803" s="31">
        <v>22750</v>
      </c>
      <c r="G803" s="45" t="s">
        <v>2222</v>
      </c>
      <c r="H803" s="45"/>
      <c r="I803" s="26" t="s">
        <v>213</v>
      </c>
      <c r="J803" s="26" t="s">
        <v>7</v>
      </c>
    </row>
    <row r="804" spans="1:10" ht="33" x14ac:dyDescent="0.25">
      <c r="A804" s="1" t="s">
        <v>217</v>
      </c>
      <c r="B804" s="25" t="s">
        <v>810</v>
      </c>
      <c r="C804" s="25" t="s">
        <v>218</v>
      </c>
      <c r="D804" s="27" t="s">
        <v>7</v>
      </c>
      <c r="E804" s="27" t="s">
        <v>2223</v>
      </c>
      <c r="F804" s="31">
        <v>25694</v>
      </c>
      <c r="G804" s="45" t="s">
        <v>2224</v>
      </c>
      <c r="H804" s="45"/>
      <c r="I804" s="26" t="s">
        <v>213</v>
      </c>
      <c r="J804" s="26" t="s">
        <v>7</v>
      </c>
    </row>
    <row r="805" spans="1:10" ht="33" x14ac:dyDescent="0.25">
      <c r="A805" s="1" t="s">
        <v>217</v>
      </c>
      <c r="B805" s="25" t="s">
        <v>810</v>
      </c>
      <c r="C805" s="25" t="s">
        <v>218</v>
      </c>
      <c r="D805" s="27" t="s">
        <v>7</v>
      </c>
      <c r="E805" s="27" t="s">
        <v>2225</v>
      </c>
      <c r="F805" s="31">
        <v>16857</v>
      </c>
      <c r="G805" s="45" t="s">
        <v>2226</v>
      </c>
      <c r="H805" s="45"/>
      <c r="I805" s="26" t="s">
        <v>213</v>
      </c>
      <c r="J805" s="26" t="s">
        <v>7</v>
      </c>
    </row>
    <row r="806" spans="1:10" ht="33" x14ac:dyDescent="0.25">
      <c r="A806" s="1" t="s">
        <v>48</v>
      </c>
      <c r="B806" s="25" t="s">
        <v>852</v>
      </c>
      <c r="C806" s="25" t="s">
        <v>2227</v>
      </c>
      <c r="D806" s="27" t="s">
        <v>2228</v>
      </c>
      <c r="E806" s="27" t="s">
        <v>2229</v>
      </c>
      <c r="F806" s="31">
        <v>6073</v>
      </c>
      <c r="G806" s="45" t="s">
        <v>2230</v>
      </c>
      <c r="H806" s="45"/>
      <c r="I806" s="26" t="s">
        <v>2231</v>
      </c>
      <c r="J806" s="26" t="s">
        <v>7</v>
      </c>
    </row>
    <row r="807" spans="1:10" ht="33" x14ac:dyDescent="0.25">
      <c r="A807" s="1" t="s">
        <v>48</v>
      </c>
      <c r="B807" s="25" t="s">
        <v>877</v>
      </c>
      <c r="C807" s="25" t="s">
        <v>2232</v>
      </c>
      <c r="D807" s="27" t="s">
        <v>2127</v>
      </c>
      <c r="E807" s="27" t="s">
        <v>2233</v>
      </c>
      <c r="F807" s="31">
        <v>10000</v>
      </c>
      <c r="G807" s="45" t="s">
        <v>2234</v>
      </c>
      <c r="H807" s="45"/>
      <c r="I807" s="26" t="s">
        <v>2235</v>
      </c>
      <c r="J807" s="26" t="s">
        <v>7</v>
      </c>
    </row>
    <row r="808" spans="1:10" ht="33" x14ac:dyDescent="0.25">
      <c r="A808" s="1" t="s">
        <v>48</v>
      </c>
      <c r="B808" s="25" t="s">
        <v>927</v>
      </c>
      <c r="C808" s="25" t="s">
        <v>2236</v>
      </c>
      <c r="D808" s="27" t="s">
        <v>2175</v>
      </c>
      <c r="E808" s="27" t="s">
        <v>2237</v>
      </c>
      <c r="F808" s="31">
        <v>25694</v>
      </c>
      <c r="G808" s="45" t="s">
        <v>2238</v>
      </c>
      <c r="H808" s="45"/>
      <c r="I808" s="26" t="s">
        <v>213</v>
      </c>
      <c r="J808" s="26" t="s">
        <v>7</v>
      </c>
    </row>
    <row r="809" spans="1:10" x14ac:dyDescent="0.25">
      <c r="A809" s="1" t="s">
        <v>217</v>
      </c>
      <c r="B809" s="25" t="s">
        <v>927</v>
      </c>
      <c r="C809" s="25" t="s">
        <v>218</v>
      </c>
      <c r="D809" s="27" t="s">
        <v>7</v>
      </c>
      <c r="E809" s="27" t="s">
        <v>2239</v>
      </c>
      <c r="F809" s="31">
        <v>59200</v>
      </c>
      <c r="G809" s="45" t="s">
        <v>2240</v>
      </c>
      <c r="H809" s="45"/>
      <c r="I809" s="26" t="s">
        <v>347</v>
      </c>
      <c r="J809" s="26" t="s">
        <v>7</v>
      </c>
    </row>
    <row r="810" spans="1:10" ht="33" x14ac:dyDescent="0.25">
      <c r="A810" s="1" t="s">
        <v>48</v>
      </c>
      <c r="B810" s="25" t="s">
        <v>933</v>
      </c>
      <c r="C810" s="25" t="s">
        <v>2241</v>
      </c>
      <c r="D810" s="27" t="s">
        <v>2175</v>
      </c>
      <c r="E810" s="27" t="s">
        <v>2242</v>
      </c>
      <c r="F810" s="31">
        <v>18000</v>
      </c>
      <c r="G810" s="45" t="s">
        <v>2243</v>
      </c>
      <c r="H810" s="45"/>
      <c r="I810" s="26" t="s">
        <v>133</v>
      </c>
      <c r="J810" s="26" t="s">
        <v>7</v>
      </c>
    </row>
    <row r="811" spans="1:10" x14ac:dyDescent="0.25">
      <c r="A811" s="1" t="s">
        <v>217</v>
      </c>
      <c r="B811" s="25" t="s">
        <v>939</v>
      </c>
      <c r="C811" s="25" t="s">
        <v>218</v>
      </c>
      <c r="D811" s="27" t="s">
        <v>7</v>
      </c>
      <c r="E811" s="27" t="s">
        <v>2244</v>
      </c>
      <c r="F811" s="31">
        <v>22200</v>
      </c>
      <c r="G811" s="45" t="s">
        <v>2245</v>
      </c>
      <c r="H811" s="45"/>
      <c r="I811" s="26" t="s">
        <v>2246</v>
      </c>
      <c r="J811" s="26" t="s">
        <v>7</v>
      </c>
    </row>
    <row r="812" spans="1:10" ht="33" x14ac:dyDescent="0.25">
      <c r="A812" s="1" t="s">
        <v>217</v>
      </c>
      <c r="B812" s="25" t="s">
        <v>939</v>
      </c>
      <c r="C812" s="25" t="s">
        <v>218</v>
      </c>
      <c r="D812" s="27" t="s">
        <v>7</v>
      </c>
      <c r="E812" s="27" t="s">
        <v>2247</v>
      </c>
      <c r="F812" s="31">
        <v>10000</v>
      </c>
      <c r="G812" s="45" t="s">
        <v>2248</v>
      </c>
      <c r="H812" s="45"/>
      <c r="I812" s="26" t="s">
        <v>118</v>
      </c>
      <c r="J812" s="26" t="s">
        <v>7</v>
      </c>
    </row>
    <row r="813" spans="1:10" ht="33" x14ac:dyDescent="0.25">
      <c r="A813" s="1" t="s">
        <v>217</v>
      </c>
      <c r="B813" s="25" t="s">
        <v>939</v>
      </c>
      <c r="C813" s="25" t="s">
        <v>218</v>
      </c>
      <c r="D813" s="27" t="s">
        <v>7</v>
      </c>
      <c r="E813" s="27" t="s">
        <v>2249</v>
      </c>
      <c r="F813" s="31">
        <v>27000</v>
      </c>
      <c r="G813" s="45" t="s">
        <v>2250</v>
      </c>
      <c r="H813" s="45"/>
      <c r="I813" s="26" t="s">
        <v>62</v>
      </c>
      <c r="J813" s="26" t="s">
        <v>7</v>
      </c>
    </row>
    <row r="814" spans="1:10" ht="33" x14ac:dyDescent="0.25">
      <c r="A814" s="1" t="s">
        <v>48</v>
      </c>
      <c r="B814" s="25" t="s">
        <v>947</v>
      </c>
      <c r="C814" s="25" t="s">
        <v>2251</v>
      </c>
      <c r="D814" s="27" t="s">
        <v>2127</v>
      </c>
      <c r="E814" s="27" t="s">
        <v>2252</v>
      </c>
      <c r="F814" s="31">
        <v>14000</v>
      </c>
      <c r="G814" s="45" t="s">
        <v>2253</v>
      </c>
      <c r="H814" s="45"/>
      <c r="I814" s="26" t="s">
        <v>118</v>
      </c>
      <c r="J814" s="26" t="s">
        <v>7</v>
      </c>
    </row>
    <row r="815" spans="1:10" x14ac:dyDescent="0.25">
      <c r="A815" s="1" t="s">
        <v>217</v>
      </c>
      <c r="B815" s="25" t="s">
        <v>965</v>
      </c>
      <c r="C815" s="25" t="s">
        <v>218</v>
      </c>
      <c r="D815" s="27" t="s">
        <v>7</v>
      </c>
      <c r="E815" s="27" t="s">
        <v>2254</v>
      </c>
      <c r="F815" s="31">
        <v>20000</v>
      </c>
      <c r="G815" s="45" t="s">
        <v>2255</v>
      </c>
      <c r="H815" s="45"/>
      <c r="I815" s="26" t="s">
        <v>364</v>
      </c>
      <c r="J815" s="26" t="s">
        <v>7</v>
      </c>
    </row>
    <row r="816" spans="1:10" x14ac:dyDescent="0.25">
      <c r="A816" s="1" t="s">
        <v>217</v>
      </c>
      <c r="B816" s="25" t="s">
        <v>965</v>
      </c>
      <c r="C816" s="25" t="s">
        <v>218</v>
      </c>
      <c r="D816" s="27" t="s">
        <v>7</v>
      </c>
      <c r="E816" s="27" t="s">
        <v>2256</v>
      </c>
      <c r="F816" s="31">
        <v>20000</v>
      </c>
      <c r="G816" s="45" t="s">
        <v>2257</v>
      </c>
      <c r="H816" s="45"/>
      <c r="I816" s="26" t="s">
        <v>364</v>
      </c>
      <c r="J816" s="26" t="s">
        <v>7</v>
      </c>
    </row>
    <row r="817" spans="1:10" x14ac:dyDescent="0.25">
      <c r="A817" s="1" t="s">
        <v>217</v>
      </c>
      <c r="B817" s="25" t="s">
        <v>965</v>
      </c>
      <c r="C817" s="25" t="s">
        <v>218</v>
      </c>
      <c r="D817" s="27" t="s">
        <v>7</v>
      </c>
      <c r="E817" s="27" t="s">
        <v>2258</v>
      </c>
      <c r="F817" s="31">
        <v>15000</v>
      </c>
      <c r="G817" s="45" t="s">
        <v>2259</v>
      </c>
      <c r="H817" s="45"/>
      <c r="I817" s="26" t="s">
        <v>122</v>
      </c>
      <c r="J817" s="26" t="s">
        <v>7</v>
      </c>
    </row>
    <row r="818" spans="1:10" x14ac:dyDescent="0.25">
      <c r="A818" s="1" t="s">
        <v>217</v>
      </c>
      <c r="B818" s="25" t="s">
        <v>977</v>
      </c>
      <c r="C818" s="25" t="s">
        <v>218</v>
      </c>
      <c r="D818" s="27" t="s">
        <v>7</v>
      </c>
      <c r="E818" s="27" t="s">
        <v>2260</v>
      </c>
      <c r="F818" s="31">
        <v>14000</v>
      </c>
      <c r="G818" s="45" t="s">
        <v>7</v>
      </c>
      <c r="H818" s="45"/>
      <c r="I818" s="26" t="s">
        <v>122</v>
      </c>
      <c r="J818" s="26" t="s">
        <v>7</v>
      </c>
    </row>
    <row r="819" spans="1:10" x14ac:dyDescent="0.25">
      <c r="B819" s="28" t="s">
        <v>44</v>
      </c>
      <c r="C819" s="45" t="s">
        <v>2261</v>
      </c>
      <c r="D819" s="46"/>
      <c r="E819" s="47"/>
      <c r="F819" s="48"/>
      <c r="G819" s="45"/>
      <c r="H819" s="45"/>
      <c r="I819" s="45"/>
      <c r="J819" s="45"/>
    </row>
    <row r="820" spans="1:10" x14ac:dyDescent="0.25">
      <c r="A820" s="24" t="s">
        <v>28</v>
      </c>
      <c r="B820" s="21"/>
      <c r="C820" s="21"/>
      <c r="D820" s="29"/>
      <c r="E820" s="30"/>
      <c r="F820" s="23"/>
      <c r="G820" s="22"/>
      <c r="H820" s="22"/>
      <c r="I820" s="22"/>
      <c r="J820" s="22"/>
    </row>
    <row r="821" spans="1:10" x14ac:dyDescent="0.25">
      <c r="B821" s="28" t="s">
        <v>44</v>
      </c>
      <c r="C821" s="45" t="s">
        <v>2262</v>
      </c>
      <c r="D821" s="46"/>
      <c r="E821" s="47"/>
      <c r="F821" s="48"/>
      <c r="G821" s="45"/>
      <c r="H821" s="45"/>
      <c r="I821" s="45"/>
      <c r="J821" s="45"/>
    </row>
    <row r="822" spans="1:10" x14ac:dyDescent="0.25">
      <c r="A822" s="24" t="s">
        <v>29</v>
      </c>
      <c r="B822" s="21"/>
      <c r="C822" s="21"/>
      <c r="D822" s="29"/>
      <c r="E822" s="30"/>
      <c r="F822" s="23"/>
      <c r="G822" s="22"/>
      <c r="H822" s="22"/>
      <c r="I822" s="22"/>
      <c r="J822" s="22"/>
    </row>
    <row r="823" spans="1:10" ht="33" x14ac:dyDescent="0.25">
      <c r="A823" s="1" t="s">
        <v>48</v>
      </c>
      <c r="B823" s="25" t="s">
        <v>104</v>
      </c>
      <c r="C823" s="25" t="s">
        <v>2263</v>
      </c>
      <c r="D823" s="27" t="s">
        <v>146</v>
      </c>
      <c r="E823" s="27" t="s">
        <v>2264</v>
      </c>
      <c r="F823" s="31">
        <v>44000</v>
      </c>
      <c r="G823" s="45" t="s">
        <v>1041</v>
      </c>
      <c r="H823" s="45"/>
      <c r="I823" s="26" t="s">
        <v>271</v>
      </c>
      <c r="J823" s="26" t="s">
        <v>7</v>
      </c>
    </row>
    <row r="824" spans="1:10" x14ac:dyDescent="0.25">
      <c r="A824" s="1" t="s">
        <v>217</v>
      </c>
      <c r="B824" s="25" t="s">
        <v>2265</v>
      </c>
      <c r="C824" s="25" t="s">
        <v>218</v>
      </c>
      <c r="D824" s="27" t="s">
        <v>7</v>
      </c>
      <c r="E824" s="27" t="s">
        <v>2266</v>
      </c>
      <c r="F824" s="31">
        <v>115415</v>
      </c>
      <c r="G824" s="45" t="s">
        <v>2267</v>
      </c>
      <c r="H824" s="45"/>
      <c r="I824" s="26" t="s">
        <v>2268</v>
      </c>
      <c r="J824" s="26" t="s">
        <v>7</v>
      </c>
    </row>
    <row r="825" spans="1:10" ht="33" x14ac:dyDescent="0.25">
      <c r="A825" s="1" t="s">
        <v>48</v>
      </c>
      <c r="B825" s="25" t="s">
        <v>221</v>
      </c>
      <c r="C825" s="25" t="s">
        <v>2269</v>
      </c>
      <c r="D825" s="27" t="s">
        <v>146</v>
      </c>
      <c r="E825" s="27" t="s">
        <v>2270</v>
      </c>
      <c r="F825" s="31">
        <v>117810</v>
      </c>
      <c r="G825" s="45" t="s">
        <v>2271</v>
      </c>
      <c r="H825" s="45"/>
      <c r="I825" s="26" t="s">
        <v>400</v>
      </c>
      <c r="J825" s="26" t="s">
        <v>7</v>
      </c>
    </row>
    <row r="826" spans="1:10" x14ac:dyDescent="0.25">
      <c r="A826" s="1" t="s">
        <v>22</v>
      </c>
      <c r="B826" s="25" t="s">
        <v>321</v>
      </c>
      <c r="C826" s="25" t="s">
        <v>69</v>
      </c>
      <c r="D826" s="27" t="s">
        <v>7</v>
      </c>
      <c r="E826" s="27" t="s">
        <v>2272</v>
      </c>
      <c r="F826" s="31">
        <v>280000</v>
      </c>
      <c r="G826" s="45" t="s">
        <v>2273</v>
      </c>
      <c r="H826" s="45"/>
      <c r="I826" s="26" t="s">
        <v>775</v>
      </c>
      <c r="J826" s="26" t="s">
        <v>7</v>
      </c>
    </row>
    <row r="827" spans="1:10" ht="33" x14ac:dyDescent="0.25">
      <c r="A827" s="1" t="s">
        <v>22</v>
      </c>
      <c r="B827" s="25" t="s">
        <v>2274</v>
      </c>
      <c r="C827" s="25" t="s">
        <v>69</v>
      </c>
      <c r="D827" s="27" t="s">
        <v>7</v>
      </c>
      <c r="E827" s="27" t="s">
        <v>2275</v>
      </c>
      <c r="F827" s="31">
        <v>450000</v>
      </c>
      <c r="G827" s="45" t="s">
        <v>2276</v>
      </c>
      <c r="H827" s="45"/>
      <c r="I827" s="26" t="s">
        <v>547</v>
      </c>
      <c r="J827" s="26" t="s">
        <v>7</v>
      </c>
    </row>
    <row r="828" spans="1:10" ht="33" x14ac:dyDescent="0.25">
      <c r="A828" s="1" t="s">
        <v>48</v>
      </c>
      <c r="B828" s="25" t="s">
        <v>490</v>
      </c>
      <c r="C828" s="25" t="s">
        <v>2277</v>
      </c>
      <c r="D828" s="27" t="s">
        <v>146</v>
      </c>
      <c r="E828" s="27" t="s">
        <v>2278</v>
      </c>
      <c r="F828" s="31">
        <v>420000</v>
      </c>
      <c r="G828" s="45" t="s">
        <v>2279</v>
      </c>
      <c r="H828" s="45"/>
      <c r="I828" s="26" t="s">
        <v>7</v>
      </c>
      <c r="J828" s="26" t="s">
        <v>7</v>
      </c>
    </row>
    <row r="829" spans="1:10" ht="33" x14ac:dyDescent="0.25">
      <c r="A829" s="1" t="s">
        <v>48</v>
      </c>
      <c r="B829" s="25" t="s">
        <v>490</v>
      </c>
      <c r="C829" s="25" t="s">
        <v>2280</v>
      </c>
      <c r="D829" s="27" t="s">
        <v>146</v>
      </c>
      <c r="E829" s="27" t="s">
        <v>2281</v>
      </c>
      <c r="F829" s="31">
        <v>10290</v>
      </c>
      <c r="G829" s="45" t="s">
        <v>2282</v>
      </c>
      <c r="H829" s="45"/>
      <c r="I829" s="26" t="s">
        <v>1248</v>
      </c>
      <c r="J829" s="26" t="s">
        <v>7</v>
      </c>
    </row>
    <row r="830" spans="1:10" x14ac:dyDescent="0.25">
      <c r="A830" s="1" t="s">
        <v>22</v>
      </c>
      <c r="B830" s="25" t="s">
        <v>551</v>
      </c>
      <c r="C830" s="25" t="s">
        <v>69</v>
      </c>
      <c r="D830" s="27" t="s">
        <v>7</v>
      </c>
      <c r="E830" s="27" t="s">
        <v>2283</v>
      </c>
      <c r="F830" s="31">
        <v>480000</v>
      </c>
      <c r="G830" s="45" t="s">
        <v>2284</v>
      </c>
      <c r="H830" s="45"/>
      <c r="I830" s="26" t="s">
        <v>122</v>
      </c>
      <c r="J830" s="26" t="s">
        <v>7</v>
      </c>
    </row>
    <row r="831" spans="1:10" ht="33" x14ac:dyDescent="0.25">
      <c r="A831" s="1" t="s">
        <v>48</v>
      </c>
      <c r="B831" s="25" t="s">
        <v>1624</v>
      </c>
      <c r="C831" s="25" t="s">
        <v>2285</v>
      </c>
      <c r="D831" s="27" t="s">
        <v>146</v>
      </c>
      <c r="E831" s="27" t="s">
        <v>2286</v>
      </c>
      <c r="F831" s="31">
        <v>10188</v>
      </c>
      <c r="G831" s="45" t="s">
        <v>2287</v>
      </c>
      <c r="H831" s="45"/>
      <c r="I831" s="26" t="s">
        <v>1248</v>
      </c>
      <c r="J831" s="26" t="s">
        <v>7</v>
      </c>
    </row>
    <row r="832" spans="1:10" ht="33" x14ac:dyDescent="0.25">
      <c r="A832" s="1" t="s">
        <v>48</v>
      </c>
      <c r="B832" s="25" t="s">
        <v>572</v>
      </c>
      <c r="C832" s="25" t="s">
        <v>2288</v>
      </c>
      <c r="D832" s="27" t="s">
        <v>146</v>
      </c>
      <c r="E832" s="27" t="s">
        <v>2289</v>
      </c>
      <c r="F832" s="31">
        <v>72000</v>
      </c>
      <c r="G832" s="45" t="s">
        <v>2290</v>
      </c>
      <c r="H832" s="45"/>
      <c r="I832" s="26" t="s">
        <v>1702</v>
      </c>
      <c r="J832" s="26" t="s">
        <v>7</v>
      </c>
    </row>
    <row r="833" spans="1:10" ht="33" x14ac:dyDescent="0.25">
      <c r="A833" s="1" t="s">
        <v>48</v>
      </c>
      <c r="B833" s="25" t="s">
        <v>601</v>
      </c>
      <c r="C833" s="25" t="s">
        <v>2291</v>
      </c>
      <c r="D833" s="27" t="s">
        <v>146</v>
      </c>
      <c r="E833" s="27" t="s">
        <v>2292</v>
      </c>
      <c r="F833" s="31">
        <v>210000</v>
      </c>
      <c r="G833" s="45" t="s">
        <v>2293</v>
      </c>
      <c r="H833" s="45"/>
      <c r="I833" s="26" t="s">
        <v>95</v>
      </c>
      <c r="J833" s="26" t="s">
        <v>7</v>
      </c>
    </row>
    <row r="834" spans="1:10" ht="33" x14ac:dyDescent="0.25">
      <c r="A834" s="1" t="s">
        <v>48</v>
      </c>
      <c r="B834" s="25" t="s">
        <v>615</v>
      </c>
      <c r="C834" s="25" t="s">
        <v>2294</v>
      </c>
      <c r="D834" s="27" t="s">
        <v>146</v>
      </c>
      <c r="E834" s="27" t="s">
        <v>2295</v>
      </c>
      <c r="F834" s="31">
        <v>721810</v>
      </c>
      <c r="G834" s="45" t="s">
        <v>2296</v>
      </c>
      <c r="H834" s="45"/>
      <c r="I834" s="26" t="s">
        <v>7</v>
      </c>
      <c r="J834" s="26" t="s">
        <v>7</v>
      </c>
    </row>
    <row r="835" spans="1:10" ht="33" x14ac:dyDescent="0.25">
      <c r="A835" s="1" t="s">
        <v>217</v>
      </c>
      <c r="B835" s="25" t="s">
        <v>643</v>
      </c>
      <c r="C835" s="25" t="s">
        <v>69</v>
      </c>
      <c r="D835" s="27" t="s">
        <v>7</v>
      </c>
      <c r="E835" s="27" t="s">
        <v>2297</v>
      </c>
      <c r="F835" s="31">
        <v>17000</v>
      </c>
      <c r="G835" s="45" t="s">
        <v>2298</v>
      </c>
      <c r="H835" s="45"/>
      <c r="I835" s="26" t="s">
        <v>1524</v>
      </c>
      <c r="J835" s="26" t="s">
        <v>7</v>
      </c>
    </row>
    <row r="836" spans="1:10" ht="33" x14ac:dyDescent="0.25">
      <c r="A836" s="1" t="s">
        <v>48</v>
      </c>
      <c r="B836" s="25" t="s">
        <v>695</v>
      </c>
      <c r="C836" s="25" t="s">
        <v>2299</v>
      </c>
      <c r="D836" s="27" t="s">
        <v>146</v>
      </c>
      <c r="E836" s="27" t="s">
        <v>2300</v>
      </c>
      <c r="F836" s="31">
        <v>115208</v>
      </c>
      <c r="G836" s="45" t="s">
        <v>2301</v>
      </c>
      <c r="H836" s="45"/>
      <c r="I836" s="26" t="s">
        <v>335</v>
      </c>
      <c r="J836" s="26" t="s">
        <v>7</v>
      </c>
    </row>
    <row r="837" spans="1:10" x14ac:dyDescent="0.25">
      <c r="A837" s="1" t="s">
        <v>217</v>
      </c>
      <c r="B837" s="25" t="s">
        <v>700</v>
      </c>
      <c r="C837" s="25" t="s">
        <v>218</v>
      </c>
      <c r="D837" s="27" t="s">
        <v>7</v>
      </c>
      <c r="E837" s="27" t="s">
        <v>2302</v>
      </c>
      <c r="F837" s="31">
        <v>56301</v>
      </c>
      <c r="G837" s="45" t="s">
        <v>2303</v>
      </c>
      <c r="H837" s="45"/>
      <c r="I837" s="26" t="s">
        <v>2304</v>
      </c>
      <c r="J837" s="26" t="s">
        <v>7</v>
      </c>
    </row>
    <row r="838" spans="1:10" ht="33" x14ac:dyDescent="0.25">
      <c r="A838" s="1" t="s">
        <v>48</v>
      </c>
      <c r="B838" s="25" t="s">
        <v>726</v>
      </c>
      <c r="C838" s="25" t="s">
        <v>2305</v>
      </c>
      <c r="D838" s="27" t="s">
        <v>146</v>
      </c>
      <c r="E838" s="27" t="s">
        <v>2306</v>
      </c>
      <c r="F838" s="31">
        <v>40000</v>
      </c>
      <c r="G838" s="45" t="s">
        <v>2307</v>
      </c>
      <c r="H838" s="45"/>
      <c r="I838" s="26" t="s">
        <v>82</v>
      </c>
      <c r="J838" s="26" t="s">
        <v>7</v>
      </c>
    </row>
    <row r="839" spans="1:10" ht="33" x14ac:dyDescent="0.25">
      <c r="A839" s="1" t="s">
        <v>48</v>
      </c>
      <c r="B839" s="25" t="s">
        <v>726</v>
      </c>
      <c r="C839" s="25" t="s">
        <v>2308</v>
      </c>
      <c r="D839" s="27" t="s">
        <v>146</v>
      </c>
      <c r="E839" s="27" t="s">
        <v>2309</v>
      </c>
      <c r="F839" s="31">
        <v>137000</v>
      </c>
      <c r="G839" s="45" t="s">
        <v>2310</v>
      </c>
      <c r="H839" s="45"/>
      <c r="I839" s="26" t="s">
        <v>400</v>
      </c>
      <c r="J839" s="26" t="s">
        <v>7</v>
      </c>
    </row>
    <row r="840" spans="1:10" ht="33" x14ac:dyDescent="0.25">
      <c r="A840" s="1" t="s">
        <v>48</v>
      </c>
      <c r="B840" s="25" t="s">
        <v>726</v>
      </c>
      <c r="C840" s="25" t="s">
        <v>2311</v>
      </c>
      <c r="D840" s="27" t="s">
        <v>146</v>
      </c>
      <c r="E840" s="27" t="s">
        <v>2312</v>
      </c>
      <c r="F840" s="31">
        <v>40000</v>
      </c>
      <c r="G840" s="45" t="s">
        <v>2313</v>
      </c>
      <c r="H840" s="45"/>
      <c r="I840" s="26" t="s">
        <v>1121</v>
      </c>
      <c r="J840" s="26" t="s">
        <v>7</v>
      </c>
    </row>
    <row r="841" spans="1:10" ht="33" x14ac:dyDescent="0.25">
      <c r="A841" s="1" t="s">
        <v>48</v>
      </c>
      <c r="B841" s="25" t="s">
        <v>726</v>
      </c>
      <c r="C841" s="25" t="s">
        <v>2314</v>
      </c>
      <c r="D841" s="27" t="s">
        <v>146</v>
      </c>
      <c r="E841" s="27" t="s">
        <v>2315</v>
      </c>
      <c r="F841" s="31">
        <v>35000</v>
      </c>
      <c r="G841" s="45" t="s">
        <v>2316</v>
      </c>
      <c r="H841" s="45"/>
      <c r="I841" s="26" t="s">
        <v>1121</v>
      </c>
      <c r="J841" s="26" t="s">
        <v>7</v>
      </c>
    </row>
    <row r="842" spans="1:10" ht="33" x14ac:dyDescent="0.25">
      <c r="A842" s="1" t="s">
        <v>48</v>
      </c>
      <c r="B842" s="25" t="s">
        <v>890</v>
      </c>
      <c r="C842" s="25" t="s">
        <v>2317</v>
      </c>
      <c r="D842" s="27" t="s">
        <v>146</v>
      </c>
      <c r="E842" s="27" t="s">
        <v>2318</v>
      </c>
      <c r="F842" s="31">
        <v>148800</v>
      </c>
      <c r="G842" s="45" t="s">
        <v>2319</v>
      </c>
      <c r="H842" s="45"/>
      <c r="I842" s="26" t="s">
        <v>400</v>
      </c>
      <c r="J842" s="26" t="s">
        <v>7</v>
      </c>
    </row>
    <row r="843" spans="1:10" ht="33" x14ac:dyDescent="0.25">
      <c r="A843" s="1" t="s">
        <v>22</v>
      </c>
      <c r="B843" s="25" t="s">
        <v>890</v>
      </c>
      <c r="C843" s="25" t="s">
        <v>218</v>
      </c>
      <c r="D843" s="27" t="s">
        <v>7</v>
      </c>
      <c r="E843" s="27" t="s">
        <v>2320</v>
      </c>
      <c r="F843" s="31">
        <v>483000</v>
      </c>
      <c r="G843" s="45" t="s">
        <v>2321</v>
      </c>
      <c r="H843" s="45"/>
      <c r="I843" s="26" t="s">
        <v>1524</v>
      </c>
      <c r="J843" s="26" t="s">
        <v>7</v>
      </c>
    </row>
    <row r="844" spans="1:10" ht="33" x14ac:dyDescent="0.25">
      <c r="A844" s="1" t="s">
        <v>48</v>
      </c>
      <c r="B844" s="25" t="s">
        <v>933</v>
      </c>
      <c r="C844" s="25" t="s">
        <v>2322</v>
      </c>
      <c r="D844" s="27" t="s">
        <v>146</v>
      </c>
      <c r="E844" s="27" t="s">
        <v>2323</v>
      </c>
      <c r="F844" s="31">
        <v>750000</v>
      </c>
      <c r="G844" s="45" t="s">
        <v>2324</v>
      </c>
      <c r="H844" s="45"/>
      <c r="I844" s="26" t="s">
        <v>225</v>
      </c>
      <c r="J844" s="26" t="s">
        <v>7</v>
      </c>
    </row>
    <row r="845" spans="1:10" x14ac:dyDescent="0.25">
      <c r="A845" s="1" t="s">
        <v>217</v>
      </c>
      <c r="B845" s="25" t="s">
        <v>933</v>
      </c>
      <c r="C845" s="25" t="s">
        <v>218</v>
      </c>
      <c r="D845" s="27" t="s">
        <v>7</v>
      </c>
      <c r="E845" s="27" t="s">
        <v>2325</v>
      </c>
      <c r="F845" s="31">
        <v>145412</v>
      </c>
      <c r="G845" s="45" t="s">
        <v>2326</v>
      </c>
      <c r="H845" s="45"/>
      <c r="I845" s="26" t="s">
        <v>400</v>
      </c>
      <c r="J845" s="26" t="s">
        <v>7</v>
      </c>
    </row>
    <row r="846" spans="1:10" ht="33" x14ac:dyDescent="0.25">
      <c r="A846" s="1" t="s">
        <v>48</v>
      </c>
      <c r="B846" s="25" t="s">
        <v>947</v>
      </c>
      <c r="C846" s="25" t="s">
        <v>2327</v>
      </c>
      <c r="D846" s="27" t="s">
        <v>146</v>
      </c>
      <c r="E846" s="27" t="s">
        <v>2328</v>
      </c>
      <c r="F846" s="31">
        <v>418600</v>
      </c>
      <c r="G846" s="45" t="s">
        <v>2329</v>
      </c>
      <c r="H846" s="45"/>
      <c r="I846" s="26" t="s">
        <v>7</v>
      </c>
      <c r="J846" s="26" t="s">
        <v>7</v>
      </c>
    </row>
    <row r="847" spans="1:10" x14ac:dyDescent="0.25">
      <c r="A847" s="1" t="s">
        <v>22</v>
      </c>
      <c r="B847" s="25" t="s">
        <v>965</v>
      </c>
      <c r="C847" s="25" t="s">
        <v>218</v>
      </c>
      <c r="D847" s="27" t="s">
        <v>7</v>
      </c>
      <c r="E847" s="27" t="s">
        <v>2330</v>
      </c>
      <c r="F847" s="31">
        <v>1255000</v>
      </c>
      <c r="G847" s="45" t="s">
        <v>2331</v>
      </c>
      <c r="H847" s="45"/>
      <c r="I847" s="26" t="s">
        <v>82</v>
      </c>
      <c r="J847" s="26" t="s">
        <v>7</v>
      </c>
    </row>
    <row r="848" spans="1:10" x14ac:dyDescent="0.25">
      <c r="B848" s="28" t="s">
        <v>44</v>
      </c>
      <c r="C848" s="45" t="s">
        <v>2332</v>
      </c>
      <c r="D848" s="46"/>
      <c r="E848" s="47"/>
      <c r="F848" s="48"/>
      <c r="G848" s="45"/>
      <c r="H848" s="45"/>
      <c r="I848" s="45"/>
      <c r="J848" s="45"/>
    </row>
    <row r="849" spans="1:10" x14ac:dyDescent="0.25">
      <c r="A849" s="24" t="s">
        <v>2333</v>
      </c>
      <c r="B849" s="21"/>
      <c r="C849" s="21"/>
      <c r="D849" s="29"/>
      <c r="E849" s="30"/>
      <c r="F849" s="23"/>
      <c r="G849" s="22"/>
      <c r="H849" s="22"/>
      <c r="I849" s="22"/>
      <c r="J849" s="22"/>
    </row>
    <row r="850" spans="1:10" x14ac:dyDescent="0.25">
      <c r="B850" s="28" t="s">
        <v>44</v>
      </c>
      <c r="C850" s="45" t="s">
        <v>2334</v>
      </c>
      <c r="D850" s="46"/>
      <c r="E850" s="47"/>
      <c r="F850" s="48"/>
      <c r="G850" s="45"/>
      <c r="H850" s="45"/>
      <c r="I850" s="45"/>
      <c r="J850" s="45"/>
    </row>
  </sheetData>
  <mergeCells count="840">
    <mergeCell ref="C848:J848"/>
    <mergeCell ref="C850:J850"/>
    <mergeCell ref="G843:H843"/>
    <mergeCell ref="G844:H844"/>
    <mergeCell ref="G845:H845"/>
    <mergeCell ref="G846:H846"/>
    <mergeCell ref="G847:H847"/>
    <mergeCell ref="G838:H838"/>
    <mergeCell ref="G839:H839"/>
    <mergeCell ref="G840:H840"/>
    <mergeCell ref="G841:H841"/>
    <mergeCell ref="G842:H842"/>
    <mergeCell ref="G833:H833"/>
    <mergeCell ref="G834:H834"/>
    <mergeCell ref="G835:H835"/>
    <mergeCell ref="G836:H836"/>
    <mergeCell ref="G837:H837"/>
    <mergeCell ref="G828:H828"/>
    <mergeCell ref="G829:H829"/>
    <mergeCell ref="G830:H830"/>
    <mergeCell ref="G831:H831"/>
    <mergeCell ref="G832:H832"/>
    <mergeCell ref="G823:H823"/>
    <mergeCell ref="G824:H824"/>
    <mergeCell ref="G825:H825"/>
    <mergeCell ref="G826:H826"/>
    <mergeCell ref="G827:H827"/>
    <mergeCell ref="G816:H816"/>
    <mergeCell ref="G817:H817"/>
    <mergeCell ref="G818:H818"/>
    <mergeCell ref="C819:J819"/>
    <mergeCell ref="C821:J821"/>
    <mergeCell ref="G811:H811"/>
    <mergeCell ref="G812:H812"/>
    <mergeCell ref="G813:H813"/>
    <mergeCell ref="G814:H814"/>
    <mergeCell ref="G815:H815"/>
    <mergeCell ref="G806:H806"/>
    <mergeCell ref="G807:H807"/>
    <mergeCell ref="G808:H808"/>
    <mergeCell ref="G809:H809"/>
    <mergeCell ref="G810:H810"/>
    <mergeCell ref="G801:H801"/>
    <mergeCell ref="G802:H802"/>
    <mergeCell ref="G803:H803"/>
    <mergeCell ref="G804:H804"/>
    <mergeCell ref="G805:H805"/>
    <mergeCell ref="G796:H796"/>
    <mergeCell ref="G797:H797"/>
    <mergeCell ref="G798:H798"/>
    <mergeCell ref="G799:H799"/>
    <mergeCell ref="G800:H800"/>
    <mergeCell ref="G791:H791"/>
    <mergeCell ref="G792:H792"/>
    <mergeCell ref="G793:H793"/>
    <mergeCell ref="G794:H794"/>
    <mergeCell ref="G795:H795"/>
    <mergeCell ref="G786:H786"/>
    <mergeCell ref="G787:H787"/>
    <mergeCell ref="G788:H788"/>
    <mergeCell ref="G789:H789"/>
    <mergeCell ref="G790:H790"/>
    <mergeCell ref="G781:H781"/>
    <mergeCell ref="G782:H782"/>
    <mergeCell ref="G783:H783"/>
    <mergeCell ref="G784:H784"/>
    <mergeCell ref="G785:H785"/>
    <mergeCell ref="G776:H776"/>
    <mergeCell ref="G777:H777"/>
    <mergeCell ref="G778:H778"/>
    <mergeCell ref="G779:H779"/>
    <mergeCell ref="G780:H780"/>
    <mergeCell ref="C770:J770"/>
    <mergeCell ref="G772:H772"/>
    <mergeCell ref="G773:H773"/>
    <mergeCell ref="G774:H774"/>
    <mergeCell ref="G775:H775"/>
    <mergeCell ref="G765:H765"/>
    <mergeCell ref="G766:H766"/>
    <mergeCell ref="G767:H767"/>
    <mergeCell ref="G768:H768"/>
    <mergeCell ref="G769:H769"/>
    <mergeCell ref="G760:H760"/>
    <mergeCell ref="G761:H761"/>
    <mergeCell ref="G762:H762"/>
    <mergeCell ref="G763:H763"/>
    <mergeCell ref="G764:H764"/>
    <mergeCell ref="G755:H755"/>
    <mergeCell ref="G756:H756"/>
    <mergeCell ref="G757:H757"/>
    <mergeCell ref="G758:H758"/>
    <mergeCell ref="G759:H759"/>
    <mergeCell ref="G750:H750"/>
    <mergeCell ref="G751:H751"/>
    <mergeCell ref="G752:H752"/>
    <mergeCell ref="G753:H753"/>
    <mergeCell ref="G754:H754"/>
    <mergeCell ref="G745:H745"/>
    <mergeCell ref="G746:H746"/>
    <mergeCell ref="G747:H747"/>
    <mergeCell ref="G748:H748"/>
    <mergeCell ref="G749:H749"/>
    <mergeCell ref="G740:H740"/>
    <mergeCell ref="G741:H741"/>
    <mergeCell ref="G742:H742"/>
    <mergeCell ref="G743:H743"/>
    <mergeCell ref="G744:H744"/>
    <mergeCell ref="G735:H735"/>
    <mergeCell ref="G736:H736"/>
    <mergeCell ref="G737:H737"/>
    <mergeCell ref="G738:H738"/>
    <mergeCell ref="G739:H739"/>
    <mergeCell ref="G730:H730"/>
    <mergeCell ref="G731:H731"/>
    <mergeCell ref="G732:H732"/>
    <mergeCell ref="G733:H733"/>
    <mergeCell ref="G734:H734"/>
    <mergeCell ref="G725:H725"/>
    <mergeCell ref="G726:H726"/>
    <mergeCell ref="G727:H727"/>
    <mergeCell ref="G728:H728"/>
    <mergeCell ref="G729:H729"/>
    <mergeCell ref="G720:H720"/>
    <mergeCell ref="G721:H721"/>
    <mergeCell ref="G722:H722"/>
    <mergeCell ref="G723:H723"/>
    <mergeCell ref="G724:H724"/>
    <mergeCell ref="G715:H715"/>
    <mergeCell ref="G716:H716"/>
    <mergeCell ref="G717:H717"/>
    <mergeCell ref="G718:H718"/>
    <mergeCell ref="G719:H719"/>
    <mergeCell ref="G710:H710"/>
    <mergeCell ref="G711:H711"/>
    <mergeCell ref="G712:H712"/>
    <mergeCell ref="G713:H713"/>
    <mergeCell ref="G714:H714"/>
    <mergeCell ref="G705:H705"/>
    <mergeCell ref="G706:H706"/>
    <mergeCell ref="G707:H707"/>
    <mergeCell ref="G708:H708"/>
    <mergeCell ref="G709:H709"/>
    <mergeCell ref="G700:H700"/>
    <mergeCell ref="G701:H701"/>
    <mergeCell ref="G702:H702"/>
    <mergeCell ref="G703:H703"/>
    <mergeCell ref="G704:H704"/>
    <mergeCell ref="G695:H695"/>
    <mergeCell ref="G696:H696"/>
    <mergeCell ref="G697:H697"/>
    <mergeCell ref="G698:H698"/>
    <mergeCell ref="G699:H699"/>
    <mergeCell ref="G690:H690"/>
    <mergeCell ref="G691:H691"/>
    <mergeCell ref="G692:H692"/>
    <mergeCell ref="G693:H693"/>
    <mergeCell ref="G694:H694"/>
    <mergeCell ref="G685:H685"/>
    <mergeCell ref="G686:H686"/>
    <mergeCell ref="G687:H687"/>
    <mergeCell ref="G688:H688"/>
    <mergeCell ref="G689:H689"/>
    <mergeCell ref="G680:H680"/>
    <mergeCell ref="G681:H681"/>
    <mergeCell ref="G682:H682"/>
    <mergeCell ref="G683:H683"/>
    <mergeCell ref="G684:H684"/>
    <mergeCell ref="G675:H675"/>
    <mergeCell ref="G676:H676"/>
    <mergeCell ref="G677:H677"/>
    <mergeCell ref="G678:H678"/>
    <mergeCell ref="G679:H679"/>
    <mergeCell ref="G670:H670"/>
    <mergeCell ref="G671:H671"/>
    <mergeCell ref="G672:H672"/>
    <mergeCell ref="G673:H673"/>
    <mergeCell ref="G674:H674"/>
    <mergeCell ref="G665:H665"/>
    <mergeCell ref="G666:H666"/>
    <mergeCell ref="G667:H667"/>
    <mergeCell ref="G668:H668"/>
    <mergeCell ref="G669:H669"/>
    <mergeCell ref="G660:H660"/>
    <mergeCell ref="G661:H661"/>
    <mergeCell ref="G662:H662"/>
    <mergeCell ref="G663:H663"/>
    <mergeCell ref="G664:H664"/>
    <mergeCell ref="G655:H655"/>
    <mergeCell ref="G656:H656"/>
    <mergeCell ref="G657:H657"/>
    <mergeCell ref="G658:H658"/>
    <mergeCell ref="G659:H659"/>
    <mergeCell ref="G650:H650"/>
    <mergeCell ref="G651:H651"/>
    <mergeCell ref="G652:H652"/>
    <mergeCell ref="G653:H653"/>
    <mergeCell ref="G654:H654"/>
    <mergeCell ref="G645:H645"/>
    <mergeCell ref="G646:H646"/>
    <mergeCell ref="G647:H647"/>
    <mergeCell ref="G648:H648"/>
    <mergeCell ref="G649:H649"/>
    <mergeCell ref="G640:H640"/>
    <mergeCell ref="G641:H641"/>
    <mergeCell ref="G642:H642"/>
    <mergeCell ref="G643:H643"/>
    <mergeCell ref="G644:H644"/>
    <mergeCell ref="G635:H635"/>
    <mergeCell ref="G636:H636"/>
    <mergeCell ref="G637:H637"/>
    <mergeCell ref="G638:H638"/>
    <mergeCell ref="G639:H639"/>
    <mergeCell ref="G630:H630"/>
    <mergeCell ref="G631:H631"/>
    <mergeCell ref="G632:H632"/>
    <mergeCell ref="G633:H633"/>
    <mergeCell ref="G634:H634"/>
    <mergeCell ref="G625:H625"/>
    <mergeCell ref="G626:H626"/>
    <mergeCell ref="G627:H627"/>
    <mergeCell ref="G628:H628"/>
    <mergeCell ref="G629:H629"/>
    <mergeCell ref="G620:H620"/>
    <mergeCell ref="G621:H621"/>
    <mergeCell ref="G622:H622"/>
    <mergeCell ref="G623:H623"/>
    <mergeCell ref="G624:H624"/>
    <mergeCell ref="G615:H615"/>
    <mergeCell ref="G616:H616"/>
    <mergeCell ref="G617:H617"/>
    <mergeCell ref="G618:H618"/>
    <mergeCell ref="G619:H619"/>
    <mergeCell ref="G610:H610"/>
    <mergeCell ref="G611:H611"/>
    <mergeCell ref="G612:H612"/>
    <mergeCell ref="G613:H613"/>
    <mergeCell ref="G614:H614"/>
    <mergeCell ref="G605:H605"/>
    <mergeCell ref="G606:H606"/>
    <mergeCell ref="G607:H607"/>
    <mergeCell ref="G608:H608"/>
    <mergeCell ref="G609:H609"/>
    <mergeCell ref="G600:H600"/>
    <mergeCell ref="G601:H601"/>
    <mergeCell ref="G602:H602"/>
    <mergeCell ref="G603:H603"/>
    <mergeCell ref="G604:H604"/>
    <mergeCell ref="G595:H595"/>
    <mergeCell ref="G596:H596"/>
    <mergeCell ref="G597:H597"/>
    <mergeCell ref="G598:H598"/>
    <mergeCell ref="G599:H599"/>
    <mergeCell ref="G590:H590"/>
    <mergeCell ref="G591:H591"/>
    <mergeCell ref="G592:H592"/>
    <mergeCell ref="G593:H593"/>
    <mergeCell ref="G594:H594"/>
    <mergeCell ref="G585:H585"/>
    <mergeCell ref="G586:H586"/>
    <mergeCell ref="G587:H587"/>
    <mergeCell ref="G588:H588"/>
    <mergeCell ref="G589:H589"/>
    <mergeCell ref="G580:H580"/>
    <mergeCell ref="G581:H581"/>
    <mergeCell ref="G582:H582"/>
    <mergeCell ref="G583:H583"/>
    <mergeCell ref="G584:H584"/>
    <mergeCell ref="G575:H575"/>
    <mergeCell ref="G576:H576"/>
    <mergeCell ref="G577:H577"/>
    <mergeCell ref="G578:H578"/>
    <mergeCell ref="G579:H579"/>
    <mergeCell ref="G570:H570"/>
    <mergeCell ref="G571:H571"/>
    <mergeCell ref="G572:H572"/>
    <mergeCell ref="G573:H573"/>
    <mergeCell ref="G574:H574"/>
    <mergeCell ref="G565:H565"/>
    <mergeCell ref="G566:H566"/>
    <mergeCell ref="G567:H567"/>
    <mergeCell ref="G568:H568"/>
    <mergeCell ref="G569:H569"/>
    <mergeCell ref="G560:H560"/>
    <mergeCell ref="G561:H561"/>
    <mergeCell ref="G562:H562"/>
    <mergeCell ref="G563:H563"/>
    <mergeCell ref="G564:H564"/>
    <mergeCell ref="G555:H555"/>
    <mergeCell ref="G556:H556"/>
    <mergeCell ref="G557:H557"/>
    <mergeCell ref="G558:H558"/>
    <mergeCell ref="G559:H559"/>
    <mergeCell ref="G550:H550"/>
    <mergeCell ref="G551:H551"/>
    <mergeCell ref="G552:H552"/>
    <mergeCell ref="G553:H553"/>
    <mergeCell ref="G554:H554"/>
    <mergeCell ref="G545:H545"/>
    <mergeCell ref="G546:H546"/>
    <mergeCell ref="G547:H547"/>
    <mergeCell ref="G548:H548"/>
    <mergeCell ref="G549:H549"/>
    <mergeCell ref="G540:H540"/>
    <mergeCell ref="G541:H541"/>
    <mergeCell ref="G542:H542"/>
    <mergeCell ref="G543:H543"/>
    <mergeCell ref="G544:H544"/>
    <mergeCell ref="G535:H535"/>
    <mergeCell ref="G536:H536"/>
    <mergeCell ref="G537:H537"/>
    <mergeCell ref="G538:H538"/>
    <mergeCell ref="G539:H539"/>
    <mergeCell ref="G530:H530"/>
    <mergeCell ref="G531:H531"/>
    <mergeCell ref="G532:H532"/>
    <mergeCell ref="G533:H533"/>
    <mergeCell ref="G534:H534"/>
    <mergeCell ref="G525:H525"/>
    <mergeCell ref="G526:H526"/>
    <mergeCell ref="G527:H527"/>
    <mergeCell ref="G528:H528"/>
    <mergeCell ref="G529:H529"/>
    <mergeCell ref="G520:H520"/>
    <mergeCell ref="G521:H521"/>
    <mergeCell ref="G522:H522"/>
    <mergeCell ref="G523:H523"/>
    <mergeCell ref="G524:H524"/>
    <mergeCell ref="G515:H515"/>
    <mergeCell ref="G516:H516"/>
    <mergeCell ref="G517:H517"/>
    <mergeCell ref="G518:H518"/>
    <mergeCell ref="G519:H519"/>
    <mergeCell ref="G510:H510"/>
    <mergeCell ref="G511:H511"/>
    <mergeCell ref="G512:H512"/>
    <mergeCell ref="G513:H513"/>
    <mergeCell ref="G514:H514"/>
    <mergeCell ref="G505:H505"/>
    <mergeCell ref="G506:H506"/>
    <mergeCell ref="G507:H507"/>
    <mergeCell ref="G508:H508"/>
    <mergeCell ref="G509:H509"/>
    <mergeCell ref="G500:H500"/>
    <mergeCell ref="G501:H501"/>
    <mergeCell ref="G502:H502"/>
    <mergeCell ref="G503:H503"/>
    <mergeCell ref="G504:H504"/>
    <mergeCell ref="G495:H495"/>
    <mergeCell ref="G496:H496"/>
    <mergeCell ref="G497:H497"/>
    <mergeCell ref="G498:H498"/>
    <mergeCell ref="G499:H499"/>
    <mergeCell ref="G490:H490"/>
    <mergeCell ref="G491:H491"/>
    <mergeCell ref="G492:H492"/>
    <mergeCell ref="G493:H493"/>
    <mergeCell ref="G494:H494"/>
    <mergeCell ref="G485:H485"/>
    <mergeCell ref="G486:H486"/>
    <mergeCell ref="G487:H487"/>
    <mergeCell ref="G488:H488"/>
    <mergeCell ref="G489:H489"/>
    <mergeCell ref="G480:H480"/>
    <mergeCell ref="G481:H481"/>
    <mergeCell ref="G482:H482"/>
    <mergeCell ref="G483:H483"/>
    <mergeCell ref="G484:H484"/>
    <mergeCell ref="G475:H475"/>
    <mergeCell ref="G476:H476"/>
    <mergeCell ref="G477:H477"/>
    <mergeCell ref="G478:H478"/>
    <mergeCell ref="G479:H479"/>
    <mergeCell ref="G470:H470"/>
    <mergeCell ref="G471:H471"/>
    <mergeCell ref="G472:H472"/>
    <mergeCell ref="G473:H473"/>
    <mergeCell ref="G474:H474"/>
    <mergeCell ref="G465:H465"/>
    <mergeCell ref="G466:H466"/>
    <mergeCell ref="G467:H467"/>
    <mergeCell ref="G468:H468"/>
    <mergeCell ref="G469:H469"/>
    <mergeCell ref="G460:H460"/>
    <mergeCell ref="G461:H461"/>
    <mergeCell ref="G462:H462"/>
    <mergeCell ref="G463:H463"/>
    <mergeCell ref="G464:H464"/>
    <mergeCell ref="G455:H455"/>
    <mergeCell ref="G456:H456"/>
    <mergeCell ref="G457:H457"/>
    <mergeCell ref="G458:H458"/>
    <mergeCell ref="G459:H459"/>
    <mergeCell ref="G450:H450"/>
    <mergeCell ref="G451:H451"/>
    <mergeCell ref="G452:H452"/>
    <mergeCell ref="G453:H453"/>
    <mergeCell ref="G454:H454"/>
    <mergeCell ref="G445:H445"/>
    <mergeCell ref="G446:H446"/>
    <mergeCell ref="G447:H447"/>
    <mergeCell ref="G448:H448"/>
    <mergeCell ref="G449:H449"/>
    <mergeCell ref="G440:H440"/>
    <mergeCell ref="G441:H441"/>
    <mergeCell ref="G442:H442"/>
    <mergeCell ref="G443:H443"/>
    <mergeCell ref="G444:H444"/>
    <mergeCell ref="G435:H435"/>
    <mergeCell ref="G436:H436"/>
    <mergeCell ref="G437:H437"/>
    <mergeCell ref="G438:H438"/>
    <mergeCell ref="G439:H439"/>
    <mergeCell ref="G430:H430"/>
    <mergeCell ref="G431:H431"/>
    <mergeCell ref="G432:H432"/>
    <mergeCell ref="G433:H433"/>
    <mergeCell ref="G434:H434"/>
    <mergeCell ref="G425:H425"/>
    <mergeCell ref="G426:H426"/>
    <mergeCell ref="G427:H427"/>
    <mergeCell ref="G428:H428"/>
    <mergeCell ref="G429:H429"/>
    <mergeCell ref="G420:H420"/>
    <mergeCell ref="G421:H421"/>
    <mergeCell ref="G422:H422"/>
    <mergeCell ref="G423:H423"/>
    <mergeCell ref="G424:H424"/>
    <mergeCell ref="G415:H415"/>
    <mergeCell ref="G416:H416"/>
    <mergeCell ref="G417:H417"/>
    <mergeCell ref="G418:H418"/>
    <mergeCell ref="G419:H419"/>
    <mergeCell ref="G410:H410"/>
    <mergeCell ref="G411:H411"/>
    <mergeCell ref="G412:H412"/>
    <mergeCell ref="G413:H413"/>
    <mergeCell ref="G414:H414"/>
    <mergeCell ref="G405:H405"/>
    <mergeCell ref="G406:H406"/>
    <mergeCell ref="G407:H407"/>
    <mergeCell ref="G408:H408"/>
    <mergeCell ref="G409:H409"/>
    <mergeCell ref="G400:H400"/>
    <mergeCell ref="G401:H401"/>
    <mergeCell ref="G402:H402"/>
    <mergeCell ref="G403:H403"/>
    <mergeCell ref="G404:H404"/>
    <mergeCell ref="G395:H395"/>
    <mergeCell ref="G396:H396"/>
    <mergeCell ref="G397:H397"/>
    <mergeCell ref="G398:H398"/>
    <mergeCell ref="G399:H399"/>
    <mergeCell ref="G390:H390"/>
    <mergeCell ref="G391:H391"/>
    <mergeCell ref="G392:H392"/>
    <mergeCell ref="G393:H393"/>
    <mergeCell ref="G394:H394"/>
    <mergeCell ref="G385:H385"/>
    <mergeCell ref="G386:H386"/>
    <mergeCell ref="G387:H387"/>
    <mergeCell ref="G388:H388"/>
    <mergeCell ref="G389:H389"/>
    <mergeCell ref="G380:H380"/>
    <mergeCell ref="G381:H381"/>
    <mergeCell ref="G382:H382"/>
    <mergeCell ref="G383:H383"/>
    <mergeCell ref="G384:H384"/>
    <mergeCell ref="G375:H375"/>
    <mergeCell ref="G376:H376"/>
    <mergeCell ref="G377:H377"/>
    <mergeCell ref="G378:H378"/>
    <mergeCell ref="G379:H379"/>
    <mergeCell ref="G370:H370"/>
    <mergeCell ref="G371:H371"/>
    <mergeCell ref="G372:H372"/>
    <mergeCell ref="G373:H373"/>
    <mergeCell ref="G374:H374"/>
    <mergeCell ref="G365:H365"/>
    <mergeCell ref="G366:H366"/>
    <mergeCell ref="G367:H367"/>
    <mergeCell ref="G368:H368"/>
    <mergeCell ref="G369:H369"/>
    <mergeCell ref="G360:H360"/>
    <mergeCell ref="G361:H361"/>
    <mergeCell ref="G362:H362"/>
    <mergeCell ref="G363:H363"/>
    <mergeCell ref="G364:H364"/>
    <mergeCell ref="G355:H355"/>
    <mergeCell ref="G356:H356"/>
    <mergeCell ref="G357:H357"/>
    <mergeCell ref="G358:H358"/>
    <mergeCell ref="G359:H359"/>
    <mergeCell ref="G350:H350"/>
    <mergeCell ref="G351:H351"/>
    <mergeCell ref="G352:H352"/>
    <mergeCell ref="G353:H353"/>
    <mergeCell ref="G354:H354"/>
    <mergeCell ref="G345:H345"/>
    <mergeCell ref="G346:H346"/>
    <mergeCell ref="G347:H347"/>
    <mergeCell ref="G348:H348"/>
    <mergeCell ref="G349:H349"/>
    <mergeCell ref="G340:H340"/>
    <mergeCell ref="G341:H341"/>
    <mergeCell ref="G342:H342"/>
    <mergeCell ref="G343:H343"/>
    <mergeCell ref="G344:H344"/>
    <mergeCell ref="G335:H335"/>
    <mergeCell ref="G336:H336"/>
    <mergeCell ref="G337:H337"/>
    <mergeCell ref="G338:H338"/>
    <mergeCell ref="G339:H339"/>
    <mergeCell ref="G330:H330"/>
    <mergeCell ref="G331:H331"/>
    <mergeCell ref="G332:H332"/>
    <mergeCell ref="G333:H333"/>
    <mergeCell ref="G334:H334"/>
    <mergeCell ref="G325:H325"/>
    <mergeCell ref="G326:H326"/>
    <mergeCell ref="G327:H327"/>
    <mergeCell ref="G328:H328"/>
    <mergeCell ref="G329:H329"/>
    <mergeCell ref="G320:H320"/>
    <mergeCell ref="G321:H321"/>
    <mergeCell ref="G322:H322"/>
    <mergeCell ref="G323:H323"/>
    <mergeCell ref="G324:H324"/>
    <mergeCell ref="G314:H314"/>
    <mergeCell ref="G315:H315"/>
    <mergeCell ref="C316:J316"/>
    <mergeCell ref="G318:H318"/>
    <mergeCell ref="G319:H319"/>
    <mergeCell ref="G309:H309"/>
    <mergeCell ref="G310:H310"/>
    <mergeCell ref="G311:H311"/>
    <mergeCell ref="G312:H312"/>
    <mergeCell ref="G313:H313"/>
    <mergeCell ref="G304:H304"/>
    <mergeCell ref="G305:H305"/>
    <mergeCell ref="G306:H306"/>
    <mergeCell ref="G307:H307"/>
    <mergeCell ref="G308:H308"/>
    <mergeCell ref="G299:H299"/>
    <mergeCell ref="G300:H300"/>
    <mergeCell ref="G301:H301"/>
    <mergeCell ref="G302:H302"/>
    <mergeCell ref="G303:H303"/>
    <mergeCell ref="G294:H294"/>
    <mergeCell ref="G295:H295"/>
    <mergeCell ref="G296:H296"/>
    <mergeCell ref="G297:H297"/>
    <mergeCell ref="G298:H298"/>
    <mergeCell ref="G289:H289"/>
    <mergeCell ref="G290:H290"/>
    <mergeCell ref="G291:H291"/>
    <mergeCell ref="G292:H292"/>
    <mergeCell ref="G293:H293"/>
    <mergeCell ref="G284:H284"/>
    <mergeCell ref="G285:H285"/>
    <mergeCell ref="G286:H286"/>
    <mergeCell ref="G287:H287"/>
    <mergeCell ref="G288:H288"/>
    <mergeCell ref="G279:H279"/>
    <mergeCell ref="G280:H280"/>
    <mergeCell ref="G281:H281"/>
    <mergeCell ref="G282:H282"/>
    <mergeCell ref="G283:H283"/>
    <mergeCell ref="G274:H274"/>
    <mergeCell ref="G275:H275"/>
    <mergeCell ref="G276:H276"/>
    <mergeCell ref="G277:H277"/>
    <mergeCell ref="G278:H278"/>
    <mergeCell ref="G269:H269"/>
    <mergeCell ref="G270:H270"/>
    <mergeCell ref="G271:H271"/>
    <mergeCell ref="G272:H272"/>
    <mergeCell ref="G273:H273"/>
    <mergeCell ref="G264:H264"/>
    <mergeCell ref="G265:H265"/>
    <mergeCell ref="G266:H266"/>
    <mergeCell ref="G267:H267"/>
    <mergeCell ref="G268:H268"/>
    <mergeCell ref="G259:H259"/>
    <mergeCell ref="G260:H260"/>
    <mergeCell ref="G261:H261"/>
    <mergeCell ref="G262:H262"/>
    <mergeCell ref="G263:H263"/>
    <mergeCell ref="G254:H254"/>
    <mergeCell ref="G255:H255"/>
    <mergeCell ref="G256:H256"/>
    <mergeCell ref="G257:H257"/>
    <mergeCell ref="G258:H258"/>
    <mergeCell ref="G249:H249"/>
    <mergeCell ref="G250:H250"/>
    <mergeCell ref="G251:H251"/>
    <mergeCell ref="G252:H252"/>
    <mergeCell ref="G253:H253"/>
    <mergeCell ref="G244:H244"/>
    <mergeCell ref="G245:H245"/>
    <mergeCell ref="G246:H246"/>
    <mergeCell ref="G247:H247"/>
    <mergeCell ref="G248:H248"/>
    <mergeCell ref="G239:H239"/>
    <mergeCell ref="G240:H240"/>
    <mergeCell ref="G241:H241"/>
    <mergeCell ref="G242:H242"/>
    <mergeCell ref="G243:H243"/>
    <mergeCell ref="G234:H234"/>
    <mergeCell ref="G235:H235"/>
    <mergeCell ref="G236:H236"/>
    <mergeCell ref="G237:H237"/>
    <mergeCell ref="G238:H238"/>
    <mergeCell ref="G229:H229"/>
    <mergeCell ref="G230:H230"/>
    <mergeCell ref="G231:H231"/>
    <mergeCell ref="G232:H232"/>
    <mergeCell ref="G233:H233"/>
    <mergeCell ref="G224:H224"/>
    <mergeCell ref="G225:H225"/>
    <mergeCell ref="G226:H226"/>
    <mergeCell ref="G227:H227"/>
    <mergeCell ref="G228:H228"/>
    <mergeCell ref="G219:H219"/>
    <mergeCell ref="G220:H220"/>
    <mergeCell ref="G221:H221"/>
    <mergeCell ref="G222:H222"/>
    <mergeCell ref="G223:H223"/>
    <mergeCell ref="G214:H214"/>
    <mergeCell ref="G215:H215"/>
    <mergeCell ref="G216:H216"/>
    <mergeCell ref="G217:H217"/>
    <mergeCell ref="G218:H218"/>
    <mergeCell ref="G209:H209"/>
    <mergeCell ref="G210:H210"/>
    <mergeCell ref="G211:H211"/>
    <mergeCell ref="G212:H212"/>
    <mergeCell ref="G213:H213"/>
    <mergeCell ref="G204:H204"/>
    <mergeCell ref="G205:H205"/>
    <mergeCell ref="G206:H206"/>
    <mergeCell ref="G207:H207"/>
    <mergeCell ref="G208:H208"/>
    <mergeCell ref="G199:H199"/>
    <mergeCell ref="G200:H200"/>
    <mergeCell ref="G201:H201"/>
    <mergeCell ref="G202:H202"/>
    <mergeCell ref="G203:H203"/>
    <mergeCell ref="G194:H194"/>
    <mergeCell ref="G195:H195"/>
    <mergeCell ref="G196:H196"/>
    <mergeCell ref="G197:H197"/>
    <mergeCell ref="G198:H198"/>
    <mergeCell ref="G189:H189"/>
    <mergeCell ref="G190:H190"/>
    <mergeCell ref="G191:H191"/>
    <mergeCell ref="G192:H192"/>
    <mergeCell ref="G193:H193"/>
    <mergeCell ref="G184:H184"/>
    <mergeCell ref="G185:H185"/>
    <mergeCell ref="G186:H186"/>
    <mergeCell ref="G187:H187"/>
    <mergeCell ref="G188:H188"/>
    <mergeCell ref="G179:H179"/>
    <mergeCell ref="G180:H180"/>
    <mergeCell ref="G181:H181"/>
    <mergeCell ref="G182:H182"/>
    <mergeCell ref="G183:H183"/>
    <mergeCell ref="G174:H174"/>
    <mergeCell ref="G175:H175"/>
    <mergeCell ref="G176:H176"/>
    <mergeCell ref="G177:H177"/>
    <mergeCell ref="G178:H178"/>
    <mergeCell ref="G169:H169"/>
    <mergeCell ref="G170:H170"/>
    <mergeCell ref="G171:H171"/>
    <mergeCell ref="G172:H172"/>
    <mergeCell ref="G173:H173"/>
    <mergeCell ref="G164:H164"/>
    <mergeCell ref="G165:H165"/>
    <mergeCell ref="G166:H166"/>
    <mergeCell ref="G167:H167"/>
    <mergeCell ref="G168:H168"/>
    <mergeCell ref="G159:H159"/>
    <mergeCell ref="G160:H160"/>
    <mergeCell ref="G161:H161"/>
    <mergeCell ref="G162:H162"/>
    <mergeCell ref="G163:H163"/>
    <mergeCell ref="G154:H154"/>
    <mergeCell ref="G155:H155"/>
    <mergeCell ref="G156:H156"/>
    <mergeCell ref="G157:H157"/>
    <mergeCell ref="G158:H158"/>
    <mergeCell ref="G149:H149"/>
    <mergeCell ref="G150:H150"/>
    <mergeCell ref="G151:H151"/>
    <mergeCell ref="G152:H152"/>
    <mergeCell ref="G153:H153"/>
    <mergeCell ref="G144:H144"/>
    <mergeCell ref="G145:H145"/>
    <mergeCell ref="G146:H146"/>
    <mergeCell ref="G147:H147"/>
    <mergeCell ref="G148:H148"/>
    <mergeCell ref="G139:H139"/>
    <mergeCell ref="G140:H140"/>
    <mergeCell ref="G141:H141"/>
    <mergeCell ref="G142:H142"/>
    <mergeCell ref="G143:H143"/>
    <mergeCell ref="G134:H134"/>
    <mergeCell ref="G135:H135"/>
    <mergeCell ref="G136:H136"/>
    <mergeCell ref="G137:H137"/>
    <mergeCell ref="G138:H138"/>
    <mergeCell ref="G129:H129"/>
    <mergeCell ref="G130:H130"/>
    <mergeCell ref="G131:H131"/>
    <mergeCell ref="G132:H132"/>
    <mergeCell ref="G133:H133"/>
    <mergeCell ref="G124:H124"/>
    <mergeCell ref="G125:H125"/>
    <mergeCell ref="G126:H126"/>
    <mergeCell ref="G127:H127"/>
    <mergeCell ref="G128:H128"/>
    <mergeCell ref="G119:H119"/>
    <mergeCell ref="G120:H120"/>
    <mergeCell ref="G121:H121"/>
    <mergeCell ref="G122:H122"/>
    <mergeCell ref="G123:H123"/>
    <mergeCell ref="G114:H114"/>
    <mergeCell ref="G115:H115"/>
    <mergeCell ref="G116:H116"/>
    <mergeCell ref="G117:H117"/>
    <mergeCell ref="G118:H118"/>
    <mergeCell ref="G109:H109"/>
    <mergeCell ref="G110:H110"/>
    <mergeCell ref="G111:H111"/>
    <mergeCell ref="G112:H112"/>
    <mergeCell ref="G113:H113"/>
    <mergeCell ref="G104:H104"/>
    <mergeCell ref="G105:H105"/>
    <mergeCell ref="G106:H106"/>
    <mergeCell ref="G107:H107"/>
    <mergeCell ref="G108:H108"/>
    <mergeCell ref="G99:H99"/>
    <mergeCell ref="G100:H100"/>
    <mergeCell ref="G101:H101"/>
    <mergeCell ref="G102:H102"/>
    <mergeCell ref="G103:H103"/>
    <mergeCell ref="G94:H94"/>
    <mergeCell ref="G95:H95"/>
    <mergeCell ref="G96:H96"/>
    <mergeCell ref="G97:H97"/>
    <mergeCell ref="G98:H98"/>
    <mergeCell ref="G89:H89"/>
    <mergeCell ref="G90:H90"/>
    <mergeCell ref="G91:H91"/>
    <mergeCell ref="G92:H92"/>
    <mergeCell ref="G93:H93"/>
    <mergeCell ref="G84:H84"/>
    <mergeCell ref="G85:H85"/>
    <mergeCell ref="G86:H86"/>
    <mergeCell ref="G87:H87"/>
    <mergeCell ref="G88:H88"/>
    <mergeCell ref="G79:H79"/>
    <mergeCell ref="G80:H80"/>
    <mergeCell ref="G81:H81"/>
    <mergeCell ref="G82:H82"/>
    <mergeCell ref="G83:H83"/>
    <mergeCell ref="G74:H74"/>
    <mergeCell ref="G75:H75"/>
    <mergeCell ref="G76:H76"/>
    <mergeCell ref="G77:H77"/>
    <mergeCell ref="G78:H78"/>
    <mergeCell ref="G69:H69"/>
    <mergeCell ref="G70:H70"/>
    <mergeCell ref="G71:H71"/>
    <mergeCell ref="G72:H72"/>
    <mergeCell ref="G73:H73"/>
    <mergeCell ref="G64:H64"/>
    <mergeCell ref="G65:H65"/>
    <mergeCell ref="G66:H66"/>
    <mergeCell ref="G67:H67"/>
    <mergeCell ref="G68:H68"/>
    <mergeCell ref="G59:H59"/>
    <mergeCell ref="G60:H60"/>
    <mergeCell ref="G61:H61"/>
    <mergeCell ref="G62:H62"/>
    <mergeCell ref="G63:H63"/>
    <mergeCell ref="G54:H54"/>
    <mergeCell ref="G55:H55"/>
    <mergeCell ref="G56:H56"/>
    <mergeCell ref="G57:H57"/>
    <mergeCell ref="G58:H58"/>
    <mergeCell ref="G49:H49"/>
    <mergeCell ref="G50:H50"/>
    <mergeCell ref="G51:H51"/>
    <mergeCell ref="G52:H52"/>
    <mergeCell ref="G53:H53"/>
    <mergeCell ref="G44:H44"/>
    <mergeCell ref="G45:H45"/>
    <mergeCell ref="G46:H46"/>
    <mergeCell ref="G47:H47"/>
    <mergeCell ref="G48:H48"/>
    <mergeCell ref="G39:H39"/>
    <mergeCell ref="G40:H40"/>
    <mergeCell ref="G41:H41"/>
    <mergeCell ref="G42:H42"/>
    <mergeCell ref="G43:H43"/>
    <mergeCell ref="G34:H34"/>
    <mergeCell ref="G35:H35"/>
    <mergeCell ref="G36:H36"/>
    <mergeCell ref="G37:H37"/>
    <mergeCell ref="G38:H38"/>
    <mergeCell ref="G29:H29"/>
    <mergeCell ref="G30:H30"/>
    <mergeCell ref="G31:H31"/>
    <mergeCell ref="G32:H32"/>
    <mergeCell ref="G33:H33"/>
    <mergeCell ref="C22:J22"/>
    <mergeCell ref="C24:J24"/>
    <mergeCell ref="G26:H26"/>
    <mergeCell ref="G27:H27"/>
    <mergeCell ref="G28:H28"/>
    <mergeCell ref="A7:A8"/>
    <mergeCell ref="B9:E9"/>
    <mergeCell ref="A2:J2"/>
    <mergeCell ref="A3:J3"/>
    <mergeCell ref="G5:J5"/>
    <mergeCell ref="G6:J6"/>
    <mergeCell ref="B6:E6"/>
    <mergeCell ref="B5:E5"/>
    <mergeCell ref="B7:J8"/>
    <mergeCell ref="G9:J9"/>
    <mergeCell ref="G20:H20"/>
    <mergeCell ref="I10:J10"/>
    <mergeCell ref="I15:J15"/>
    <mergeCell ref="I16:J16"/>
    <mergeCell ref="I11:J11"/>
    <mergeCell ref="I12:J12"/>
    <mergeCell ref="I13:J13"/>
    <mergeCell ref="I14:J14"/>
  </mergeCells>
  <phoneticPr fontId="1" type="noConversion"/>
  <pageMargins left="0.70866141732283472" right="0.70866141732283472" top="0.74803149606299213" bottom="0.74803149606299213" header="0.31496062992125984" footer="0.31496062992125984"/>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會計</dc:title>
  <dc:creator>艾富資訊</dc:creator>
  <cp:lastModifiedBy>奕君 劉</cp:lastModifiedBy>
  <cp:lastPrinted>2019-11-27T07:41:44Z</cp:lastPrinted>
  <dcterms:created xsi:type="dcterms:W3CDTF">2019-11-19T07:34:42Z</dcterms:created>
  <dcterms:modified xsi:type="dcterms:W3CDTF">2026-09-03T07:37:00Z</dcterms:modified>
</cp:coreProperties>
</file>